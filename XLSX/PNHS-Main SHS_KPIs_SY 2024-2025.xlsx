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UAL" sheetId="1" r:id="rId4"/>
    <sheet state="hidden" name="Copy of Sheet1 1" sheetId="2" r:id="rId5"/>
    <sheet state="hidden" name="Copy of Sheet1" sheetId="3" r:id="rId6"/>
  </sheets>
  <definedNames/>
  <calcPr/>
</workbook>
</file>

<file path=xl/sharedStrings.xml><?xml version="1.0" encoding="utf-8"?>
<sst xmlns="http://schemas.openxmlformats.org/spreadsheetml/2006/main" count="116" uniqueCount="43">
  <si>
    <t>Republic of the Philippines</t>
  </si>
  <si>
    <t>Department of Education</t>
  </si>
  <si>
    <t>NATIONAL CAPITAL REGION</t>
  </si>
  <si>
    <t>Schools Division of Parañaque City</t>
  </si>
  <si>
    <t>Parañaque National High School- Main</t>
  </si>
  <si>
    <t>SENIOR HIGH SCHOOL PROGRAM</t>
  </si>
  <si>
    <t>SY 2024-2025</t>
  </si>
  <si>
    <t>KEY PERFORMANCE INDICATORS (KPIs)</t>
  </si>
  <si>
    <t>FORMULAS</t>
  </si>
  <si>
    <t>BOSY Enrollment SY 2024-2025</t>
  </si>
  <si>
    <t>GROSS ENROLLMENT RATE</t>
  </si>
  <si>
    <t>BOSY Enrollment SY 2024-2025 (aged 16-17)</t>
  </si>
  <si>
    <t>Projected Population of aged 16-17 from DepEd Central Office</t>
  </si>
  <si>
    <t>NET ENROLLMENT RATE</t>
  </si>
  <si>
    <t>Gross Enrollment Rate</t>
  </si>
  <si>
    <t>Net Enrollment Rate</t>
  </si>
  <si>
    <t>Graduates</t>
  </si>
  <si>
    <t>GRADUATE RATE</t>
  </si>
  <si>
    <t>G12 BOSY Enrollment SY 2024-2025</t>
  </si>
  <si>
    <t>Graduate Rate</t>
  </si>
  <si>
    <t>Drop-Out</t>
  </si>
  <si>
    <t>DROP-OUT RATE</t>
  </si>
  <si>
    <t>Drop-Out Rate</t>
  </si>
  <si>
    <t>BOSY Enrollment SY 2023-2024</t>
  </si>
  <si>
    <t>LEAVER RATE</t>
  </si>
  <si>
    <t>Repeater SY 2023-2024</t>
  </si>
  <si>
    <t>Repeater SY 2024-2025</t>
  </si>
  <si>
    <t>Leaver Rate</t>
  </si>
  <si>
    <t>G11 BOSY Enrollment SY 2024-2025</t>
  </si>
  <si>
    <t>TRANSITION RATE</t>
  </si>
  <si>
    <t>G11 Repeater SY 2024-2025</t>
  </si>
  <si>
    <t>New Entrants (G11 BOSY Enrollment - G11 Repeater)</t>
  </si>
  <si>
    <t>Grade 10 Enrollment SY 2023-2024</t>
  </si>
  <si>
    <t>Transition Rate</t>
  </si>
  <si>
    <t>SHS SY 2023-2024</t>
  </si>
  <si>
    <t>Retained SY 2024-2025</t>
  </si>
  <si>
    <t>SHS SY 2024-2025</t>
  </si>
  <si>
    <t>Retention Rate</t>
  </si>
  <si>
    <t>BOSY Enrollment SY 2025-2026</t>
  </si>
  <si>
    <t>Repeater SY 2025-2026</t>
  </si>
  <si>
    <t>G11 BOSY Enrollment SY 2025-2026 (from PNHS-Main JHS)</t>
  </si>
  <si>
    <t>G11 Repeater SY 2025-2026</t>
  </si>
  <si>
    <t>Grade 10 Enrollment SY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</si>
</sst>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2.0"/>
      <color rgb="FFFFFFFF"/>
      <name val="Arial"/>
    </font>
    <font/>
    <font>
      <b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rgb="FF434343"/>
        <bgColor rgb="FF43434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2" fontId="3" numFmtId="0" xfId="0" applyAlignment="1" applyFill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3" fontId="5" numFmtId="0" xfId="0" applyAlignment="1" applyBorder="1" applyFont="1">
      <alignment readingOrder="0" vertical="center"/>
    </xf>
    <xf borderId="0" fillId="0" fontId="1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3" fillId="0" fontId="1" numFmtId="1" xfId="0" applyAlignment="1" applyBorder="1" applyFont="1" applyNumberFormat="1">
      <alignment horizontal="center" readingOrder="0" vertical="center"/>
    </xf>
    <xf borderId="5" fillId="0" fontId="4" numFmtId="0" xfId="0" applyBorder="1" applyFont="1"/>
    <xf borderId="3" fillId="0" fontId="1" numFmtId="3" xfId="0" applyAlignment="1" applyBorder="1" applyFont="1" applyNumberFormat="1">
      <alignment horizontal="center" readingOrder="0" vertical="center"/>
    </xf>
    <xf borderId="3" fillId="4" fontId="5" numFmtId="0" xfId="0" applyAlignment="1" applyBorder="1" applyFill="1" applyFont="1">
      <alignment readingOrder="0"/>
    </xf>
    <xf borderId="3" fillId="5" fontId="2" numFmtId="10" xfId="0" applyAlignment="1" applyBorder="1" applyFill="1" applyFont="1" applyNumberFormat="1">
      <alignment horizontal="center" vertical="center"/>
    </xf>
    <xf borderId="6" fillId="0" fontId="4" numFmtId="0" xfId="0" applyBorder="1" applyFont="1"/>
    <xf borderId="4" fillId="4" fontId="5" numFmtId="0" xfId="0" applyAlignment="1" applyBorder="1" applyFont="1">
      <alignment readingOrder="0"/>
    </xf>
    <xf borderId="4" fillId="5" fontId="2" numFmtId="10" xfId="0" applyAlignment="1" applyBorder="1" applyFont="1" applyNumberFormat="1">
      <alignment horizontal="center"/>
    </xf>
    <xf borderId="3" fillId="6" fontId="1" numFmtId="0" xfId="0" applyAlignment="1" applyBorder="1" applyFill="1" applyFont="1">
      <alignment shrinkToFit="0" wrapText="1"/>
    </xf>
    <xf borderId="3" fillId="5" fontId="2" numFmtId="10" xfId="0" applyAlignment="1" applyBorder="1" applyFont="1" applyNumberFormat="1">
      <alignment horizontal="center"/>
    </xf>
    <xf borderId="3" fillId="6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5" Type="http://schemas.openxmlformats.org/officeDocument/2006/relationships/image" Target="../media/image5.png"/><Relationship Id="rId6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5" Type="http://schemas.openxmlformats.org/officeDocument/2006/relationships/image" Target="../media/image5.png"/><Relationship Id="rId6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5" Type="http://schemas.openxmlformats.org/officeDocument/2006/relationships/image" Target="../media/image5.png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2390775</xdr:colOff>
      <xdr:row>0</xdr:row>
      <xdr:rowOff>9525</xdr:rowOff>
    </xdr:from>
    <xdr:ext cx="762000" cy="7620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12</xdr:row>
      <xdr:rowOff>209550</xdr:rowOff>
    </xdr:from>
    <xdr:ext cx="3790950" cy="4953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18</xdr:row>
      <xdr:rowOff>200025</xdr:rowOff>
    </xdr:from>
    <xdr:ext cx="3886200" cy="65722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26</xdr:row>
      <xdr:rowOff>180975</xdr:rowOff>
    </xdr:from>
    <xdr:ext cx="3886200" cy="971550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23</xdr:row>
      <xdr:rowOff>9525</xdr:rowOff>
    </xdr:from>
    <xdr:ext cx="3790950" cy="60960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33</xdr:row>
      <xdr:rowOff>142875</xdr:rowOff>
    </xdr:from>
    <xdr:ext cx="3857625" cy="65722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2390775</xdr:colOff>
      <xdr:row>0</xdr:row>
      <xdr:rowOff>9525</xdr:rowOff>
    </xdr:from>
    <xdr:ext cx="762000" cy="7620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12</xdr:row>
      <xdr:rowOff>209550</xdr:rowOff>
    </xdr:from>
    <xdr:ext cx="3790950" cy="4953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18</xdr:row>
      <xdr:rowOff>200025</xdr:rowOff>
    </xdr:from>
    <xdr:ext cx="3886200" cy="65722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26</xdr:row>
      <xdr:rowOff>180975</xdr:rowOff>
    </xdr:from>
    <xdr:ext cx="3886200" cy="971550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23</xdr:row>
      <xdr:rowOff>9525</xdr:rowOff>
    </xdr:from>
    <xdr:ext cx="3790950" cy="60960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33</xdr:row>
      <xdr:rowOff>142875</xdr:rowOff>
    </xdr:from>
    <xdr:ext cx="3857625" cy="65722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2390775</xdr:colOff>
      <xdr:row>0</xdr:row>
      <xdr:rowOff>9525</xdr:rowOff>
    </xdr:from>
    <xdr:ext cx="762000" cy="7620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12</xdr:row>
      <xdr:rowOff>209550</xdr:rowOff>
    </xdr:from>
    <xdr:ext cx="3790950" cy="4953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18</xdr:row>
      <xdr:rowOff>200025</xdr:rowOff>
    </xdr:from>
    <xdr:ext cx="3886200" cy="65722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26</xdr:row>
      <xdr:rowOff>180975</xdr:rowOff>
    </xdr:from>
    <xdr:ext cx="3886200" cy="971550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23</xdr:row>
      <xdr:rowOff>9525</xdr:rowOff>
    </xdr:from>
    <xdr:ext cx="3790950" cy="60960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33</xdr:row>
      <xdr:rowOff>142875</xdr:rowOff>
    </xdr:from>
    <xdr:ext cx="3857625" cy="65722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2" width="47.13"/>
    <col customWidth="1" min="3" max="3" width="26.0"/>
    <col customWidth="1" min="4" max="4" width="4.13"/>
    <col customWidth="1" min="5" max="5" width="17.75"/>
    <col customWidth="1" min="7" max="7" width="17.63"/>
  </cols>
  <sheetData>
    <row r="1">
      <c r="A1" s="1"/>
      <c r="B1" s="1"/>
      <c r="C1" s="1"/>
      <c r="D1" s="2"/>
      <c r="E1" s="2"/>
      <c r="F1" s="3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/>
      <c r="B2" s="1"/>
      <c r="C2" s="1"/>
      <c r="D2" s="2"/>
      <c r="E2" s="2"/>
      <c r="F2" s="3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/>
      <c r="B3" s="1"/>
      <c r="C3" s="1"/>
      <c r="D3" s="2"/>
      <c r="E3" s="2"/>
      <c r="F3" s="3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/>
      <c r="B4" s="1"/>
      <c r="C4" s="1"/>
      <c r="D4" s="2"/>
      <c r="E4" s="2"/>
      <c r="F4" s="3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/>
      <c r="B5" s="1" t="s">
        <v>0</v>
      </c>
      <c r="D5" s="2"/>
      <c r="E5" s="2"/>
      <c r="F5" s="3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75" customHeight="1">
      <c r="A6" s="1"/>
      <c r="B6" s="1" t="s">
        <v>1</v>
      </c>
      <c r="D6" s="2"/>
      <c r="E6" s="2"/>
      <c r="F6" s="3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2.75" customHeight="1">
      <c r="A7" s="1"/>
      <c r="B7" s="1" t="s">
        <v>2</v>
      </c>
      <c r="D7" s="2"/>
      <c r="E7" s="2"/>
      <c r="F7" s="3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75" customHeight="1">
      <c r="A8" s="1"/>
      <c r="B8" s="1" t="s">
        <v>3</v>
      </c>
      <c r="D8" s="2"/>
      <c r="E8" s="2"/>
      <c r="F8" s="3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75" customHeight="1">
      <c r="A9" s="1"/>
      <c r="B9" s="1" t="s">
        <v>4</v>
      </c>
      <c r="D9" s="2"/>
      <c r="E9" s="2"/>
      <c r="F9" s="3"/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75" customHeight="1">
      <c r="A10" s="1"/>
      <c r="B10" s="4" t="s">
        <v>5</v>
      </c>
      <c r="D10" s="2"/>
      <c r="E10" s="2"/>
      <c r="F10" s="3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75" customHeight="1">
      <c r="A11" s="5"/>
      <c r="B11" s="5" t="s">
        <v>6</v>
      </c>
      <c r="D11" s="2"/>
      <c r="E11" s="2"/>
      <c r="F11" s="3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6"/>
      <c r="B12" s="6"/>
      <c r="C12" s="7"/>
      <c r="D12" s="2"/>
      <c r="E12" s="2"/>
      <c r="F12" s="3"/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2.5" customHeight="1">
      <c r="A13" s="8"/>
      <c r="B13" s="9" t="s">
        <v>7</v>
      </c>
      <c r="C13" s="10"/>
      <c r="D13" s="2"/>
      <c r="E13" s="11" t="s">
        <v>8</v>
      </c>
      <c r="F13" s="3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2"/>
      <c r="B14" s="13" t="s">
        <v>9</v>
      </c>
      <c r="C14" s="14">
        <v>7228.0</v>
      </c>
      <c r="D14" s="2"/>
      <c r="E14" s="15" t="s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6"/>
      <c r="B15" s="17" t="s">
        <v>11</v>
      </c>
      <c r="C15" s="18">
        <v>6545.0</v>
      </c>
      <c r="D15" s="2"/>
      <c r="E15" s="1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6"/>
      <c r="B16" s="17" t="s">
        <v>12</v>
      </c>
      <c r="C16" s="20">
        <v>8112.0</v>
      </c>
      <c r="D16" s="2"/>
      <c r="E16" s="15" t="s">
        <v>13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/>
      <c r="B17" s="21" t="s">
        <v>14</v>
      </c>
      <c r="C17" s="22">
        <f>(C14/C16)*100%</f>
        <v>0.891025641</v>
      </c>
      <c r="D17" s="2"/>
      <c r="E17" s="2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"/>
      <c r="B18" s="24" t="s">
        <v>15</v>
      </c>
      <c r="C18" s="25">
        <f>(C15/C16)*100%</f>
        <v>0.8068293886</v>
      </c>
      <c r="D18" s="2"/>
      <c r="E18" s="19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7"/>
      <c r="D19" s="2"/>
      <c r="E19" s="2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2"/>
      <c r="B20" s="13" t="s">
        <v>16</v>
      </c>
      <c r="C20" s="14">
        <v>3158.0</v>
      </c>
      <c r="D20" s="2"/>
      <c r="E20" s="15" t="s">
        <v>17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2"/>
      <c r="B21" s="13" t="s">
        <v>18</v>
      </c>
      <c r="C21" s="14">
        <v>3370.0</v>
      </c>
      <c r="D21" s="2"/>
      <c r="E21" s="2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6"/>
      <c r="B22" s="21" t="s">
        <v>19</v>
      </c>
      <c r="C22" s="27">
        <f>(C20/C21)*100%</f>
        <v>0.9370919881</v>
      </c>
      <c r="D22" s="2"/>
      <c r="E22" s="1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7"/>
      <c r="D23" s="2"/>
      <c r="E23" s="2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2"/>
      <c r="B24" s="13" t="s">
        <v>20</v>
      </c>
      <c r="C24" s="14">
        <v>0.0</v>
      </c>
      <c r="D24" s="2"/>
      <c r="E24" s="15" t="s">
        <v>21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2"/>
      <c r="B25" s="13" t="s">
        <v>9</v>
      </c>
      <c r="C25" s="14">
        <v>7228.0</v>
      </c>
      <c r="D25" s="2"/>
      <c r="E25" s="2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6"/>
      <c r="B26" s="21" t="s">
        <v>22</v>
      </c>
      <c r="C26" s="27">
        <f>(C24/C25)*100%</f>
        <v>0</v>
      </c>
      <c r="D26" s="2"/>
      <c r="E26" s="19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7"/>
      <c r="D27" s="2"/>
      <c r="E27" s="2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2"/>
      <c r="B28" s="13" t="s">
        <v>23</v>
      </c>
      <c r="C28" s="14">
        <v>7286.0</v>
      </c>
      <c r="D28" s="5"/>
      <c r="E28" s="15" t="s">
        <v>24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2"/>
      <c r="B29" s="13" t="s">
        <v>9</v>
      </c>
      <c r="C29" s="14">
        <v>7228.0</v>
      </c>
      <c r="D29" s="5"/>
      <c r="E29" s="2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2"/>
      <c r="B30" s="13" t="s">
        <v>25</v>
      </c>
      <c r="C30" s="14">
        <v>11.0</v>
      </c>
      <c r="D30" s="2"/>
      <c r="E30" s="2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2"/>
      <c r="B31" s="13" t="s">
        <v>26</v>
      </c>
      <c r="C31" s="14">
        <v>7.0</v>
      </c>
      <c r="D31" s="2"/>
      <c r="E31" s="2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6"/>
      <c r="B32" s="21" t="s">
        <v>27</v>
      </c>
      <c r="C32" s="27">
        <f>((C28-C30)-(C29-C31))/C29*100%</f>
        <v>0.00747094632</v>
      </c>
      <c r="D32" s="2"/>
      <c r="E32" s="1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7"/>
      <c r="D33" s="2"/>
      <c r="E33" s="2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2"/>
      <c r="B34" s="13" t="s">
        <v>28</v>
      </c>
      <c r="C34" s="14">
        <v>3858.0</v>
      </c>
      <c r="D34" s="2"/>
      <c r="E34" s="15" t="s">
        <v>29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2"/>
      <c r="B35" s="13" t="s">
        <v>30</v>
      </c>
      <c r="C35" s="14">
        <v>7.0</v>
      </c>
      <c r="D35" s="2"/>
      <c r="E35" s="2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2"/>
      <c r="B36" s="13" t="s">
        <v>31</v>
      </c>
      <c r="C36" s="14">
        <f>C34-C35</f>
        <v>3851</v>
      </c>
      <c r="D36" s="2"/>
      <c r="E36" s="2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2"/>
      <c r="B37" s="13" t="s">
        <v>32</v>
      </c>
      <c r="C37" s="14">
        <v>2563.0</v>
      </c>
      <c r="D37" s="2"/>
      <c r="E37" s="2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6"/>
      <c r="B38" s="21" t="s">
        <v>33</v>
      </c>
      <c r="C38" s="27">
        <f>(C36/C37)*100%</f>
        <v>1.502536091</v>
      </c>
      <c r="D38" s="2"/>
      <c r="E38" s="1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13" t="s">
        <v>34</v>
      </c>
      <c r="C40" s="14">
        <v>7286.0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13" t="s">
        <v>35</v>
      </c>
      <c r="C41" s="14">
        <v>7.0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13" t="s">
        <v>36</v>
      </c>
      <c r="C42" s="14">
        <v>7228.0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1" t="s">
        <v>37</v>
      </c>
      <c r="C43" s="27">
        <f>(C42-C41)/C40*100%</f>
        <v>0.9910787812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7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</sheetData>
  <mergeCells count="14">
    <mergeCell ref="B13:C13"/>
    <mergeCell ref="E14:E15"/>
    <mergeCell ref="E16:E18"/>
    <mergeCell ref="E20:E22"/>
    <mergeCell ref="E24:E26"/>
    <mergeCell ref="E28:E32"/>
    <mergeCell ref="E34:E38"/>
    <mergeCell ref="B5:C5"/>
    <mergeCell ref="B6:C6"/>
    <mergeCell ref="B7:C7"/>
    <mergeCell ref="B8:C8"/>
    <mergeCell ref="B9:C9"/>
    <mergeCell ref="B10:C10"/>
    <mergeCell ref="B11:C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2" width="47.13"/>
    <col customWidth="1" min="3" max="3" width="26.0"/>
    <col customWidth="1" min="4" max="4" width="4.13"/>
    <col customWidth="1" min="5" max="5" width="17.75"/>
    <col customWidth="1" min="7" max="7" width="17.63"/>
  </cols>
  <sheetData>
    <row r="1">
      <c r="A1" s="1"/>
      <c r="B1" s="1"/>
      <c r="C1" s="1"/>
      <c r="D1" s="2"/>
      <c r="E1" s="2"/>
      <c r="F1" s="3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/>
      <c r="B2" s="1"/>
      <c r="C2" s="1"/>
      <c r="D2" s="2"/>
      <c r="E2" s="2"/>
      <c r="F2" s="3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/>
      <c r="B3" s="1"/>
      <c r="C3" s="1"/>
      <c r="D3" s="2"/>
      <c r="E3" s="2"/>
      <c r="F3" s="3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/>
      <c r="B4" s="1"/>
      <c r="C4" s="1"/>
      <c r="D4" s="2"/>
      <c r="E4" s="2"/>
      <c r="F4" s="3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/>
      <c r="B5" s="1" t="s">
        <v>0</v>
      </c>
      <c r="D5" s="2"/>
      <c r="E5" s="2"/>
      <c r="F5" s="3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75" customHeight="1">
      <c r="A6" s="1"/>
      <c r="B6" s="1" t="s">
        <v>1</v>
      </c>
      <c r="D6" s="2"/>
      <c r="E6" s="2"/>
      <c r="F6" s="3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2.75" customHeight="1">
      <c r="A7" s="1"/>
      <c r="B7" s="1" t="s">
        <v>2</v>
      </c>
      <c r="D7" s="2"/>
      <c r="E7" s="2"/>
      <c r="F7" s="3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75" customHeight="1">
      <c r="A8" s="1"/>
      <c r="B8" s="1" t="s">
        <v>3</v>
      </c>
      <c r="D8" s="2"/>
      <c r="E8" s="2"/>
      <c r="F8" s="3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75" customHeight="1">
      <c r="A9" s="1"/>
      <c r="B9" s="1" t="s">
        <v>4</v>
      </c>
      <c r="D9" s="2"/>
      <c r="E9" s="2"/>
      <c r="F9" s="3"/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75" customHeight="1">
      <c r="A10" s="1"/>
      <c r="B10" s="4" t="s">
        <v>5</v>
      </c>
      <c r="D10" s="2"/>
      <c r="E10" s="2"/>
      <c r="F10" s="3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75" customHeight="1">
      <c r="A11" s="5"/>
      <c r="B11" s="5" t="s">
        <v>6</v>
      </c>
      <c r="D11" s="2"/>
      <c r="E11" s="2"/>
      <c r="F11" s="3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6"/>
      <c r="B12" s="6"/>
      <c r="C12" s="7"/>
      <c r="D12" s="2"/>
      <c r="E12" s="2"/>
      <c r="F12" s="3"/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2.5" customHeight="1">
      <c r="A13" s="8"/>
      <c r="B13" s="9" t="s">
        <v>7</v>
      </c>
      <c r="C13" s="10"/>
      <c r="D13" s="2"/>
      <c r="E13" s="11" t="s">
        <v>8</v>
      </c>
      <c r="F13" s="3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2"/>
      <c r="B14" s="13" t="s">
        <v>9</v>
      </c>
      <c r="C14" s="14">
        <v>7207.0</v>
      </c>
      <c r="D14" s="2"/>
      <c r="E14" s="15" t="s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6"/>
      <c r="B15" s="17" t="s">
        <v>11</v>
      </c>
      <c r="C15" s="18">
        <v>6545.0</v>
      </c>
      <c r="D15" s="2"/>
      <c r="E15" s="1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6"/>
      <c r="B16" s="17" t="s">
        <v>12</v>
      </c>
      <c r="C16" s="20">
        <v>8112.0</v>
      </c>
      <c r="D16" s="2"/>
      <c r="E16" s="15" t="s">
        <v>13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/>
      <c r="B17" s="21" t="s">
        <v>14</v>
      </c>
      <c r="C17" s="22">
        <f>(C14/C16)*100%</f>
        <v>0.8884368836</v>
      </c>
      <c r="D17" s="2"/>
      <c r="E17" s="2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"/>
      <c r="B18" s="24" t="s">
        <v>15</v>
      </c>
      <c r="C18" s="25">
        <f>(C15/C16)*100%</f>
        <v>0.8068293886</v>
      </c>
      <c r="D18" s="2"/>
      <c r="E18" s="19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7"/>
      <c r="D19" s="2"/>
      <c r="E19" s="2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2"/>
      <c r="B20" s="13" t="s">
        <v>16</v>
      </c>
      <c r="C20" s="14">
        <v>3158.0</v>
      </c>
      <c r="D20" s="2"/>
      <c r="E20" s="15" t="s">
        <v>17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2"/>
      <c r="B21" s="13" t="s">
        <v>18</v>
      </c>
      <c r="C21" s="14">
        <v>3381.0</v>
      </c>
      <c r="D21" s="2"/>
      <c r="E21" s="2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6"/>
      <c r="B22" s="21" t="s">
        <v>19</v>
      </c>
      <c r="C22" s="27">
        <f>(C20/C21)*100%</f>
        <v>0.9340431825</v>
      </c>
      <c r="D22" s="2"/>
      <c r="E22" s="1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7"/>
      <c r="D23" s="2"/>
      <c r="E23" s="2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2"/>
      <c r="B24" s="13" t="s">
        <v>20</v>
      </c>
      <c r="C24" s="14">
        <v>0.0</v>
      </c>
      <c r="D24" s="2"/>
      <c r="E24" s="15" t="s">
        <v>21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2"/>
      <c r="B25" s="13" t="s">
        <v>9</v>
      </c>
      <c r="C25" s="14">
        <v>7207.0</v>
      </c>
      <c r="D25" s="2"/>
      <c r="E25" s="2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6"/>
      <c r="B26" s="21" t="s">
        <v>22</v>
      </c>
      <c r="C26" s="27">
        <f>(C24/C25)*100%</f>
        <v>0</v>
      </c>
      <c r="D26" s="2"/>
      <c r="E26" s="19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7"/>
      <c r="D27" s="2"/>
      <c r="E27" s="2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2"/>
      <c r="B28" s="13" t="s">
        <v>23</v>
      </c>
      <c r="C28" s="14">
        <v>7286.0</v>
      </c>
      <c r="D28" s="5"/>
      <c r="E28" s="15" t="s">
        <v>24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2"/>
      <c r="B29" s="13" t="s">
        <v>9</v>
      </c>
      <c r="C29" s="14">
        <v>7207.0</v>
      </c>
      <c r="D29" s="5"/>
      <c r="E29" s="2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2"/>
      <c r="B30" s="13" t="s">
        <v>25</v>
      </c>
      <c r="C30" s="14">
        <v>11.0</v>
      </c>
      <c r="D30" s="2"/>
      <c r="E30" s="2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2"/>
      <c r="B31" s="13" t="s">
        <v>26</v>
      </c>
      <c r="C31" s="14">
        <v>7.0</v>
      </c>
      <c r="D31" s="2"/>
      <c r="E31" s="2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6"/>
      <c r="B32" s="21" t="s">
        <v>27</v>
      </c>
      <c r="C32" s="27">
        <f>((C28-C30)-(C29-C31))/C29*100%</f>
        <v>0.01040654919</v>
      </c>
      <c r="D32" s="2"/>
      <c r="E32" s="1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7"/>
      <c r="D33" s="2"/>
      <c r="E33" s="2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2"/>
      <c r="B34" s="13" t="s">
        <v>28</v>
      </c>
      <c r="C34" s="14">
        <v>3826.0</v>
      </c>
      <c r="D34" s="2"/>
      <c r="E34" s="15" t="s">
        <v>29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2"/>
      <c r="B35" s="13" t="s">
        <v>30</v>
      </c>
      <c r="C35" s="14">
        <v>7.0</v>
      </c>
      <c r="D35" s="2"/>
      <c r="E35" s="2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2"/>
      <c r="B36" s="13" t="s">
        <v>31</v>
      </c>
      <c r="C36" s="14">
        <f>C34-C35</f>
        <v>3819</v>
      </c>
      <c r="D36" s="2"/>
      <c r="E36" s="2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2"/>
      <c r="B37" s="13" t="s">
        <v>32</v>
      </c>
      <c r="C37" s="14">
        <v>2563.0</v>
      </c>
      <c r="D37" s="2"/>
      <c r="E37" s="2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6"/>
      <c r="B38" s="21" t="s">
        <v>33</v>
      </c>
      <c r="C38" s="27">
        <f>(C36/C37)*100%</f>
        <v>1.490050722</v>
      </c>
      <c r="D38" s="2"/>
      <c r="E38" s="1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13" t="s">
        <v>34</v>
      </c>
      <c r="C40" s="14">
        <v>7286.0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13" t="s">
        <v>35</v>
      </c>
      <c r="C41" s="14">
        <v>7.0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13" t="s">
        <v>36</v>
      </c>
      <c r="C42" s="14">
        <v>7228.0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1" t="s">
        <v>37</v>
      </c>
      <c r="C43" s="27">
        <f>(C42-C41)/C40*100%</f>
        <v>0.9910787812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7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</sheetData>
  <mergeCells count="14">
    <mergeCell ref="B13:C13"/>
    <mergeCell ref="E14:E15"/>
    <mergeCell ref="E16:E18"/>
    <mergeCell ref="E20:E22"/>
    <mergeCell ref="E24:E26"/>
    <mergeCell ref="E28:E32"/>
    <mergeCell ref="E34:E38"/>
    <mergeCell ref="B5:C5"/>
    <mergeCell ref="B6:C6"/>
    <mergeCell ref="B7:C7"/>
    <mergeCell ref="B8:C8"/>
    <mergeCell ref="B9:C9"/>
    <mergeCell ref="B10:C10"/>
    <mergeCell ref="B11:C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2" width="47.13"/>
    <col customWidth="1" min="3" max="3" width="26.0"/>
    <col customWidth="1" min="4" max="4" width="4.13"/>
    <col customWidth="1" min="5" max="5" width="17.75"/>
    <col customWidth="1" min="7" max="7" width="17.63"/>
  </cols>
  <sheetData>
    <row r="1">
      <c r="A1" s="1"/>
      <c r="B1" s="1"/>
      <c r="C1" s="1"/>
      <c r="D1" s="2"/>
      <c r="E1" s="2"/>
      <c r="F1" s="3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/>
      <c r="B2" s="1"/>
      <c r="C2" s="1"/>
      <c r="D2" s="2"/>
      <c r="E2" s="2"/>
      <c r="F2" s="3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/>
      <c r="B3" s="1"/>
      <c r="C3" s="1"/>
      <c r="D3" s="2"/>
      <c r="E3" s="2"/>
      <c r="F3" s="3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/>
      <c r="B4" s="1"/>
      <c r="C4" s="1"/>
      <c r="D4" s="2"/>
      <c r="E4" s="2"/>
      <c r="F4" s="3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/>
      <c r="B5" s="1" t="s">
        <v>0</v>
      </c>
      <c r="D5" s="2"/>
      <c r="E5" s="2"/>
      <c r="F5" s="3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75" customHeight="1">
      <c r="A6" s="1"/>
      <c r="B6" s="1" t="s">
        <v>1</v>
      </c>
      <c r="D6" s="2"/>
      <c r="E6" s="2"/>
      <c r="F6" s="3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2.75" customHeight="1">
      <c r="A7" s="1"/>
      <c r="B7" s="1" t="s">
        <v>2</v>
      </c>
      <c r="D7" s="2"/>
      <c r="E7" s="2"/>
      <c r="F7" s="3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75" customHeight="1">
      <c r="A8" s="1"/>
      <c r="B8" s="1" t="s">
        <v>3</v>
      </c>
      <c r="D8" s="2"/>
      <c r="E8" s="2"/>
      <c r="F8" s="3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75" customHeight="1">
      <c r="A9" s="1"/>
      <c r="B9" s="1" t="s">
        <v>4</v>
      </c>
      <c r="D9" s="2"/>
      <c r="E9" s="2"/>
      <c r="F9" s="3"/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75" customHeight="1">
      <c r="A10" s="1"/>
      <c r="B10" s="4" t="s">
        <v>5</v>
      </c>
      <c r="D10" s="2"/>
      <c r="E10" s="2"/>
      <c r="F10" s="3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75" customHeight="1">
      <c r="A11" s="5"/>
      <c r="B11" s="5" t="s">
        <v>6</v>
      </c>
      <c r="D11" s="2"/>
      <c r="E11" s="2"/>
      <c r="F11" s="3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6"/>
      <c r="B12" s="6"/>
      <c r="C12" s="7"/>
      <c r="D12" s="2"/>
      <c r="E12" s="2"/>
      <c r="F12" s="3"/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2.5" customHeight="1">
      <c r="A13" s="8"/>
      <c r="B13" s="9" t="s">
        <v>7</v>
      </c>
      <c r="C13" s="10"/>
      <c r="D13" s="2"/>
      <c r="E13" s="11" t="s">
        <v>8</v>
      </c>
      <c r="F13" s="3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2"/>
      <c r="B14" s="13" t="s">
        <v>9</v>
      </c>
      <c r="C14" s="14">
        <v>7207.0</v>
      </c>
      <c r="D14" s="2"/>
      <c r="E14" s="15" t="s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6"/>
      <c r="B15" s="17" t="s">
        <v>11</v>
      </c>
      <c r="C15" s="18">
        <v>5045.0</v>
      </c>
      <c r="D15" s="2"/>
      <c r="E15" s="1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6"/>
      <c r="B16" s="17" t="s">
        <v>12</v>
      </c>
      <c r="C16" s="20">
        <v>8112.0</v>
      </c>
      <c r="D16" s="2"/>
      <c r="E16" s="15" t="s">
        <v>13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/>
      <c r="B17" s="21" t="s">
        <v>14</v>
      </c>
      <c r="C17" s="22">
        <f>(C14/C16)*100%</f>
        <v>0.8884368836</v>
      </c>
      <c r="D17" s="2"/>
      <c r="E17" s="2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"/>
      <c r="B18" s="24" t="s">
        <v>15</v>
      </c>
      <c r="C18" s="25">
        <f>(C15/C16)*100%</f>
        <v>0.621918146</v>
      </c>
      <c r="D18" s="2"/>
      <c r="E18" s="19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7"/>
      <c r="D19" s="2"/>
      <c r="E19" s="2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2"/>
      <c r="B20" s="13" t="s">
        <v>16</v>
      </c>
      <c r="C20" s="14">
        <v>3158.0</v>
      </c>
      <c r="D20" s="2"/>
      <c r="E20" s="15" t="s">
        <v>17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2"/>
      <c r="B21" s="13" t="s">
        <v>18</v>
      </c>
      <c r="C21" s="14">
        <v>3381.0</v>
      </c>
      <c r="D21" s="2"/>
      <c r="E21" s="2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6"/>
      <c r="B22" s="21" t="s">
        <v>19</v>
      </c>
      <c r="C22" s="27">
        <f>(C20/C21)*100%</f>
        <v>0.9340431825</v>
      </c>
      <c r="D22" s="2"/>
      <c r="E22" s="1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7"/>
      <c r="D23" s="2"/>
      <c r="E23" s="2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2"/>
      <c r="B24" s="13" t="s">
        <v>20</v>
      </c>
      <c r="C24" s="14">
        <v>0.0</v>
      </c>
      <c r="D24" s="2"/>
      <c r="E24" s="15" t="s">
        <v>21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2"/>
      <c r="B25" s="13" t="s">
        <v>9</v>
      </c>
      <c r="C25" s="14">
        <v>7207.0</v>
      </c>
      <c r="D25" s="2"/>
      <c r="E25" s="2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6"/>
      <c r="B26" s="21" t="s">
        <v>22</v>
      </c>
      <c r="C26" s="27">
        <f>(C24/C25)*100%</f>
        <v>0</v>
      </c>
      <c r="D26" s="2"/>
      <c r="E26" s="19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7"/>
      <c r="D27" s="2"/>
      <c r="E27" s="2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2"/>
      <c r="B28" s="13" t="s">
        <v>38</v>
      </c>
      <c r="C28" s="14">
        <v>6326.0</v>
      </c>
      <c r="D28" s="5"/>
      <c r="E28" s="15" t="s">
        <v>24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2"/>
      <c r="B29" s="13" t="s">
        <v>9</v>
      </c>
      <c r="C29" s="14">
        <v>7207.0</v>
      </c>
      <c r="D29" s="5"/>
      <c r="E29" s="2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2"/>
      <c r="B30" s="13" t="s">
        <v>26</v>
      </c>
      <c r="C30" s="14">
        <v>7.0</v>
      </c>
      <c r="D30" s="2"/>
      <c r="E30" s="2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2"/>
      <c r="B31" s="13" t="s">
        <v>39</v>
      </c>
      <c r="C31" s="14">
        <v>11.0</v>
      </c>
      <c r="D31" s="2"/>
      <c r="E31" s="2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6"/>
      <c r="B32" s="21" t="s">
        <v>27</v>
      </c>
      <c r="C32" s="27">
        <f>((C28-C30)-(C29-C31))/C29*100%</f>
        <v>-0.1216872485</v>
      </c>
      <c r="D32" s="2"/>
      <c r="E32" s="1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7"/>
      <c r="D33" s="2"/>
      <c r="E33" s="2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2"/>
      <c r="B34" s="13" t="s">
        <v>40</v>
      </c>
      <c r="C34" s="14">
        <v>1467.0</v>
      </c>
      <c r="D34" s="2"/>
      <c r="E34" s="15" t="s">
        <v>29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2"/>
      <c r="B35" s="13" t="s">
        <v>41</v>
      </c>
      <c r="C35" s="14">
        <v>11.0</v>
      </c>
      <c r="D35" s="2"/>
      <c r="E35" s="2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2"/>
      <c r="B36" s="13" t="s">
        <v>31</v>
      </c>
      <c r="C36" s="14">
        <f>C34-C35</f>
        <v>1456</v>
      </c>
      <c r="D36" s="2"/>
      <c r="E36" s="2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2"/>
      <c r="B37" s="13" t="s">
        <v>42</v>
      </c>
      <c r="C37" s="14">
        <v>2419.0</v>
      </c>
      <c r="D37" s="2"/>
      <c r="E37" s="2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6"/>
      <c r="B38" s="21" t="s">
        <v>33</v>
      </c>
      <c r="C38" s="27">
        <f>(C36/C37)*100%</f>
        <v>0.6019016122</v>
      </c>
      <c r="D38" s="2"/>
      <c r="E38" s="1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</sheetData>
  <mergeCells count="14">
    <mergeCell ref="B13:C13"/>
    <mergeCell ref="E14:E15"/>
    <mergeCell ref="E16:E18"/>
    <mergeCell ref="E20:E22"/>
    <mergeCell ref="E24:E26"/>
    <mergeCell ref="E28:E32"/>
    <mergeCell ref="E34:E38"/>
    <mergeCell ref="B5:C5"/>
    <mergeCell ref="B6:C6"/>
    <mergeCell ref="B7:C7"/>
    <mergeCell ref="B8:C8"/>
    <mergeCell ref="B9:C9"/>
    <mergeCell ref="B10:C10"/>
    <mergeCell ref="B11:C11"/>
  </mergeCells>
  <drawing r:id="rId1"/>
</worksheet>
</file>