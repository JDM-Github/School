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2" sheetId="1" r:id="rId4"/>
  </sheets>
  <definedNames/>
  <calcPr/>
</workbook>
</file>

<file path=xl/sharedStrings.xml><?xml version="1.0" encoding="utf-8"?>
<sst xmlns="http://schemas.openxmlformats.org/spreadsheetml/2006/main" count="196" uniqueCount="42">
  <si>
    <t>SCHOOLS DIVISION OF PARAÑAQUE CITY</t>
  </si>
  <si>
    <t>PARAÑAQUE NATIONAL HIGH SCHOOL - MAIN</t>
  </si>
  <si>
    <t xml:space="preserve">SENIOR HIGH SCHOOL PROGRAM </t>
  </si>
  <si>
    <t>SCHOOL FORM (SF) 2 MONITORING TOOL</t>
  </si>
  <si>
    <t>SY 2025-2026</t>
  </si>
  <si>
    <t>GRADE LEVEL</t>
  </si>
  <si>
    <t>SECTION</t>
  </si>
  <si>
    <t>PROGRAM</t>
  </si>
  <si>
    <t>ADVISER</t>
  </si>
  <si>
    <t>GROUP</t>
  </si>
  <si>
    <t>JUNE</t>
  </si>
  <si>
    <t>JULY</t>
  </si>
  <si>
    <t>AUGUST</t>
  </si>
  <si>
    <t>SEPTEMBER</t>
  </si>
  <si>
    <t>OCTOBER</t>
  </si>
  <si>
    <t>NOVEMBER</t>
  </si>
  <si>
    <t>DECEMBER</t>
  </si>
  <si>
    <t>GRADE 11</t>
  </si>
  <si>
    <t>TOTAL</t>
  </si>
  <si>
    <t>GRADE 12</t>
  </si>
  <si>
    <t>NO. OF ADVISERS</t>
  </si>
  <si>
    <t>NUMBER OF ADVISER RESPONSES</t>
  </si>
  <si>
    <t>ABM</t>
  </si>
  <si>
    <t>ENGLISH</t>
  </si>
  <si>
    <t>ESP</t>
  </si>
  <si>
    <t>FILIPINO</t>
  </si>
  <si>
    <t>HUMSS</t>
  </si>
  <si>
    <t>MATH</t>
  </si>
  <si>
    <t>SCIENCE</t>
  </si>
  <si>
    <t>TVL - ICT</t>
  </si>
  <si>
    <t xml:space="preserve">Prepared by: </t>
  </si>
  <si>
    <t>Noted by:</t>
  </si>
  <si>
    <t>Approved by:</t>
  </si>
  <si>
    <t>EDGARDO JR. VIADOR</t>
  </si>
  <si>
    <t>Dr. ZENAIDA N. REGODON</t>
  </si>
  <si>
    <t>GERRY A. LUMABAN</t>
  </si>
  <si>
    <t>SHS LIS/BEIS Coordinator</t>
  </si>
  <si>
    <t>Assistant School Principal II</t>
  </si>
  <si>
    <t>School Principal IV</t>
  </si>
  <si>
    <t>RODEL H. VALLEJOS</t>
  </si>
  <si>
    <t>Assistant to the Principal- SHS</t>
  </si>
  <si>
    <t>Note: This Monitoring Tool is linked to the official school SF2 Compliance Report from the Records Office. Update of status of compliance from class SF2 is real-time.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</si>
</sst>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rgb="FFFFFFFF"/>
      <name val="Arial"/>
    </font>
    <font>
      <b/>
      <sz val="13.0"/>
      <color rgb="FFFFFFFF"/>
      <name val="Arial"/>
    </font>
    <font>
      <color theme="1"/>
      <name val="Arial"/>
    </font>
    <font/>
    <font>
      <b/>
      <sz val="12.0"/>
      <color rgb="FFFFFFFF"/>
      <name val="Arial"/>
    </font>
    <font>
      <b/>
      <sz val="10.0"/>
      <color rgb="FF000000"/>
      <name val="Arial"/>
    </font>
    <font>
      <b/>
      <color theme="1"/>
      <name val="Arial"/>
    </font>
    <font>
      <sz val="11.0"/>
      <color theme="1"/>
      <name val="Arial"/>
    </font>
    <font>
      <b/>
      <sz val="15.0"/>
      <color rgb="FFFFFFFF"/>
      <name val="Arial"/>
    </font>
    <font>
      <b/>
      <sz val="15.0"/>
      <color rgb="FF000000"/>
      <name val="Arial"/>
    </font>
    <font>
      <b/>
      <sz val="11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i/>
      <color theme="1"/>
      <name val="Arial"/>
    </font>
    <font>
      <b/>
      <sz val="13.0"/>
      <color rgb="FF000000"/>
      <name val="Arial"/>
    </font>
    <font>
      <i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DEFFFC"/>
        <bgColor rgb="FFDEFFFC"/>
      </patternFill>
    </fill>
    <fill>
      <patternFill patternType="solid">
        <fgColor theme="6"/>
        <bgColor theme="6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theme="8"/>
        <bgColor theme="8"/>
      </patternFill>
    </fill>
    <fill>
      <patternFill patternType="solid">
        <fgColor rgb="FFC9DAF8"/>
        <bgColor rgb="FFC9DAF8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20124D"/>
        <bgColor rgb="FF20124D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readingOrder="0"/>
    </xf>
    <xf borderId="4" fillId="0" fontId="4" numFmtId="0" xfId="0" applyBorder="1" applyFont="1"/>
    <xf borderId="1" fillId="4" fontId="6" numFmtId="0" xfId="0" applyAlignment="1" applyBorder="1" applyFont="1">
      <alignment horizontal="center" readingOrder="0" vertical="center"/>
    </xf>
    <xf borderId="1" fillId="4" fontId="7" numFmtId="10" xfId="0" applyAlignment="1" applyBorder="1" applyFont="1" applyNumberFormat="1">
      <alignment horizontal="center"/>
    </xf>
    <xf borderId="1" fillId="5" fontId="3" numFmtId="0" xfId="0" applyAlignment="1" applyBorder="1" applyFill="1" applyFont="1">
      <alignment readingOrder="0"/>
    </xf>
    <xf borderId="1" fillId="6" fontId="8" numFmtId="0" xfId="0" applyAlignment="1" applyBorder="1" applyFill="1" applyFont="1">
      <alignment horizontal="center" vertical="bottom"/>
    </xf>
    <xf borderId="1" fillId="6" fontId="8" numFmtId="0" xfId="0" applyAlignment="1" applyBorder="1" applyFont="1">
      <alignment vertical="bottom"/>
    </xf>
    <xf borderId="1" fillId="7" fontId="8" numFmtId="0" xfId="0" applyAlignment="1" applyBorder="1" applyFill="1" applyFont="1">
      <alignment vertical="bottom"/>
    </xf>
    <xf borderId="1" fillId="3" fontId="8" numFmtId="0" xfId="0" applyAlignment="1" applyBorder="1" applyFont="1">
      <alignment vertical="bottom"/>
    </xf>
    <xf borderId="1" fillId="3" fontId="6" numFmtId="1" xfId="0" applyAlignment="1" applyBorder="1" applyFont="1" applyNumberFormat="1">
      <alignment horizontal="center" readingOrder="0" vertical="center"/>
    </xf>
    <xf borderId="2" fillId="4" fontId="9" numFmtId="0" xfId="0" applyAlignment="1" applyBorder="1" applyFont="1">
      <alignment horizontal="right" readingOrder="0" shrinkToFit="0" wrapText="1"/>
    </xf>
    <xf borderId="1" fillId="4" fontId="9" numFmtId="0" xfId="0" applyAlignment="1" applyBorder="1" applyFont="1">
      <alignment horizontal="center" readingOrder="0" shrinkToFit="0" wrapText="1"/>
    </xf>
    <xf borderId="1" fillId="6" fontId="10" numFmtId="3" xfId="0" applyAlignment="1" applyBorder="1" applyFont="1" applyNumberFormat="1">
      <alignment horizontal="center" readingOrder="0" vertical="center"/>
    </xf>
    <xf borderId="2" fillId="8" fontId="11" numFmtId="0" xfId="0" applyAlignment="1" applyBorder="1" applyFill="1" applyFont="1">
      <alignment horizontal="center" readingOrder="0" shrinkToFit="0" wrapText="1"/>
    </xf>
    <xf borderId="1" fillId="8" fontId="6" numFmtId="0" xfId="0" applyAlignment="1" applyBorder="1" applyFont="1">
      <alignment horizontal="center" readingOrder="0" vertical="center"/>
    </xf>
    <xf borderId="1" fillId="8" fontId="7" numFmtId="10" xfId="0" applyAlignment="1" applyBorder="1" applyFont="1" applyNumberFormat="1">
      <alignment horizontal="center"/>
    </xf>
    <xf borderId="1" fillId="9" fontId="3" numFmtId="0" xfId="0" applyAlignment="1" applyBorder="1" applyFill="1" applyFont="1">
      <alignment readingOrder="0"/>
    </xf>
    <xf borderId="1" fillId="10" fontId="8" numFmtId="0" xfId="0" applyAlignment="1" applyBorder="1" applyFill="1" applyFont="1">
      <alignment horizontal="left" shrinkToFit="0" wrapText="1"/>
    </xf>
    <xf borderId="1" fillId="11" fontId="8" numFmtId="0" xfId="0" applyAlignment="1" applyBorder="1" applyFill="1" applyFont="1">
      <alignment shrinkToFit="0" wrapText="1"/>
    </xf>
    <xf borderId="1" fillId="3" fontId="8" numFmtId="0" xfId="0" applyAlignment="1" applyBorder="1" applyFont="1">
      <alignment shrinkToFit="0" wrapText="1"/>
    </xf>
    <xf borderId="2" fillId="12" fontId="9" numFmtId="0" xfId="0" applyAlignment="1" applyBorder="1" applyFill="1" applyFont="1">
      <alignment horizontal="right" readingOrder="0" shrinkToFit="0" wrapText="1"/>
    </xf>
    <xf borderId="1" fillId="12" fontId="9" numFmtId="0" xfId="0" applyAlignment="1" applyBorder="1" applyFont="1">
      <alignment horizontal="center" readingOrder="0" shrinkToFit="0" wrapText="1"/>
    </xf>
    <xf borderId="1" fillId="13" fontId="10" numFmtId="3" xfId="0" applyAlignment="1" applyBorder="1" applyFill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12" numFmtId="0" xfId="0" applyAlignment="1" applyFont="1">
      <alignment readingOrder="0"/>
    </xf>
    <xf borderId="0" fillId="0" fontId="12" numFmtId="0" xfId="0" applyFont="1"/>
    <xf borderId="5" fillId="14" fontId="5" numFmtId="0" xfId="0" applyAlignment="1" applyBorder="1" applyFill="1" applyFont="1">
      <alignment horizontal="center" readingOrder="0" vertical="center"/>
    </xf>
    <xf borderId="5" fillId="14" fontId="5" numFmtId="0" xfId="0" applyAlignment="1" applyBorder="1" applyFont="1">
      <alignment horizontal="center" readingOrder="0" shrinkToFit="0" vertical="center" wrapText="1"/>
    </xf>
    <xf borderId="2" fillId="14" fontId="5" numFmtId="0" xfId="0" applyAlignment="1" applyBorder="1" applyFont="1">
      <alignment horizontal="center" readingOrder="0" vertical="center"/>
    </xf>
    <xf borderId="6" fillId="0" fontId="4" numFmtId="0" xfId="0" applyBorder="1" applyFont="1"/>
    <xf borderId="1" fillId="15" fontId="5" numFmtId="0" xfId="0" applyAlignment="1" applyBorder="1" applyFill="1" applyFont="1">
      <alignment horizontal="center" readingOrder="0" vertical="center"/>
    </xf>
    <xf borderId="1" fillId="6" fontId="13" numFmtId="0" xfId="0" applyAlignment="1" applyBorder="1" applyFont="1">
      <alignment horizontal="center" readingOrder="0" vertical="center"/>
    </xf>
    <xf borderId="1" fillId="7" fontId="13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vertical="center"/>
    </xf>
    <xf borderId="0" fillId="0" fontId="7" numFmtId="0" xfId="0" applyAlignment="1" applyFont="1">
      <alignment readingOrder="0"/>
    </xf>
    <xf borderId="0" fillId="0" fontId="14" numFmtId="0" xfId="0" applyAlignment="1" applyFont="1">
      <alignment readingOrder="0"/>
    </xf>
    <xf borderId="5" fillId="6" fontId="13" numFmtId="0" xfId="0" applyAlignment="1" applyBorder="1" applyFont="1">
      <alignment horizontal="center" readingOrder="0" vertical="center"/>
    </xf>
    <xf borderId="5" fillId="7" fontId="13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vertical="center"/>
    </xf>
    <xf borderId="1" fillId="16" fontId="2" numFmtId="0" xfId="0" applyAlignment="1" applyBorder="1" applyFill="1" applyFont="1">
      <alignment horizontal="center" readingOrder="0" vertical="center"/>
    </xf>
    <xf borderId="1" fillId="5" fontId="15" numFmtId="0" xfId="0" applyAlignment="1" applyBorder="1" applyFont="1">
      <alignment horizontal="center" vertical="center"/>
    </xf>
    <xf borderId="0" fillId="0" fontId="7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801975" cy="1533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2" max="2" width="4.5"/>
    <col customWidth="1" min="3" max="3" width="16.63"/>
    <col customWidth="1" min="4" max="4" width="17.63"/>
    <col customWidth="1" min="5" max="5" width="32.5"/>
    <col customWidth="1" min="6" max="6" width="16.0"/>
    <col customWidth="1" min="7" max="7" width="13.88"/>
    <col customWidth="1" min="8" max="13" width="15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 ht="23.25" customHeight="1">
      <c r="A4" s="2" t="s">
        <v>3</v>
      </c>
    </row>
    <row r="5" ht="48.0" customHeight="1">
      <c r="A5" s="3" t="s">
        <v>4</v>
      </c>
    </row>
    <row r="6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5"/>
    </row>
    <row r="7">
      <c r="A7" s="6" t="s">
        <v>5</v>
      </c>
      <c r="B7" s="7" t="s">
        <v>6</v>
      </c>
      <c r="C7" s="8"/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  <c r="M7" s="9" t="s">
        <v>16</v>
      </c>
    </row>
    <row r="8">
      <c r="A8" s="10" t="s">
        <v>17</v>
      </c>
      <c r="B8" s="11"/>
      <c r="C8" s="11"/>
      <c r="D8" s="11"/>
      <c r="E8" s="11"/>
      <c r="F8" s="8"/>
      <c r="G8" s="12"/>
      <c r="H8" s="13"/>
      <c r="I8" s="13"/>
      <c r="J8" s="13"/>
      <c r="K8" s="13"/>
      <c r="L8" s="13"/>
      <c r="M8" s="13"/>
    </row>
    <row r="9">
      <c r="A9" s="14" t="s">
        <v>17</v>
      </c>
      <c r="B9" s="15">
        <f>IFERROR(__xludf.DUMMYFUNCTION("IMPORTRANGE(""https://docs.google.com/spreadsheets/d/1Y6XV19fmLFtsIVuzoWqyA_aEe7Uw6CzWBXWFyT0KpKc/edit?gid=1855472031#gid=1855472031"", ""SUMMARY!$B""&amp;ROW($B8))"),1.0)</f>
        <v>1</v>
      </c>
      <c r="C9" s="16" t="str">
        <f>IFERROR(__xludf.DUMMYFUNCTION("IMPORTRANGE(""https://docs.google.com/spreadsheets/d/1Y6XV19fmLFtsIVuzoWqyA_aEe7Uw6CzWBXWFyT0KpKc/edit?gid=1855472031#gid=1855472031"", ""SUMMARY!$C""&amp;ROW($C8))"),"ARANETA")</f>
        <v>ARANETA</v>
      </c>
      <c r="D9" s="17" t="str">
        <f>IFERROR(__xludf.DUMMYFUNCTION("IMPORTRANGE(""https://docs.google.com/spreadsheets/d/1Y6XV19fmLFtsIVuzoWqyA_aEe7Uw6CzWBXWFyT0KpKc/edit?gid=1855472031#gid=1855472031"", ""SUMMARY!$F""&amp;ROW($F8))"),"ABM")</f>
        <v>ABM</v>
      </c>
      <c r="E9" s="18" t="str">
        <f>IFERROR(__xludf.DUMMYFUNCTION("IMPORTRANGE(""https://docs.google.com/spreadsheets/d/1Y6XV19fmLFtsIVuzoWqyA_aEe7Uw6CzWBXWFyT0KpKc/edit?gid=1855472031#gid=1855472031"", ""SUMMARY!$D""&amp;ROW($D8))"),"EVANGELINA O. FUENTES")</f>
        <v>EVANGELINA O. FUENTES</v>
      </c>
      <c r="F9" s="18" t="str">
        <f>IFERROR(__xludf.DUMMYFUNCTION("IMPORTRANGE(""https://docs.google.com/spreadsheets/d/1Y6XV19fmLFtsIVuzoWqyA_aEe7Uw6CzWBXWFyT0KpKc/edit?gid=1855472031#gid=1855472031"", ""SUMMARY!$E""&amp;ROW($E8))"),"ABM")</f>
        <v>ABM</v>
      </c>
      <c r="G9" s="19" t="str">
        <f>IFERROR(__xludf.DUMMYFUNCTION("IMPORTRANGE(""https://docs.google.com/spreadsheets/d/1otQjWHjy3Rq_-7Ie_93jllGR_QbNz_QcBUMPB-NJUP8/edit?gid=902639746#gid=902639746"", ""CHECKING!$F""&amp;ROW(F222))"),"ENCODED")</f>
        <v>ENCODED</v>
      </c>
      <c r="H9" s="19" t="str">
        <f>IFERROR(__xludf.DUMMYFUNCTION("IMPORTRANGE(""https://docs.google.com/spreadsheets/d/1otQjWHjy3Rq_-7Ie_93jllGR_QbNz_QcBUMPB-NJUP8/edit?gid=902639746#gid=902639746"", ""CHECKING!$G""&amp;ROW(G222))"),"ENCODED")</f>
        <v>ENCODED</v>
      </c>
      <c r="I9" s="19" t="str">
        <f>IFERROR(__xludf.DUMMYFUNCTION("IMPORTRANGE(""https://docs.google.com/spreadsheets/d/1otQjWHjy3Rq_-7Ie_93jllGR_QbNz_QcBUMPB-NJUP8/edit?gid=902639746#gid=902639746"", ""CHECKING!$H""&amp;ROW(H222))"),"ENCODED")</f>
        <v>ENCODED</v>
      </c>
      <c r="J9" s="19" t="str">
        <f>IFERROR(__xludf.DUMMYFUNCTION("IMPORTRANGE(""https://docs.google.com/spreadsheets/d/1otQjWHjy3Rq_-7Ie_93jllGR_QbNz_QcBUMPB-NJUP8/edit?gid=902639746#gid=902639746"", ""CHECKING!$I""&amp;ROW(I222))"),"NOT ENCODED")</f>
        <v>NOT ENCODED</v>
      </c>
      <c r="K9" s="19" t="str">
        <f>IFERROR(__xludf.DUMMYFUNCTION("IMPORTRANGE(""https://docs.google.com/spreadsheets/d/1otQjWHjy3Rq_-7Ie_93jllGR_QbNz_QcBUMPB-NJUP8/edit?gid=902639746#gid=902639746"", ""CHECKING!$J""&amp;ROW(J222))"),"NOT ENCODED")</f>
        <v>NOT ENCODED</v>
      </c>
      <c r="L9" s="19" t="str">
        <f>IFERROR(__xludf.DUMMYFUNCTION("IMPORTRANGE(""https://docs.google.com/spreadsheets/d/1otQjWHjy3Rq_-7Ie_93jllGR_QbNz_QcBUMPB-NJUP8/edit?gid=902639746#gid=902639746"", ""CHECKING!$K""&amp;ROW(K222))"),"NOT ENCODED")</f>
        <v>NOT ENCODED</v>
      </c>
      <c r="M9" s="19" t="str">
        <f>IFERROR(__xludf.DUMMYFUNCTION("IMPORTRANGE(""https://docs.google.com/spreadsheets/d/1otQjWHjy3Rq_-7Ie_93jllGR_QbNz_QcBUMPB-NJUP8/edit?gid=902639746#gid=902639746"", ""CHECKING!$L""&amp;ROW(L222))"),"NOT ENCODED")</f>
        <v>NOT ENCODED</v>
      </c>
    </row>
    <row r="10">
      <c r="A10" s="14" t="s">
        <v>17</v>
      </c>
      <c r="B10" s="15">
        <f>IFERROR(__xludf.DUMMYFUNCTION("IMPORTRANGE(""https://docs.google.com/spreadsheets/d/1Y6XV19fmLFtsIVuzoWqyA_aEe7Uw6CzWBXWFyT0KpKc/edit?gid=1855472031#gid=1855472031"", ""SUMMARY!$B""&amp;ROW($B9))"),2.0)</f>
        <v>2</v>
      </c>
      <c r="C10" s="16" t="str">
        <f>IFERROR(__xludf.DUMMYFUNCTION("IMPORTRANGE(""https://docs.google.com/spreadsheets/d/1Y6XV19fmLFtsIVuzoWqyA_aEe7Uw6CzWBXWFyT0KpKc/edit?gid=1855472031#gid=1855472031"", ""SUMMARY!$C""&amp;ROW($C9))"),"AYALA")</f>
        <v>AYALA</v>
      </c>
      <c r="D10" s="17" t="str">
        <f>IFERROR(__xludf.DUMMYFUNCTION("IMPORTRANGE(""https://docs.google.com/spreadsheets/d/1Y6XV19fmLFtsIVuzoWqyA_aEe7Uw6CzWBXWFyT0KpKc/edit?gid=1855472031#gid=1855472031"", ""SUMMARY!$F""&amp;ROW($F9))"),"ABM")</f>
        <v>ABM</v>
      </c>
      <c r="E10" s="18" t="str">
        <f>IFERROR(__xludf.DUMMYFUNCTION("IMPORTRANGE(""https://docs.google.com/spreadsheets/d/1Y6XV19fmLFtsIVuzoWqyA_aEe7Uw6CzWBXWFyT0KpKc/edit?gid=1855472031#gid=1855472031"", ""SUMMARY!$D""&amp;ROW($D9))"),"REY G. MELGAR")</f>
        <v>REY G. MELGAR</v>
      </c>
      <c r="F10" s="18" t="str">
        <f>IFERROR(__xludf.DUMMYFUNCTION("IMPORTRANGE(""https://docs.google.com/spreadsheets/d/1Y6XV19fmLFtsIVuzoWqyA_aEe7Uw6CzWBXWFyT0KpKc/edit?gid=1855472031#gid=1855472031"", ""SUMMARY!$E""&amp;ROW($E9))"),"ABM")</f>
        <v>ABM</v>
      </c>
      <c r="G10" s="19" t="str">
        <f>IFERROR(__xludf.DUMMYFUNCTION("IMPORTRANGE(""https://docs.google.com/spreadsheets/d/1otQjWHjy3Rq_-7Ie_93jllGR_QbNz_QcBUMPB-NJUP8/edit?gid=902639746#gid=902639746"", ""CHECKING!$F""&amp;ROW(F223))"),"ENCODED")</f>
        <v>ENCODED</v>
      </c>
      <c r="H10" s="19" t="str">
        <f>IFERROR(__xludf.DUMMYFUNCTION("IMPORTRANGE(""https://docs.google.com/spreadsheets/d/1otQjWHjy3Rq_-7Ie_93jllGR_QbNz_QcBUMPB-NJUP8/edit?gid=902639746#gid=902639746"", ""CHECKING!$G""&amp;ROW(G223))"),"ENCODED")</f>
        <v>ENCODED</v>
      </c>
      <c r="I10" s="19" t="str">
        <f>IFERROR(__xludf.DUMMYFUNCTION("IMPORTRANGE(""https://docs.google.com/spreadsheets/d/1otQjWHjy3Rq_-7Ie_93jllGR_QbNz_QcBUMPB-NJUP8/edit?gid=902639746#gid=902639746"", ""CHECKING!$H""&amp;ROW(H223))"),"ENCODED")</f>
        <v>ENCODED</v>
      </c>
      <c r="J10" s="19" t="str">
        <f>IFERROR(__xludf.DUMMYFUNCTION("IMPORTRANGE(""https://docs.google.com/spreadsheets/d/1otQjWHjy3Rq_-7Ie_93jllGR_QbNz_QcBUMPB-NJUP8/edit?gid=902639746#gid=902639746"", ""CHECKING!$I""&amp;ROW(I223))"),"ENCODED")</f>
        <v>ENCODED</v>
      </c>
      <c r="K10" s="19" t="str">
        <f>IFERROR(__xludf.DUMMYFUNCTION("IMPORTRANGE(""https://docs.google.com/spreadsheets/d/1otQjWHjy3Rq_-7Ie_93jllGR_QbNz_QcBUMPB-NJUP8/edit?gid=902639746#gid=902639746"", ""CHECKING!$J""&amp;ROW(J223))"),"NOT ENCODED")</f>
        <v>NOT ENCODED</v>
      </c>
      <c r="L10" s="19" t="str">
        <f>IFERROR(__xludf.DUMMYFUNCTION("IMPORTRANGE(""https://docs.google.com/spreadsheets/d/1otQjWHjy3Rq_-7Ie_93jllGR_QbNz_QcBUMPB-NJUP8/edit?gid=902639746#gid=902639746"", ""CHECKING!$K""&amp;ROW(K223))"),"NOT ENCODED")</f>
        <v>NOT ENCODED</v>
      </c>
      <c r="M10" s="19" t="str">
        <f>IFERROR(__xludf.DUMMYFUNCTION("IMPORTRANGE(""https://docs.google.com/spreadsheets/d/1otQjWHjy3Rq_-7Ie_93jllGR_QbNz_QcBUMPB-NJUP8/edit?gid=902639746#gid=902639746"", ""CHECKING!$L""&amp;ROW(L223))"),"NOT ENCODED")</f>
        <v>NOT ENCODED</v>
      </c>
    </row>
    <row r="11">
      <c r="A11" s="14" t="s">
        <v>17</v>
      </c>
      <c r="B11" s="15">
        <f>IFERROR(__xludf.DUMMYFUNCTION("IMPORTRANGE(""https://docs.google.com/spreadsheets/d/1Y6XV19fmLFtsIVuzoWqyA_aEe7Uw6CzWBXWFyT0KpKc/edit?gid=1855472031#gid=1855472031"", ""SUMMARY!$B""&amp;ROW($B10))"),3.0)</f>
        <v>3</v>
      </c>
      <c r="C11" s="16" t="str">
        <f>IFERROR(__xludf.DUMMYFUNCTION("IMPORTRANGE(""https://docs.google.com/spreadsheets/d/1Y6XV19fmLFtsIVuzoWqyA_aEe7Uw6CzWBXWFyT0KpKc/edit?gid=1855472031#gid=1855472031"", ""SUMMARY!$C""&amp;ROW($C10))"),"CONCEPCION")</f>
        <v>CONCEPCION</v>
      </c>
      <c r="D11" s="17" t="str">
        <f>IFERROR(__xludf.DUMMYFUNCTION("IMPORTRANGE(""https://docs.google.com/spreadsheets/d/1Y6XV19fmLFtsIVuzoWqyA_aEe7Uw6CzWBXWFyT0KpKc/edit?gid=1855472031#gid=1855472031"", ""SUMMARY!$F""&amp;ROW($F10))"),"ABM")</f>
        <v>ABM</v>
      </c>
      <c r="E11" s="18" t="str">
        <f>IFERROR(__xludf.DUMMYFUNCTION("IMPORTRANGE(""https://docs.google.com/spreadsheets/d/1Y6XV19fmLFtsIVuzoWqyA_aEe7Uw6CzWBXWFyT0KpKc/edit?gid=1855472031#gid=1855472031"", ""SUMMARY!$D""&amp;ROW($D10))"),"CLEZA JOY E. CADUNGOG")</f>
        <v>CLEZA JOY E. CADUNGOG</v>
      </c>
      <c r="F11" s="18" t="str">
        <f>IFERROR(__xludf.DUMMYFUNCTION("IMPORTRANGE(""https://docs.google.com/spreadsheets/d/1Y6XV19fmLFtsIVuzoWqyA_aEe7Uw6CzWBXWFyT0KpKc/edit?gid=1855472031#gid=1855472031"", ""SUMMARY!$E""&amp;ROW($E10))"),"ENGLISH")</f>
        <v>ENGLISH</v>
      </c>
      <c r="G11" s="19" t="str">
        <f>IFERROR(__xludf.DUMMYFUNCTION("IMPORTRANGE(""https://docs.google.com/spreadsheets/d/1otQjWHjy3Rq_-7Ie_93jllGR_QbNz_QcBUMPB-NJUP8/edit?gid=902639746#gid=902639746"", ""CHECKING!$F""&amp;ROW(F224))"),"ENCODED")</f>
        <v>ENCODED</v>
      </c>
      <c r="H11" s="19" t="str">
        <f>IFERROR(__xludf.DUMMYFUNCTION("IMPORTRANGE(""https://docs.google.com/spreadsheets/d/1otQjWHjy3Rq_-7Ie_93jllGR_QbNz_QcBUMPB-NJUP8/edit?gid=902639746#gid=902639746"", ""CHECKING!$G""&amp;ROW(G224))"),"ENCODED")</f>
        <v>ENCODED</v>
      </c>
      <c r="I11" s="19" t="str">
        <f>IFERROR(__xludf.DUMMYFUNCTION("IMPORTRANGE(""https://docs.google.com/spreadsheets/d/1otQjWHjy3Rq_-7Ie_93jllGR_QbNz_QcBUMPB-NJUP8/edit?gid=902639746#gid=902639746"", ""CHECKING!$H""&amp;ROW(H224))"),"ENCODED")</f>
        <v>ENCODED</v>
      </c>
      <c r="J11" s="19" t="str">
        <f>IFERROR(__xludf.DUMMYFUNCTION("IMPORTRANGE(""https://docs.google.com/spreadsheets/d/1otQjWHjy3Rq_-7Ie_93jllGR_QbNz_QcBUMPB-NJUP8/edit?gid=902639746#gid=902639746"", ""CHECKING!$I""&amp;ROW(I224))"),"ENCODED")</f>
        <v>ENCODED</v>
      </c>
      <c r="K11" s="19" t="str">
        <f>IFERROR(__xludf.DUMMYFUNCTION("IMPORTRANGE(""https://docs.google.com/spreadsheets/d/1otQjWHjy3Rq_-7Ie_93jllGR_QbNz_QcBUMPB-NJUP8/edit?gid=902639746#gid=902639746"", ""CHECKING!$J""&amp;ROW(J224))"),"NOT ENCODED")</f>
        <v>NOT ENCODED</v>
      </c>
      <c r="L11" s="19" t="str">
        <f>IFERROR(__xludf.DUMMYFUNCTION("IMPORTRANGE(""https://docs.google.com/spreadsheets/d/1otQjWHjy3Rq_-7Ie_93jllGR_QbNz_QcBUMPB-NJUP8/edit?gid=902639746#gid=902639746"", ""CHECKING!$K""&amp;ROW(K224))"),"NOT ENCODED")</f>
        <v>NOT ENCODED</v>
      </c>
      <c r="M11" s="19" t="str">
        <f>IFERROR(__xludf.DUMMYFUNCTION("IMPORTRANGE(""https://docs.google.com/spreadsheets/d/1otQjWHjy3Rq_-7Ie_93jllGR_QbNz_QcBUMPB-NJUP8/edit?gid=902639746#gid=902639746"", ""CHECKING!$L""&amp;ROW(L224))"),"NOT ENCODED")</f>
        <v>NOT ENCODED</v>
      </c>
    </row>
    <row r="12">
      <c r="A12" s="14" t="s">
        <v>17</v>
      </c>
      <c r="B12" s="15">
        <f>IFERROR(__xludf.DUMMYFUNCTION("IMPORTRANGE(""https://docs.google.com/spreadsheets/d/1Y6XV19fmLFtsIVuzoWqyA_aEe7Uw6CzWBXWFyT0KpKc/edit?gid=1855472031#gid=1855472031"", ""SUMMARY!$B""&amp;ROW($B11))"),4.0)</f>
        <v>4</v>
      </c>
      <c r="C12" s="16" t="str">
        <f>IFERROR(__xludf.DUMMYFUNCTION("IMPORTRANGE(""https://docs.google.com/spreadsheets/d/1Y6XV19fmLFtsIVuzoWqyA_aEe7Uw6CzWBXWFyT0KpKc/edit?gid=1855472031#gid=1855472031"", ""SUMMARY!$C""&amp;ROW($C11))"),"GAISANO")</f>
        <v>GAISANO</v>
      </c>
      <c r="D12" s="17" t="str">
        <f>IFERROR(__xludf.DUMMYFUNCTION("IMPORTRANGE(""https://docs.google.com/spreadsheets/d/1Y6XV19fmLFtsIVuzoWqyA_aEe7Uw6CzWBXWFyT0KpKc/edit?gid=1855472031#gid=1855472031"", ""SUMMARY!$F""&amp;ROW($F11))"),"ABM")</f>
        <v>ABM</v>
      </c>
      <c r="E12" s="18" t="str">
        <f>IFERROR(__xludf.DUMMYFUNCTION("IMPORTRANGE(""https://docs.google.com/spreadsheets/d/1Y6XV19fmLFtsIVuzoWqyA_aEe7Uw6CzWBXWFyT0KpKc/edit?gid=1855472031#gid=1855472031"", ""SUMMARY!$D""&amp;ROW($D11))"),"CLARISSA T. CASTILLO")</f>
        <v>CLARISSA T. CASTILLO</v>
      </c>
      <c r="F12" s="18" t="str">
        <f>IFERROR(__xludf.DUMMYFUNCTION("IMPORTRANGE(""https://docs.google.com/spreadsheets/d/1Y6XV19fmLFtsIVuzoWqyA_aEe7Uw6CzWBXWFyT0KpKc/edit?gid=1855472031#gid=1855472031"", ""SUMMARY!$E""&amp;ROW($E11))"),"FILIPINO")</f>
        <v>FILIPINO</v>
      </c>
      <c r="G12" s="19" t="str">
        <f>IFERROR(__xludf.DUMMYFUNCTION("IMPORTRANGE(""https://docs.google.com/spreadsheets/d/1otQjWHjy3Rq_-7Ie_93jllGR_QbNz_QcBUMPB-NJUP8/edit?gid=902639746#gid=902639746"", ""CHECKING!$F""&amp;ROW(F225))"),"ENCODED")</f>
        <v>ENCODED</v>
      </c>
      <c r="H12" s="19" t="str">
        <f>IFERROR(__xludf.DUMMYFUNCTION("IMPORTRANGE(""https://docs.google.com/spreadsheets/d/1otQjWHjy3Rq_-7Ie_93jllGR_QbNz_QcBUMPB-NJUP8/edit?gid=902639746#gid=902639746"", ""CHECKING!$G""&amp;ROW(G225))"),"ENCODED")</f>
        <v>ENCODED</v>
      </c>
      <c r="I12" s="19" t="str">
        <f>IFERROR(__xludf.DUMMYFUNCTION("IMPORTRANGE(""https://docs.google.com/spreadsheets/d/1otQjWHjy3Rq_-7Ie_93jllGR_QbNz_QcBUMPB-NJUP8/edit?gid=902639746#gid=902639746"", ""CHECKING!$H""&amp;ROW(H225))"),"ENCODED")</f>
        <v>ENCODED</v>
      </c>
      <c r="J12" s="19" t="str">
        <f>IFERROR(__xludf.DUMMYFUNCTION("IMPORTRANGE(""https://docs.google.com/spreadsheets/d/1otQjWHjy3Rq_-7Ie_93jllGR_QbNz_QcBUMPB-NJUP8/edit?gid=902639746#gid=902639746"", ""CHECKING!$I""&amp;ROW(I225))"),"NOT ENCODED")</f>
        <v>NOT ENCODED</v>
      </c>
      <c r="K12" s="19" t="str">
        <f>IFERROR(__xludf.DUMMYFUNCTION("IMPORTRANGE(""https://docs.google.com/spreadsheets/d/1otQjWHjy3Rq_-7Ie_93jllGR_QbNz_QcBUMPB-NJUP8/edit?gid=902639746#gid=902639746"", ""CHECKING!$J""&amp;ROW(J225))"),"NOT ENCODED")</f>
        <v>NOT ENCODED</v>
      </c>
      <c r="L12" s="19" t="str">
        <f>IFERROR(__xludf.DUMMYFUNCTION("IMPORTRANGE(""https://docs.google.com/spreadsheets/d/1otQjWHjy3Rq_-7Ie_93jllGR_QbNz_QcBUMPB-NJUP8/edit?gid=902639746#gid=902639746"", ""CHECKING!$K""&amp;ROW(K225))"),"NOT ENCODED")</f>
        <v>NOT ENCODED</v>
      </c>
      <c r="M12" s="19" t="str">
        <f>IFERROR(__xludf.DUMMYFUNCTION("IMPORTRANGE(""https://docs.google.com/spreadsheets/d/1otQjWHjy3Rq_-7Ie_93jllGR_QbNz_QcBUMPB-NJUP8/edit?gid=902639746#gid=902639746"", ""CHECKING!$L""&amp;ROW(L225))"),"NOT ENCODED")</f>
        <v>NOT ENCODED</v>
      </c>
    </row>
    <row r="13">
      <c r="A13" s="14" t="s">
        <v>17</v>
      </c>
      <c r="B13" s="15">
        <f>IFERROR(__xludf.DUMMYFUNCTION("IMPORTRANGE(""https://docs.google.com/spreadsheets/d/1Y6XV19fmLFtsIVuzoWqyA_aEe7Uw6CzWBXWFyT0KpKc/edit?gid=1855472031#gid=1855472031"", ""SUMMARY!$B""&amp;ROW($B12))"),5.0)</f>
        <v>5</v>
      </c>
      <c r="C13" s="16" t="str">
        <f>IFERROR(__xludf.DUMMYFUNCTION("IMPORTRANGE(""https://docs.google.com/spreadsheets/d/1Y6XV19fmLFtsIVuzoWqyA_aEe7Uw6CzWBXWFyT0KpKc/edit?gid=1855472031#gid=1855472031"", ""SUMMARY!$C""&amp;ROW($C12))"),"GOKONGWEI")</f>
        <v>GOKONGWEI</v>
      </c>
      <c r="D13" s="17" t="str">
        <f>IFERROR(__xludf.DUMMYFUNCTION("IMPORTRANGE(""https://docs.google.com/spreadsheets/d/1Y6XV19fmLFtsIVuzoWqyA_aEe7Uw6CzWBXWFyT0KpKc/edit?gid=1855472031#gid=1855472031"", ""SUMMARY!$F""&amp;ROW($F12))"),"ABM")</f>
        <v>ABM</v>
      </c>
      <c r="E13" s="18" t="str">
        <f>IFERROR(__xludf.DUMMYFUNCTION("IMPORTRANGE(""https://docs.google.com/spreadsheets/d/1Y6XV19fmLFtsIVuzoWqyA_aEe7Uw6CzWBXWFyT0KpKc/edit?gid=1855472031#gid=1855472031"", ""SUMMARY!$D""&amp;ROW($D12))"),"GEMMA O. MINGAY")</f>
        <v>GEMMA O. MINGAY</v>
      </c>
      <c r="F13" s="18" t="str">
        <f>IFERROR(__xludf.DUMMYFUNCTION("IMPORTRANGE(""https://docs.google.com/spreadsheets/d/1Y6XV19fmLFtsIVuzoWqyA_aEe7Uw6CzWBXWFyT0KpKc/edit?gid=1855472031#gid=1855472031"", ""SUMMARY!$E""&amp;ROW($E12))"),"ENGLISH")</f>
        <v>ENGLISH</v>
      </c>
      <c r="G13" s="19" t="str">
        <f>IFERROR(__xludf.DUMMYFUNCTION("IMPORTRANGE(""https://docs.google.com/spreadsheets/d/1otQjWHjy3Rq_-7Ie_93jllGR_QbNz_QcBUMPB-NJUP8/edit?gid=902639746#gid=902639746"", ""CHECKING!$F""&amp;ROW(F226))"),"ENCODED")</f>
        <v>ENCODED</v>
      </c>
      <c r="H13" s="19" t="str">
        <f>IFERROR(__xludf.DUMMYFUNCTION("IMPORTRANGE(""https://docs.google.com/spreadsheets/d/1otQjWHjy3Rq_-7Ie_93jllGR_QbNz_QcBUMPB-NJUP8/edit?gid=902639746#gid=902639746"", ""CHECKING!$G""&amp;ROW(G226))"),"ENCODED")</f>
        <v>ENCODED</v>
      </c>
      <c r="I13" s="19" t="str">
        <f>IFERROR(__xludf.DUMMYFUNCTION("IMPORTRANGE(""https://docs.google.com/spreadsheets/d/1otQjWHjy3Rq_-7Ie_93jllGR_QbNz_QcBUMPB-NJUP8/edit?gid=902639746#gid=902639746"", ""CHECKING!$H""&amp;ROW(H226))"),"ENCODED")</f>
        <v>ENCODED</v>
      </c>
      <c r="J13" s="19" t="str">
        <f>IFERROR(__xludf.DUMMYFUNCTION("IMPORTRANGE(""https://docs.google.com/spreadsheets/d/1otQjWHjy3Rq_-7Ie_93jllGR_QbNz_QcBUMPB-NJUP8/edit?gid=902639746#gid=902639746"", ""CHECKING!$I""&amp;ROW(I226))"),"NOT ENCODED")</f>
        <v>NOT ENCODED</v>
      </c>
      <c r="K13" s="19" t="str">
        <f>IFERROR(__xludf.DUMMYFUNCTION("IMPORTRANGE(""https://docs.google.com/spreadsheets/d/1otQjWHjy3Rq_-7Ie_93jllGR_QbNz_QcBUMPB-NJUP8/edit?gid=902639746#gid=902639746"", ""CHECKING!$J""&amp;ROW(J226))"),"NOT ENCODED")</f>
        <v>NOT ENCODED</v>
      </c>
      <c r="L13" s="19" t="str">
        <f>IFERROR(__xludf.DUMMYFUNCTION("IMPORTRANGE(""https://docs.google.com/spreadsheets/d/1otQjWHjy3Rq_-7Ie_93jllGR_QbNz_QcBUMPB-NJUP8/edit?gid=902639746#gid=902639746"", ""CHECKING!$K""&amp;ROW(K226))"),"NOT ENCODED")</f>
        <v>NOT ENCODED</v>
      </c>
      <c r="M13" s="19" t="str">
        <f>IFERROR(__xludf.DUMMYFUNCTION("IMPORTRANGE(""https://docs.google.com/spreadsheets/d/1otQjWHjy3Rq_-7Ie_93jllGR_QbNz_QcBUMPB-NJUP8/edit?gid=902639746#gid=902639746"", ""CHECKING!$L""&amp;ROW(L226))"),"NOT ENCODED")</f>
        <v>NOT ENCODED</v>
      </c>
    </row>
    <row r="14">
      <c r="A14" s="14" t="s">
        <v>17</v>
      </c>
      <c r="B14" s="15">
        <f>IFERROR(__xludf.DUMMYFUNCTION("IMPORTRANGE(""https://docs.google.com/spreadsheets/d/1Y6XV19fmLFtsIVuzoWqyA_aEe7Uw6CzWBXWFyT0KpKc/edit?gid=1855472031#gid=1855472031"", ""SUMMARY!$B""&amp;ROW($B13))"),6.0)</f>
        <v>6</v>
      </c>
      <c r="C14" s="16" t="str">
        <f>IFERROR(__xludf.DUMMYFUNCTION("IMPORTRANGE(""https://docs.google.com/spreadsheets/d/1Y6XV19fmLFtsIVuzoWqyA_aEe7Uw6CzWBXWFyT0KpKc/edit?gid=1855472031#gid=1855472031"", ""SUMMARY!$C""&amp;ROW($C13))"),"GOZON")</f>
        <v>GOZON</v>
      </c>
      <c r="D14" s="17" t="str">
        <f>IFERROR(__xludf.DUMMYFUNCTION("IMPORTRANGE(""https://docs.google.com/spreadsheets/d/1Y6XV19fmLFtsIVuzoWqyA_aEe7Uw6CzWBXWFyT0KpKc/edit?gid=1855472031#gid=1855472031"", ""SUMMARY!$F""&amp;ROW($F13))"),"ABM")</f>
        <v>ABM</v>
      </c>
      <c r="E14" s="18" t="str">
        <f>IFERROR(__xludf.DUMMYFUNCTION("IMPORTRANGE(""https://docs.google.com/spreadsheets/d/1Y6XV19fmLFtsIVuzoWqyA_aEe7Uw6CzWBXWFyT0KpKc/edit?gid=1855472031#gid=1855472031"", ""SUMMARY!$D""&amp;ROW($D13))"),"KERSEY D. DULAY")</f>
        <v>KERSEY D. DULAY</v>
      </c>
      <c r="F14" s="18" t="str">
        <f>IFERROR(__xludf.DUMMYFUNCTION("IMPORTRANGE(""https://docs.google.com/spreadsheets/d/1Y6XV19fmLFtsIVuzoWqyA_aEe7Uw6CzWBXWFyT0KpKc/edit?gid=1855472031#gid=1855472031"", ""SUMMARY!$E""&amp;ROW($E13))"),"ENGLISH")</f>
        <v>ENGLISH</v>
      </c>
      <c r="G14" s="19" t="str">
        <f>IFERROR(__xludf.DUMMYFUNCTION("IMPORTRANGE(""https://docs.google.com/spreadsheets/d/1otQjWHjy3Rq_-7Ie_93jllGR_QbNz_QcBUMPB-NJUP8/edit?gid=902639746#gid=902639746"", ""CHECKING!$F""&amp;ROW(F227))"),"ENCODED")</f>
        <v>ENCODED</v>
      </c>
      <c r="H14" s="19" t="str">
        <f>IFERROR(__xludf.DUMMYFUNCTION("IMPORTRANGE(""https://docs.google.com/spreadsheets/d/1otQjWHjy3Rq_-7Ie_93jllGR_QbNz_QcBUMPB-NJUP8/edit?gid=902639746#gid=902639746"", ""CHECKING!$G""&amp;ROW(G227))"),"ENCODED")</f>
        <v>ENCODED</v>
      </c>
      <c r="I14" s="19" t="str">
        <f>IFERROR(__xludf.DUMMYFUNCTION("IMPORTRANGE(""https://docs.google.com/spreadsheets/d/1otQjWHjy3Rq_-7Ie_93jllGR_QbNz_QcBUMPB-NJUP8/edit?gid=902639746#gid=902639746"", ""CHECKING!$H""&amp;ROW(H227))"),"ENCODED")</f>
        <v>ENCODED</v>
      </c>
      <c r="J14" s="19" t="str">
        <f>IFERROR(__xludf.DUMMYFUNCTION("IMPORTRANGE(""https://docs.google.com/spreadsheets/d/1otQjWHjy3Rq_-7Ie_93jllGR_QbNz_QcBUMPB-NJUP8/edit?gid=902639746#gid=902639746"", ""CHECKING!$I""&amp;ROW(I227))"),"NOT ENCODED")</f>
        <v>NOT ENCODED</v>
      </c>
      <c r="K14" s="19" t="str">
        <f>IFERROR(__xludf.DUMMYFUNCTION("IMPORTRANGE(""https://docs.google.com/spreadsheets/d/1otQjWHjy3Rq_-7Ie_93jllGR_QbNz_QcBUMPB-NJUP8/edit?gid=902639746#gid=902639746"", ""CHECKING!$J""&amp;ROW(J227))"),"NOT ENCODED")</f>
        <v>NOT ENCODED</v>
      </c>
      <c r="L14" s="19" t="str">
        <f>IFERROR(__xludf.DUMMYFUNCTION("IMPORTRANGE(""https://docs.google.com/spreadsheets/d/1otQjWHjy3Rq_-7Ie_93jllGR_QbNz_QcBUMPB-NJUP8/edit?gid=902639746#gid=902639746"", ""CHECKING!$K""&amp;ROW(K227))"),"NOT ENCODED")</f>
        <v>NOT ENCODED</v>
      </c>
      <c r="M14" s="19" t="str">
        <f>IFERROR(__xludf.DUMMYFUNCTION("IMPORTRANGE(""https://docs.google.com/spreadsheets/d/1otQjWHjy3Rq_-7Ie_93jllGR_QbNz_QcBUMPB-NJUP8/edit?gid=902639746#gid=902639746"", ""CHECKING!$L""&amp;ROW(L227))"),"NOT ENCODED")</f>
        <v>NOT ENCODED</v>
      </c>
    </row>
    <row r="15">
      <c r="A15" s="14" t="s">
        <v>17</v>
      </c>
      <c r="B15" s="15">
        <f>IFERROR(__xludf.DUMMYFUNCTION("IMPORTRANGE(""https://docs.google.com/spreadsheets/d/1Y6XV19fmLFtsIVuzoWqyA_aEe7Uw6CzWBXWFyT0KpKc/edit?gid=1855472031#gid=1855472031"", ""SUMMARY!$B""&amp;ROW($B14))"),7.0)</f>
        <v>7</v>
      </c>
      <c r="C15" s="16" t="str">
        <f>IFERROR(__xludf.DUMMYFUNCTION("IMPORTRANGE(""https://docs.google.com/spreadsheets/d/1Y6XV19fmLFtsIVuzoWqyA_aEe7Uw6CzWBXWFyT0KpKc/edit?gid=1855472031#gid=1855472031"", ""SUMMARY!$C""&amp;ROW($C14))"),"LHUILLIER")</f>
        <v>LHUILLIER</v>
      </c>
      <c r="D15" s="17" t="str">
        <f>IFERROR(__xludf.DUMMYFUNCTION("IMPORTRANGE(""https://docs.google.com/spreadsheets/d/1Y6XV19fmLFtsIVuzoWqyA_aEe7Uw6CzWBXWFyT0KpKc/edit?gid=1855472031#gid=1855472031"", ""SUMMARY!$F""&amp;ROW($F14))"),"ABM")</f>
        <v>ABM</v>
      </c>
      <c r="E15" s="18" t="str">
        <f>IFERROR(__xludf.DUMMYFUNCTION("IMPORTRANGE(""https://docs.google.com/spreadsheets/d/1Y6XV19fmLFtsIVuzoWqyA_aEe7Uw6CzWBXWFyT0KpKc/edit?gid=1855472031#gid=1855472031"", ""SUMMARY!$D""&amp;ROW($D14))"),"GRACE A. VIRAY")</f>
        <v>GRACE A. VIRAY</v>
      </c>
      <c r="F15" s="18" t="str">
        <f>IFERROR(__xludf.DUMMYFUNCTION("IMPORTRANGE(""https://docs.google.com/spreadsheets/d/1Y6XV19fmLFtsIVuzoWqyA_aEe7Uw6CzWBXWFyT0KpKc/edit?gid=1855472031#gid=1855472031"", ""SUMMARY!$E""&amp;ROW($E14))"),"ABM")</f>
        <v>ABM</v>
      </c>
      <c r="G15" s="19" t="str">
        <f>IFERROR(__xludf.DUMMYFUNCTION("IMPORTRANGE(""https://docs.google.com/spreadsheets/d/1otQjWHjy3Rq_-7Ie_93jllGR_QbNz_QcBUMPB-NJUP8/edit?gid=902639746#gid=902639746"", ""CHECKING!$F""&amp;ROW(F228))"),"ENCODED")</f>
        <v>ENCODED</v>
      </c>
      <c r="H15" s="19" t="str">
        <f>IFERROR(__xludf.DUMMYFUNCTION("IMPORTRANGE(""https://docs.google.com/spreadsheets/d/1otQjWHjy3Rq_-7Ie_93jllGR_QbNz_QcBUMPB-NJUP8/edit?gid=902639746#gid=902639746"", ""CHECKING!$G""&amp;ROW(G228))"),"ENCODED")</f>
        <v>ENCODED</v>
      </c>
      <c r="I15" s="19" t="str">
        <f>IFERROR(__xludf.DUMMYFUNCTION("IMPORTRANGE(""https://docs.google.com/spreadsheets/d/1otQjWHjy3Rq_-7Ie_93jllGR_QbNz_QcBUMPB-NJUP8/edit?gid=902639746#gid=902639746"", ""CHECKING!$H""&amp;ROW(H228))"),"ENCODED")</f>
        <v>ENCODED</v>
      </c>
      <c r="J15" s="19" t="str">
        <f>IFERROR(__xludf.DUMMYFUNCTION("IMPORTRANGE(""https://docs.google.com/spreadsheets/d/1otQjWHjy3Rq_-7Ie_93jllGR_QbNz_QcBUMPB-NJUP8/edit?gid=902639746#gid=902639746"", ""CHECKING!$I""&amp;ROW(I228))"),"ENCODED")</f>
        <v>ENCODED</v>
      </c>
      <c r="K15" s="19" t="str">
        <f>IFERROR(__xludf.DUMMYFUNCTION("IMPORTRANGE(""https://docs.google.com/spreadsheets/d/1otQjWHjy3Rq_-7Ie_93jllGR_QbNz_QcBUMPB-NJUP8/edit?gid=902639746#gid=902639746"", ""CHECKING!$J""&amp;ROW(J228))"),"NOT ENCODED")</f>
        <v>NOT ENCODED</v>
      </c>
      <c r="L15" s="19" t="str">
        <f>IFERROR(__xludf.DUMMYFUNCTION("IMPORTRANGE(""https://docs.google.com/spreadsheets/d/1otQjWHjy3Rq_-7Ie_93jllGR_QbNz_QcBUMPB-NJUP8/edit?gid=902639746#gid=902639746"", ""CHECKING!$K""&amp;ROW(K228))"),"NOT ENCODED")</f>
        <v>NOT ENCODED</v>
      </c>
      <c r="M15" s="19" t="str">
        <f>IFERROR(__xludf.DUMMYFUNCTION("IMPORTRANGE(""https://docs.google.com/spreadsheets/d/1otQjWHjy3Rq_-7Ie_93jllGR_QbNz_QcBUMPB-NJUP8/edit?gid=902639746#gid=902639746"", ""CHECKING!$L""&amp;ROW(L228))"),"NOT ENCODED")</f>
        <v>NOT ENCODED</v>
      </c>
    </row>
    <row r="16">
      <c r="A16" s="14" t="s">
        <v>17</v>
      </c>
      <c r="B16" s="15">
        <f>IFERROR(__xludf.DUMMYFUNCTION("IMPORTRANGE(""https://docs.google.com/spreadsheets/d/1Y6XV19fmLFtsIVuzoWqyA_aEe7Uw6CzWBXWFyT0KpKc/edit?gid=1855472031#gid=1855472031"", ""SUMMARY!$B""&amp;ROW($B15))"),8.0)</f>
        <v>8</v>
      </c>
      <c r="C16" s="16" t="str">
        <f>IFERROR(__xludf.DUMMYFUNCTION("IMPORTRANGE(""https://docs.google.com/spreadsheets/d/1Y6XV19fmLFtsIVuzoWqyA_aEe7Uw6CzWBXWFyT0KpKc/edit?gid=1855472031#gid=1855472031"", ""SUMMARY!$C""&amp;ROW($C15))"),"ONGPAUCO")</f>
        <v>ONGPAUCO</v>
      </c>
      <c r="D16" s="17" t="str">
        <f>IFERROR(__xludf.DUMMYFUNCTION("IMPORTRANGE(""https://docs.google.com/spreadsheets/d/1Y6XV19fmLFtsIVuzoWqyA_aEe7Uw6CzWBXWFyT0KpKc/edit?gid=1855472031#gid=1855472031"", ""SUMMARY!$F""&amp;ROW($F15))"),"ABM")</f>
        <v>ABM</v>
      </c>
      <c r="E16" s="18" t="str">
        <f>IFERROR(__xludf.DUMMYFUNCTION("IMPORTRANGE(""https://docs.google.com/spreadsheets/d/1Y6XV19fmLFtsIVuzoWqyA_aEe7Uw6CzWBXWFyT0KpKc/edit?gid=1855472031#gid=1855472031"", ""SUMMARY!$D""&amp;ROW($D15))"),"REGINE R. CABIL")</f>
        <v>REGINE R. CABIL</v>
      </c>
      <c r="F16" s="18" t="str">
        <f>IFERROR(__xludf.DUMMYFUNCTION("IMPORTRANGE(""https://docs.google.com/spreadsheets/d/1Y6XV19fmLFtsIVuzoWqyA_aEe7Uw6CzWBXWFyT0KpKc/edit?gid=1855472031#gid=1855472031"", ""SUMMARY!$E""&amp;ROW($E15))"),"ENGLISH")</f>
        <v>ENGLISH</v>
      </c>
      <c r="G16" s="19" t="str">
        <f>IFERROR(__xludf.DUMMYFUNCTION("IMPORTRANGE(""https://docs.google.com/spreadsheets/d/1otQjWHjy3Rq_-7Ie_93jllGR_QbNz_QcBUMPB-NJUP8/edit?gid=902639746#gid=902639746"", ""CHECKING!$F""&amp;ROW(F229))"),"ENCODED")</f>
        <v>ENCODED</v>
      </c>
      <c r="H16" s="19" t="str">
        <f>IFERROR(__xludf.DUMMYFUNCTION("IMPORTRANGE(""https://docs.google.com/spreadsheets/d/1otQjWHjy3Rq_-7Ie_93jllGR_QbNz_QcBUMPB-NJUP8/edit?gid=902639746#gid=902639746"", ""CHECKING!$G""&amp;ROW(G229))"),"ENCODED")</f>
        <v>ENCODED</v>
      </c>
      <c r="I16" s="19" t="str">
        <f>IFERROR(__xludf.DUMMYFUNCTION("IMPORTRANGE(""https://docs.google.com/spreadsheets/d/1otQjWHjy3Rq_-7Ie_93jllGR_QbNz_QcBUMPB-NJUP8/edit?gid=902639746#gid=902639746"", ""CHECKING!$H""&amp;ROW(H229))"),"ENCODED")</f>
        <v>ENCODED</v>
      </c>
      <c r="J16" s="19" t="str">
        <f>IFERROR(__xludf.DUMMYFUNCTION("IMPORTRANGE(""https://docs.google.com/spreadsheets/d/1otQjWHjy3Rq_-7Ie_93jllGR_QbNz_QcBUMPB-NJUP8/edit?gid=902639746#gid=902639746"", ""CHECKING!$I""&amp;ROW(I229))"),"NOT ENCODED")</f>
        <v>NOT ENCODED</v>
      </c>
      <c r="K16" s="19" t="str">
        <f>IFERROR(__xludf.DUMMYFUNCTION("IMPORTRANGE(""https://docs.google.com/spreadsheets/d/1otQjWHjy3Rq_-7Ie_93jllGR_QbNz_QcBUMPB-NJUP8/edit?gid=902639746#gid=902639746"", ""CHECKING!$J""&amp;ROW(J229))"),"NOT ENCODED")</f>
        <v>NOT ENCODED</v>
      </c>
      <c r="L16" s="19" t="str">
        <f>IFERROR(__xludf.DUMMYFUNCTION("IMPORTRANGE(""https://docs.google.com/spreadsheets/d/1otQjWHjy3Rq_-7Ie_93jllGR_QbNz_QcBUMPB-NJUP8/edit?gid=902639746#gid=902639746"", ""CHECKING!$K""&amp;ROW(K229))"),"NOT ENCODED")</f>
        <v>NOT ENCODED</v>
      </c>
      <c r="M16" s="19" t="str">
        <f>IFERROR(__xludf.DUMMYFUNCTION("IMPORTRANGE(""https://docs.google.com/spreadsheets/d/1otQjWHjy3Rq_-7Ie_93jllGR_QbNz_QcBUMPB-NJUP8/edit?gid=902639746#gid=902639746"", ""CHECKING!$L""&amp;ROW(L229))"),"NOT ENCODED")</f>
        <v>NOT ENCODED</v>
      </c>
    </row>
    <row r="17">
      <c r="A17" s="14" t="s">
        <v>17</v>
      </c>
      <c r="B17" s="15">
        <f>IFERROR(__xludf.DUMMYFUNCTION("IMPORTRANGE(""https://docs.google.com/spreadsheets/d/1Y6XV19fmLFtsIVuzoWqyA_aEe7Uw6CzWBXWFyT0KpKc/edit?gid=1855472031#gid=1855472031"", ""SUMMARY!$B""&amp;ROW($B16))"),9.0)</f>
        <v>9</v>
      </c>
      <c r="C17" s="16" t="str">
        <f>IFERROR(__xludf.DUMMYFUNCTION("IMPORTRANGE(""https://docs.google.com/spreadsheets/d/1Y6XV19fmLFtsIVuzoWqyA_aEe7Uw6CzWBXWFyT0KpKc/edit?gid=1855472031#gid=1855472031"", ""SUMMARY!$C""&amp;ROW($C16))"),"ORTIGAS")</f>
        <v>ORTIGAS</v>
      </c>
      <c r="D17" s="17" t="str">
        <f>IFERROR(__xludf.DUMMYFUNCTION("IMPORTRANGE(""https://docs.google.com/spreadsheets/d/1Y6XV19fmLFtsIVuzoWqyA_aEe7Uw6CzWBXWFyT0KpKc/edit?gid=1855472031#gid=1855472031"", ""SUMMARY!$F""&amp;ROW($F16))"),"ABM")</f>
        <v>ABM</v>
      </c>
      <c r="E17" s="18" t="str">
        <f>IFERROR(__xludf.DUMMYFUNCTION("IMPORTRANGE(""https://docs.google.com/spreadsheets/d/1Y6XV19fmLFtsIVuzoWqyA_aEe7Uw6CzWBXWFyT0KpKc/edit?gid=1855472031#gid=1855472031"", ""SUMMARY!$D""&amp;ROW($D16))"),"ROSELLE R. FUNTENILLA")</f>
        <v>ROSELLE R. FUNTENILLA</v>
      </c>
      <c r="F17" s="18" t="str">
        <f>IFERROR(__xludf.DUMMYFUNCTION("IMPORTRANGE(""https://docs.google.com/spreadsheets/d/1Y6XV19fmLFtsIVuzoWqyA_aEe7Uw6CzWBXWFyT0KpKc/edit?gid=1855472031#gid=1855472031"", ""SUMMARY!$E""&amp;ROW($E16))"),"FILIPINO")</f>
        <v>FILIPINO</v>
      </c>
      <c r="G17" s="19" t="str">
        <f>IFERROR(__xludf.DUMMYFUNCTION("IMPORTRANGE(""https://docs.google.com/spreadsheets/d/1otQjWHjy3Rq_-7Ie_93jllGR_QbNz_QcBUMPB-NJUP8/edit?gid=902639746#gid=902639746"", ""CHECKING!$F""&amp;ROW(F230))"),"ENCODED")</f>
        <v>ENCODED</v>
      </c>
      <c r="H17" s="19" t="str">
        <f>IFERROR(__xludf.DUMMYFUNCTION("IMPORTRANGE(""https://docs.google.com/spreadsheets/d/1otQjWHjy3Rq_-7Ie_93jllGR_QbNz_QcBUMPB-NJUP8/edit?gid=902639746#gid=902639746"", ""CHECKING!$G""&amp;ROW(G230))"),"ENCODED")</f>
        <v>ENCODED</v>
      </c>
      <c r="I17" s="19" t="str">
        <f>IFERROR(__xludf.DUMMYFUNCTION("IMPORTRANGE(""https://docs.google.com/spreadsheets/d/1otQjWHjy3Rq_-7Ie_93jllGR_QbNz_QcBUMPB-NJUP8/edit?gid=902639746#gid=902639746"", ""CHECKING!$H""&amp;ROW(H230))"),"ENCODED")</f>
        <v>ENCODED</v>
      </c>
      <c r="J17" s="19" t="str">
        <f>IFERROR(__xludf.DUMMYFUNCTION("IMPORTRANGE(""https://docs.google.com/spreadsheets/d/1otQjWHjy3Rq_-7Ie_93jllGR_QbNz_QcBUMPB-NJUP8/edit?gid=902639746#gid=902639746"", ""CHECKING!$I""&amp;ROW(I230))"),"NOT ENCODED")</f>
        <v>NOT ENCODED</v>
      </c>
      <c r="K17" s="19" t="str">
        <f>IFERROR(__xludf.DUMMYFUNCTION("IMPORTRANGE(""https://docs.google.com/spreadsheets/d/1otQjWHjy3Rq_-7Ie_93jllGR_QbNz_QcBUMPB-NJUP8/edit?gid=902639746#gid=902639746"", ""CHECKING!$J""&amp;ROW(J230))"),"NOT ENCODED")</f>
        <v>NOT ENCODED</v>
      </c>
      <c r="L17" s="19" t="str">
        <f>IFERROR(__xludf.DUMMYFUNCTION("IMPORTRANGE(""https://docs.google.com/spreadsheets/d/1otQjWHjy3Rq_-7Ie_93jllGR_QbNz_QcBUMPB-NJUP8/edit?gid=902639746#gid=902639746"", ""CHECKING!$K""&amp;ROW(K230))"),"NOT ENCODED")</f>
        <v>NOT ENCODED</v>
      </c>
      <c r="M17" s="19" t="str">
        <f>IFERROR(__xludf.DUMMYFUNCTION("IMPORTRANGE(""https://docs.google.com/spreadsheets/d/1otQjWHjy3Rq_-7Ie_93jllGR_QbNz_QcBUMPB-NJUP8/edit?gid=902639746#gid=902639746"", ""CHECKING!$L""&amp;ROW(L230))"),"NOT ENCODED")</f>
        <v>NOT ENCODED</v>
      </c>
    </row>
    <row r="18">
      <c r="A18" s="14" t="s">
        <v>17</v>
      </c>
      <c r="B18" s="15">
        <f>IFERROR(__xludf.DUMMYFUNCTION("IMPORTRANGE(""https://docs.google.com/spreadsheets/d/1Y6XV19fmLFtsIVuzoWqyA_aEe7Uw6CzWBXWFyT0KpKc/edit?gid=1855472031#gid=1855472031"", ""SUMMARY!$B""&amp;ROW($B17))"),10.0)</f>
        <v>10</v>
      </c>
      <c r="C18" s="16" t="str">
        <f>IFERROR(__xludf.DUMMYFUNCTION("IMPORTRANGE(""https://docs.google.com/spreadsheets/d/1Y6XV19fmLFtsIVuzoWqyA_aEe7Uw6CzWBXWFyT0KpKc/edit?gid=1855472031#gid=1855472031"", ""SUMMARY!$C""&amp;ROW($C17))"),"PANGILINAN")</f>
        <v>PANGILINAN</v>
      </c>
      <c r="D18" s="17" t="str">
        <f>IFERROR(__xludf.DUMMYFUNCTION("IMPORTRANGE(""https://docs.google.com/spreadsheets/d/1Y6XV19fmLFtsIVuzoWqyA_aEe7Uw6CzWBXWFyT0KpKc/edit?gid=1855472031#gid=1855472031"", ""SUMMARY!$F""&amp;ROW($F17))"),"ABM")</f>
        <v>ABM</v>
      </c>
      <c r="E18" s="18" t="str">
        <f>IFERROR(__xludf.DUMMYFUNCTION("IMPORTRANGE(""https://docs.google.com/spreadsheets/d/1Y6XV19fmLFtsIVuzoWqyA_aEe7Uw6CzWBXWFyT0KpKc/edit?gid=1855472031#gid=1855472031"", ""SUMMARY!$D""&amp;ROW($D17))"),"CHERYL S. SEMBRAN")</f>
        <v>CHERYL S. SEMBRAN</v>
      </c>
      <c r="F18" s="18" t="str">
        <f>IFERROR(__xludf.DUMMYFUNCTION("IMPORTRANGE(""https://docs.google.com/spreadsheets/d/1Y6XV19fmLFtsIVuzoWqyA_aEe7Uw6CzWBXWFyT0KpKc/edit?gid=1855472031#gid=1855472031"", ""SUMMARY!$E""&amp;ROW($E17))"),"SCIENCE")</f>
        <v>SCIENCE</v>
      </c>
      <c r="G18" s="19" t="str">
        <f>IFERROR(__xludf.DUMMYFUNCTION("IMPORTRANGE(""https://docs.google.com/spreadsheets/d/1otQjWHjy3Rq_-7Ie_93jllGR_QbNz_QcBUMPB-NJUP8/edit?gid=902639746#gid=902639746"", ""CHECKING!$F""&amp;ROW(F231))"),"ENCODED")</f>
        <v>ENCODED</v>
      </c>
      <c r="H18" s="19" t="str">
        <f>IFERROR(__xludf.DUMMYFUNCTION("IMPORTRANGE(""https://docs.google.com/spreadsheets/d/1otQjWHjy3Rq_-7Ie_93jllGR_QbNz_QcBUMPB-NJUP8/edit?gid=902639746#gid=902639746"", ""CHECKING!$G""&amp;ROW(G231))"),"ENCODED")</f>
        <v>ENCODED</v>
      </c>
      <c r="I18" s="19" t="str">
        <f>IFERROR(__xludf.DUMMYFUNCTION("IMPORTRANGE(""https://docs.google.com/spreadsheets/d/1otQjWHjy3Rq_-7Ie_93jllGR_QbNz_QcBUMPB-NJUP8/edit?gid=902639746#gid=902639746"", ""CHECKING!$H""&amp;ROW(H231))"),"ENCODED")</f>
        <v>ENCODED</v>
      </c>
      <c r="J18" s="19" t="str">
        <f>IFERROR(__xludf.DUMMYFUNCTION("IMPORTRANGE(""https://docs.google.com/spreadsheets/d/1otQjWHjy3Rq_-7Ie_93jllGR_QbNz_QcBUMPB-NJUP8/edit?gid=902639746#gid=902639746"", ""CHECKING!$I""&amp;ROW(I231))"),"ENCODED")</f>
        <v>ENCODED</v>
      </c>
      <c r="K18" s="19" t="str">
        <f>IFERROR(__xludf.DUMMYFUNCTION("IMPORTRANGE(""https://docs.google.com/spreadsheets/d/1otQjWHjy3Rq_-7Ie_93jllGR_QbNz_QcBUMPB-NJUP8/edit?gid=902639746#gid=902639746"", ""CHECKING!$J""&amp;ROW(J231))"),"NOT ENCODED")</f>
        <v>NOT ENCODED</v>
      </c>
      <c r="L18" s="19" t="str">
        <f>IFERROR(__xludf.DUMMYFUNCTION("IMPORTRANGE(""https://docs.google.com/spreadsheets/d/1otQjWHjy3Rq_-7Ie_93jllGR_QbNz_QcBUMPB-NJUP8/edit?gid=902639746#gid=902639746"", ""CHECKING!$K""&amp;ROW(K231))"),"NOT ENCODED")</f>
        <v>NOT ENCODED</v>
      </c>
      <c r="M18" s="19" t="str">
        <f>IFERROR(__xludf.DUMMYFUNCTION("IMPORTRANGE(""https://docs.google.com/spreadsheets/d/1otQjWHjy3Rq_-7Ie_93jllGR_QbNz_QcBUMPB-NJUP8/edit?gid=902639746#gid=902639746"", ""CHECKING!$L""&amp;ROW(L231))"),"NOT ENCODED")</f>
        <v>NOT ENCODED</v>
      </c>
    </row>
    <row r="19">
      <c r="A19" s="14" t="s">
        <v>17</v>
      </c>
      <c r="B19" s="15">
        <f>IFERROR(__xludf.DUMMYFUNCTION("IMPORTRANGE(""https://docs.google.com/spreadsheets/d/1Y6XV19fmLFtsIVuzoWqyA_aEe7Uw6CzWBXWFyT0KpKc/edit?gid=1855472031#gid=1855472031"", ""SUMMARY!$B""&amp;ROW($B18))"),11.0)</f>
        <v>11</v>
      </c>
      <c r="C19" s="16" t="str">
        <f>IFERROR(__xludf.DUMMYFUNCTION("IMPORTRANGE(""https://docs.google.com/spreadsheets/d/1Y6XV19fmLFtsIVuzoWqyA_aEe7Uw6CzWBXWFyT0KpKc/edit?gid=1855472031#gid=1855472031"", ""SUMMARY!$C""&amp;ROW($C18))"),"PATERNO")</f>
        <v>PATERNO</v>
      </c>
      <c r="D19" s="17" t="str">
        <f>IFERROR(__xludf.DUMMYFUNCTION("IMPORTRANGE(""https://docs.google.com/spreadsheets/d/1Y6XV19fmLFtsIVuzoWqyA_aEe7Uw6CzWBXWFyT0KpKc/edit?gid=1855472031#gid=1855472031"", ""SUMMARY!$F""&amp;ROW($F18))"),"ABM")</f>
        <v>ABM</v>
      </c>
      <c r="E19" s="18" t="str">
        <f>IFERROR(__xludf.DUMMYFUNCTION("IMPORTRANGE(""https://docs.google.com/spreadsheets/d/1Y6XV19fmLFtsIVuzoWqyA_aEe7Uw6CzWBXWFyT0KpKc/edit?gid=1855472031#gid=1855472031"", ""SUMMARY!$D""&amp;ROW($D18))"),"SHERA MAE M. ROSAGAS")</f>
        <v>SHERA MAE M. ROSAGAS</v>
      </c>
      <c r="F19" s="18" t="str">
        <f>IFERROR(__xludf.DUMMYFUNCTION("IMPORTRANGE(""https://docs.google.com/spreadsheets/d/1Y6XV19fmLFtsIVuzoWqyA_aEe7Uw6CzWBXWFyT0KpKc/edit?gid=1855472031#gid=1855472031"", ""SUMMARY!$E""&amp;ROW($E18))"),"ENGLISH")</f>
        <v>ENGLISH</v>
      </c>
      <c r="G19" s="19" t="str">
        <f>IFERROR(__xludf.DUMMYFUNCTION("IMPORTRANGE(""https://docs.google.com/spreadsheets/d/1otQjWHjy3Rq_-7Ie_93jllGR_QbNz_QcBUMPB-NJUP8/edit?gid=902639746#gid=902639746"", ""CHECKING!$F""&amp;ROW(F232))"),"ENCODED")</f>
        <v>ENCODED</v>
      </c>
      <c r="H19" s="19" t="str">
        <f>IFERROR(__xludf.DUMMYFUNCTION("IMPORTRANGE(""https://docs.google.com/spreadsheets/d/1otQjWHjy3Rq_-7Ie_93jllGR_QbNz_QcBUMPB-NJUP8/edit?gid=902639746#gid=902639746"", ""CHECKING!$G""&amp;ROW(G232))"),"ENCODED")</f>
        <v>ENCODED</v>
      </c>
      <c r="I19" s="19" t="str">
        <f>IFERROR(__xludf.DUMMYFUNCTION("IMPORTRANGE(""https://docs.google.com/spreadsheets/d/1otQjWHjy3Rq_-7Ie_93jllGR_QbNz_QcBUMPB-NJUP8/edit?gid=902639746#gid=902639746"", ""CHECKING!$H""&amp;ROW(H232))"),"ENCODED")</f>
        <v>ENCODED</v>
      </c>
      <c r="J19" s="19" t="str">
        <f>IFERROR(__xludf.DUMMYFUNCTION("IMPORTRANGE(""https://docs.google.com/spreadsheets/d/1otQjWHjy3Rq_-7Ie_93jllGR_QbNz_QcBUMPB-NJUP8/edit?gid=902639746#gid=902639746"", ""CHECKING!$I""&amp;ROW(I232))"),"ENCODED")</f>
        <v>ENCODED</v>
      </c>
      <c r="K19" s="19" t="str">
        <f>IFERROR(__xludf.DUMMYFUNCTION("IMPORTRANGE(""https://docs.google.com/spreadsheets/d/1otQjWHjy3Rq_-7Ie_93jllGR_QbNz_QcBUMPB-NJUP8/edit?gid=902639746#gid=902639746"", ""CHECKING!$J""&amp;ROW(J232))"),"NOT ENCODED")</f>
        <v>NOT ENCODED</v>
      </c>
      <c r="L19" s="19" t="str">
        <f>IFERROR(__xludf.DUMMYFUNCTION("IMPORTRANGE(""https://docs.google.com/spreadsheets/d/1otQjWHjy3Rq_-7Ie_93jllGR_QbNz_QcBUMPB-NJUP8/edit?gid=902639746#gid=902639746"", ""CHECKING!$K""&amp;ROW(K232))"),"NOT ENCODED")</f>
        <v>NOT ENCODED</v>
      </c>
      <c r="M19" s="19" t="str">
        <f>IFERROR(__xludf.DUMMYFUNCTION("IMPORTRANGE(""https://docs.google.com/spreadsheets/d/1otQjWHjy3Rq_-7Ie_93jllGR_QbNz_QcBUMPB-NJUP8/edit?gid=902639746#gid=902639746"", ""CHECKING!$L""&amp;ROW(L232))"),"NOT ENCODED")</f>
        <v>NOT ENCODED</v>
      </c>
    </row>
    <row r="20">
      <c r="A20" s="14" t="s">
        <v>17</v>
      </c>
      <c r="B20" s="15">
        <f>IFERROR(__xludf.DUMMYFUNCTION("IMPORTRANGE(""https://docs.google.com/spreadsheets/d/1Y6XV19fmLFtsIVuzoWqyA_aEe7Uw6CzWBXWFyT0KpKc/edit?gid=1855472031#gid=1855472031"", ""SUMMARY!$B""&amp;ROW($B19))"),12.0)</f>
        <v>12</v>
      </c>
      <c r="C20" s="16" t="str">
        <f>IFERROR(__xludf.DUMMYFUNCTION("IMPORTRANGE(""https://docs.google.com/spreadsheets/d/1Y6XV19fmLFtsIVuzoWqyA_aEe7Uw6CzWBXWFyT0KpKc/edit?gid=1855472031#gid=1855472031"", ""SUMMARY!$C""&amp;ROW($C19))"),"RAZON")</f>
        <v>RAZON</v>
      </c>
      <c r="D20" s="17" t="str">
        <f>IFERROR(__xludf.DUMMYFUNCTION("IMPORTRANGE(""https://docs.google.com/spreadsheets/d/1Y6XV19fmLFtsIVuzoWqyA_aEe7Uw6CzWBXWFyT0KpKc/edit?gid=1855472031#gid=1855472031"", ""SUMMARY!$F""&amp;ROW($F19))"),"ABM")</f>
        <v>ABM</v>
      </c>
      <c r="E20" s="18" t="str">
        <f>IFERROR(__xludf.DUMMYFUNCTION("IMPORTRANGE(""https://docs.google.com/spreadsheets/d/1Y6XV19fmLFtsIVuzoWqyA_aEe7Uw6CzWBXWFyT0KpKc/edit?gid=1855472031#gid=1855472031"", ""SUMMARY!$D""&amp;ROW($D19))"),"JENILYN C. FRIAS")</f>
        <v>JENILYN C. FRIAS</v>
      </c>
      <c r="F20" s="18" t="str">
        <f>IFERROR(__xludf.DUMMYFUNCTION("IMPORTRANGE(""https://docs.google.com/spreadsheets/d/1Y6XV19fmLFtsIVuzoWqyA_aEe7Uw6CzWBXWFyT0KpKc/edit?gid=1855472031#gid=1855472031"", ""SUMMARY!$E""&amp;ROW($E19))"),"FILIPINO")</f>
        <v>FILIPINO</v>
      </c>
      <c r="G20" s="19" t="str">
        <f>IFERROR(__xludf.DUMMYFUNCTION("IMPORTRANGE(""https://docs.google.com/spreadsheets/d/1otQjWHjy3Rq_-7Ie_93jllGR_QbNz_QcBUMPB-NJUP8/edit?gid=902639746#gid=902639746"", ""CHECKING!$F""&amp;ROW(F233))"),"ENCODED")</f>
        <v>ENCODED</v>
      </c>
      <c r="H20" s="19" t="str">
        <f>IFERROR(__xludf.DUMMYFUNCTION("IMPORTRANGE(""https://docs.google.com/spreadsheets/d/1otQjWHjy3Rq_-7Ie_93jllGR_QbNz_QcBUMPB-NJUP8/edit?gid=902639746#gid=902639746"", ""CHECKING!$G""&amp;ROW(G233))"),"ENCODED")</f>
        <v>ENCODED</v>
      </c>
      <c r="I20" s="19" t="str">
        <f>IFERROR(__xludf.DUMMYFUNCTION("IMPORTRANGE(""https://docs.google.com/spreadsheets/d/1otQjWHjy3Rq_-7Ie_93jllGR_QbNz_QcBUMPB-NJUP8/edit?gid=902639746#gid=902639746"", ""CHECKING!$H""&amp;ROW(H233))"),"ENCODED")</f>
        <v>ENCODED</v>
      </c>
      <c r="J20" s="19" t="str">
        <f>IFERROR(__xludf.DUMMYFUNCTION("IMPORTRANGE(""https://docs.google.com/spreadsheets/d/1otQjWHjy3Rq_-7Ie_93jllGR_QbNz_QcBUMPB-NJUP8/edit?gid=902639746#gid=902639746"", ""CHECKING!$I""&amp;ROW(I233))"),"ENCODED")</f>
        <v>ENCODED</v>
      </c>
      <c r="K20" s="19" t="str">
        <f>IFERROR(__xludf.DUMMYFUNCTION("IMPORTRANGE(""https://docs.google.com/spreadsheets/d/1otQjWHjy3Rq_-7Ie_93jllGR_QbNz_QcBUMPB-NJUP8/edit?gid=902639746#gid=902639746"", ""CHECKING!$J""&amp;ROW(J233))"),"NOT ENCODED")</f>
        <v>NOT ENCODED</v>
      </c>
      <c r="L20" s="19" t="str">
        <f>IFERROR(__xludf.DUMMYFUNCTION("IMPORTRANGE(""https://docs.google.com/spreadsheets/d/1otQjWHjy3Rq_-7Ie_93jllGR_QbNz_QcBUMPB-NJUP8/edit?gid=902639746#gid=902639746"", ""CHECKING!$K""&amp;ROW(K233))"),"NOT ENCODED")</f>
        <v>NOT ENCODED</v>
      </c>
      <c r="M20" s="19" t="str">
        <f>IFERROR(__xludf.DUMMYFUNCTION("IMPORTRANGE(""https://docs.google.com/spreadsheets/d/1otQjWHjy3Rq_-7Ie_93jllGR_QbNz_QcBUMPB-NJUP8/edit?gid=902639746#gid=902639746"", ""CHECKING!$L""&amp;ROW(L233))"),"NOT ENCODED")</f>
        <v>NOT ENCODED</v>
      </c>
    </row>
    <row r="21">
      <c r="A21" s="14" t="s">
        <v>17</v>
      </c>
      <c r="B21" s="15">
        <f>IFERROR(__xludf.DUMMYFUNCTION("IMPORTRANGE(""https://docs.google.com/spreadsheets/d/1Y6XV19fmLFtsIVuzoWqyA_aEe7Uw6CzWBXWFyT0KpKc/edit?gid=1855472031#gid=1855472031"", ""SUMMARY!$B""&amp;ROW($B20))"),13.0)</f>
        <v>13</v>
      </c>
      <c r="C21" s="16" t="str">
        <f>IFERROR(__xludf.DUMMYFUNCTION("IMPORTRANGE(""https://docs.google.com/spreadsheets/d/1Y6XV19fmLFtsIVuzoWqyA_aEe7Uw6CzWBXWFyT0KpKc/edit?gid=1855472031#gid=1855472031"", ""SUMMARY!$C""&amp;ROW($C20))"),"SYCIP")</f>
        <v>SYCIP</v>
      </c>
      <c r="D21" s="17" t="str">
        <f>IFERROR(__xludf.DUMMYFUNCTION("IMPORTRANGE(""https://docs.google.com/spreadsheets/d/1Y6XV19fmLFtsIVuzoWqyA_aEe7Uw6CzWBXWFyT0KpKc/edit?gid=1855472031#gid=1855472031"", ""SUMMARY!$F""&amp;ROW($F20))"),"ABM")</f>
        <v>ABM</v>
      </c>
      <c r="E21" s="18" t="str">
        <f>IFERROR(__xludf.DUMMYFUNCTION("IMPORTRANGE(""https://docs.google.com/spreadsheets/d/1Y6XV19fmLFtsIVuzoWqyA_aEe7Uw6CzWBXWFyT0KpKc/edit?gid=1855472031#gid=1855472031"", ""SUMMARY!$D""&amp;ROW($D20))"),"JOSEPH L. CASANDIG")</f>
        <v>JOSEPH L. CASANDIG</v>
      </c>
      <c r="F21" s="18" t="str">
        <f>IFERROR(__xludf.DUMMYFUNCTION("IMPORTRANGE(""https://docs.google.com/spreadsheets/d/1Y6XV19fmLFtsIVuzoWqyA_aEe7Uw6CzWBXWFyT0KpKc/edit?gid=1855472031#gid=1855472031"", ""SUMMARY!$E""&amp;ROW($E20))"),"SCIENCE")</f>
        <v>SCIENCE</v>
      </c>
      <c r="G21" s="19" t="str">
        <f>IFERROR(__xludf.DUMMYFUNCTION("IMPORTRANGE(""https://docs.google.com/spreadsheets/d/1otQjWHjy3Rq_-7Ie_93jllGR_QbNz_QcBUMPB-NJUP8/edit?gid=902639746#gid=902639746"", ""CHECKING!$F""&amp;ROW(F234))"),"ENCODED")</f>
        <v>ENCODED</v>
      </c>
      <c r="H21" s="19" t="str">
        <f>IFERROR(__xludf.DUMMYFUNCTION("IMPORTRANGE(""https://docs.google.com/spreadsheets/d/1otQjWHjy3Rq_-7Ie_93jllGR_QbNz_QcBUMPB-NJUP8/edit?gid=902639746#gid=902639746"", ""CHECKING!$G""&amp;ROW(G234))"),"ENCODED")</f>
        <v>ENCODED</v>
      </c>
      <c r="I21" s="19" t="str">
        <f>IFERROR(__xludf.DUMMYFUNCTION("IMPORTRANGE(""https://docs.google.com/spreadsheets/d/1otQjWHjy3Rq_-7Ie_93jllGR_QbNz_QcBUMPB-NJUP8/edit?gid=902639746#gid=902639746"", ""CHECKING!$H""&amp;ROW(H234))"),"ENCODED")</f>
        <v>ENCODED</v>
      </c>
      <c r="J21" s="19" t="str">
        <f>IFERROR(__xludf.DUMMYFUNCTION("IMPORTRANGE(""https://docs.google.com/spreadsheets/d/1otQjWHjy3Rq_-7Ie_93jllGR_QbNz_QcBUMPB-NJUP8/edit?gid=902639746#gid=902639746"", ""CHECKING!$I""&amp;ROW(I234))"),"ENCODED")</f>
        <v>ENCODED</v>
      </c>
      <c r="K21" s="19" t="str">
        <f>IFERROR(__xludf.DUMMYFUNCTION("IMPORTRANGE(""https://docs.google.com/spreadsheets/d/1otQjWHjy3Rq_-7Ie_93jllGR_QbNz_QcBUMPB-NJUP8/edit?gid=902639746#gid=902639746"", ""CHECKING!$J""&amp;ROW(J234))"),"NOT ENCODED")</f>
        <v>NOT ENCODED</v>
      </c>
      <c r="L21" s="19" t="str">
        <f>IFERROR(__xludf.DUMMYFUNCTION("IMPORTRANGE(""https://docs.google.com/spreadsheets/d/1otQjWHjy3Rq_-7Ie_93jllGR_QbNz_QcBUMPB-NJUP8/edit?gid=902639746#gid=902639746"", ""CHECKING!$K""&amp;ROW(K234))"),"NOT ENCODED")</f>
        <v>NOT ENCODED</v>
      </c>
      <c r="M21" s="19" t="str">
        <f>IFERROR(__xludf.DUMMYFUNCTION("IMPORTRANGE(""https://docs.google.com/spreadsheets/d/1otQjWHjy3Rq_-7Ie_93jllGR_QbNz_QcBUMPB-NJUP8/edit?gid=902639746#gid=902639746"", ""CHECKING!$L""&amp;ROW(L234))"),"NOT ENCODED")</f>
        <v>NOT ENCODED</v>
      </c>
    </row>
    <row r="22">
      <c r="A22" s="14" t="s">
        <v>17</v>
      </c>
      <c r="B22" s="15">
        <f>IFERROR(__xludf.DUMMYFUNCTION("IMPORTRANGE(""https://docs.google.com/spreadsheets/d/1Y6XV19fmLFtsIVuzoWqyA_aEe7Uw6CzWBXWFyT0KpKc/edit?gid=1855472031#gid=1855472031"", ""SUMMARY!$B""&amp;ROW($B21))"),14.0)</f>
        <v>14</v>
      </c>
      <c r="C22" s="16" t="str">
        <f>IFERROR(__xludf.DUMMYFUNCTION("IMPORTRANGE(""https://docs.google.com/spreadsheets/d/1Y6XV19fmLFtsIVuzoWqyA_aEe7Uw6CzWBXWFyT0KpKc/edit?gid=1855472031#gid=1855472031"", ""SUMMARY!$C""&amp;ROW($C21))"),"YUCHENGCO")</f>
        <v>YUCHENGCO</v>
      </c>
      <c r="D22" s="17" t="str">
        <f>IFERROR(__xludf.DUMMYFUNCTION("IMPORTRANGE(""https://docs.google.com/spreadsheets/d/1Y6XV19fmLFtsIVuzoWqyA_aEe7Uw6CzWBXWFyT0KpKc/edit?gid=1855472031#gid=1855472031"", ""SUMMARY!$F""&amp;ROW($F21))"),"ABM")</f>
        <v>ABM</v>
      </c>
      <c r="E22" s="18" t="str">
        <f>IFERROR(__xludf.DUMMYFUNCTION("IMPORTRANGE(""https://docs.google.com/spreadsheets/d/1Y6XV19fmLFtsIVuzoWqyA_aEe7Uw6CzWBXWFyT0KpKc/edit?gid=1855472031#gid=1855472031"", ""SUMMARY!$D""&amp;ROW($D21))"),"JUSTINE JOHN S. CERUMA")</f>
        <v>JUSTINE JOHN S. CERUMA</v>
      </c>
      <c r="F22" s="18" t="str">
        <f>IFERROR(__xludf.DUMMYFUNCTION("IMPORTRANGE(""https://docs.google.com/spreadsheets/d/1Y6XV19fmLFtsIVuzoWqyA_aEe7Uw6CzWBXWFyT0KpKc/edit?gid=1855472031#gid=1855472031"", ""SUMMARY!$E""&amp;ROW($E21))"),"ABM")</f>
        <v>ABM</v>
      </c>
      <c r="G22" s="19" t="str">
        <f>IFERROR(__xludf.DUMMYFUNCTION("IMPORTRANGE(""https://docs.google.com/spreadsheets/d/1otQjWHjy3Rq_-7Ie_93jllGR_QbNz_QcBUMPB-NJUP8/edit?gid=902639746#gid=902639746"", ""CHECKING!$F""&amp;ROW(F235))"),"ENCODED")</f>
        <v>ENCODED</v>
      </c>
      <c r="H22" s="19" t="str">
        <f>IFERROR(__xludf.DUMMYFUNCTION("IMPORTRANGE(""https://docs.google.com/spreadsheets/d/1otQjWHjy3Rq_-7Ie_93jllGR_QbNz_QcBUMPB-NJUP8/edit?gid=902639746#gid=902639746"", ""CHECKING!$G""&amp;ROW(G235))"),"ENCODED")</f>
        <v>ENCODED</v>
      </c>
      <c r="I22" s="19" t="str">
        <f>IFERROR(__xludf.DUMMYFUNCTION("IMPORTRANGE(""https://docs.google.com/spreadsheets/d/1otQjWHjy3Rq_-7Ie_93jllGR_QbNz_QcBUMPB-NJUP8/edit?gid=902639746#gid=902639746"", ""CHECKING!$H""&amp;ROW(H235))"),"ENCODED")</f>
        <v>ENCODED</v>
      </c>
      <c r="J22" s="19" t="str">
        <f>IFERROR(__xludf.DUMMYFUNCTION("IMPORTRANGE(""https://docs.google.com/spreadsheets/d/1otQjWHjy3Rq_-7Ie_93jllGR_QbNz_QcBUMPB-NJUP8/edit?gid=902639746#gid=902639746"", ""CHECKING!$I""&amp;ROW(I235))"),"ENCODED")</f>
        <v>ENCODED</v>
      </c>
      <c r="K22" s="19" t="str">
        <f>IFERROR(__xludf.DUMMYFUNCTION("IMPORTRANGE(""https://docs.google.com/spreadsheets/d/1otQjWHjy3Rq_-7Ie_93jllGR_QbNz_QcBUMPB-NJUP8/edit?gid=902639746#gid=902639746"", ""CHECKING!$J""&amp;ROW(J235))"),"NOT ENCODED")</f>
        <v>NOT ENCODED</v>
      </c>
      <c r="L22" s="19" t="str">
        <f>IFERROR(__xludf.DUMMYFUNCTION("IMPORTRANGE(""https://docs.google.com/spreadsheets/d/1otQjWHjy3Rq_-7Ie_93jllGR_QbNz_QcBUMPB-NJUP8/edit?gid=902639746#gid=902639746"", ""CHECKING!$K""&amp;ROW(K235))"),"NOT ENCODED")</f>
        <v>NOT ENCODED</v>
      </c>
      <c r="M22" s="19" t="str">
        <f>IFERROR(__xludf.DUMMYFUNCTION("IMPORTRANGE(""https://docs.google.com/spreadsheets/d/1otQjWHjy3Rq_-7Ie_93jllGR_QbNz_QcBUMPB-NJUP8/edit?gid=902639746#gid=902639746"", ""CHECKING!$L""&amp;ROW(L235))"),"NOT ENCODED")</f>
        <v>NOT ENCODED</v>
      </c>
    </row>
    <row r="23">
      <c r="A23" s="14" t="s">
        <v>17</v>
      </c>
      <c r="B23" s="15">
        <f>IFERROR(__xludf.DUMMYFUNCTION("IMPORTRANGE(""https://docs.google.com/spreadsheets/d/1Y6XV19fmLFtsIVuzoWqyA_aEe7Uw6CzWBXWFyT0KpKc/edit?gid=1855472031#gid=1855472031"", ""SUMMARY!$B""&amp;ROW($B22))"),15.0)</f>
        <v>15</v>
      </c>
      <c r="C23" s="16" t="str">
        <f>IFERROR(__xludf.DUMMYFUNCTION("IMPORTRANGE(""https://docs.google.com/spreadsheets/d/1Y6XV19fmLFtsIVuzoWqyA_aEe7Uw6CzWBXWFyT0KpKc/edit?gid=1855472031#gid=1855472031"", ""SUMMARY!$C""&amp;ROW($C22))"),"ZOBEL")</f>
        <v>ZOBEL</v>
      </c>
      <c r="D23" s="17" t="str">
        <f>IFERROR(__xludf.DUMMYFUNCTION("IMPORTRANGE(""https://docs.google.com/spreadsheets/d/1Y6XV19fmLFtsIVuzoWqyA_aEe7Uw6CzWBXWFyT0KpKc/edit?gid=1855472031#gid=1855472031"", ""SUMMARY!$F""&amp;ROW($F22))"),"ABM")</f>
        <v>ABM</v>
      </c>
      <c r="E23" s="18" t="str">
        <f>IFERROR(__xludf.DUMMYFUNCTION("IMPORTRANGE(""https://docs.google.com/spreadsheets/d/1Y6XV19fmLFtsIVuzoWqyA_aEe7Uw6CzWBXWFyT0KpKc/edit?gid=1855472031#gid=1855472031"", ""SUMMARY!$D""&amp;ROW($D22))"),"LORENCE B. ABEJUELA")</f>
        <v>LORENCE B. ABEJUELA</v>
      </c>
      <c r="F23" s="18" t="str">
        <f>IFERROR(__xludf.DUMMYFUNCTION("IMPORTRANGE(""https://docs.google.com/spreadsheets/d/1Y6XV19fmLFtsIVuzoWqyA_aEe7Uw6CzWBXWFyT0KpKc/edit?gid=1855472031#gid=1855472031"", ""SUMMARY!$E""&amp;ROW($E22))"),"ABM")</f>
        <v>ABM</v>
      </c>
      <c r="G23" s="19" t="str">
        <f>IFERROR(__xludf.DUMMYFUNCTION("IMPORTRANGE(""https://docs.google.com/spreadsheets/d/1otQjWHjy3Rq_-7Ie_93jllGR_QbNz_QcBUMPB-NJUP8/edit?gid=902639746#gid=902639746"", ""CHECKING!$F""&amp;ROW(F236))"),"ENCODED")</f>
        <v>ENCODED</v>
      </c>
      <c r="H23" s="19" t="str">
        <f>IFERROR(__xludf.DUMMYFUNCTION("IMPORTRANGE(""https://docs.google.com/spreadsheets/d/1otQjWHjy3Rq_-7Ie_93jllGR_QbNz_QcBUMPB-NJUP8/edit?gid=902639746#gid=902639746"", ""CHECKING!$G""&amp;ROW(G236))"),"ENCODED")</f>
        <v>ENCODED</v>
      </c>
      <c r="I23" s="19" t="str">
        <f>IFERROR(__xludf.DUMMYFUNCTION("IMPORTRANGE(""https://docs.google.com/spreadsheets/d/1otQjWHjy3Rq_-7Ie_93jllGR_QbNz_QcBUMPB-NJUP8/edit?gid=902639746#gid=902639746"", ""CHECKING!$H""&amp;ROW(H236))"),"ENCODED")</f>
        <v>ENCODED</v>
      </c>
      <c r="J23" s="19" t="str">
        <f>IFERROR(__xludf.DUMMYFUNCTION("IMPORTRANGE(""https://docs.google.com/spreadsheets/d/1otQjWHjy3Rq_-7Ie_93jllGR_QbNz_QcBUMPB-NJUP8/edit?gid=902639746#gid=902639746"", ""CHECKING!$I""&amp;ROW(I236))"),"NOT ENCODED")</f>
        <v>NOT ENCODED</v>
      </c>
      <c r="K23" s="19" t="str">
        <f>IFERROR(__xludf.DUMMYFUNCTION("IMPORTRANGE(""https://docs.google.com/spreadsheets/d/1otQjWHjy3Rq_-7Ie_93jllGR_QbNz_QcBUMPB-NJUP8/edit?gid=902639746#gid=902639746"", ""CHECKING!$J""&amp;ROW(J236))"),"NOT ENCODED")</f>
        <v>NOT ENCODED</v>
      </c>
      <c r="L23" s="19" t="str">
        <f>IFERROR(__xludf.DUMMYFUNCTION("IMPORTRANGE(""https://docs.google.com/spreadsheets/d/1otQjWHjy3Rq_-7Ie_93jllGR_QbNz_QcBUMPB-NJUP8/edit?gid=902639746#gid=902639746"", ""CHECKING!$K""&amp;ROW(K236))"),"NOT ENCODED")</f>
        <v>NOT ENCODED</v>
      </c>
      <c r="M23" s="19" t="str">
        <f>IFERROR(__xludf.DUMMYFUNCTION("IMPORTRANGE(""https://docs.google.com/spreadsheets/d/1otQjWHjy3Rq_-7Ie_93jllGR_QbNz_QcBUMPB-NJUP8/edit?gid=902639746#gid=902639746"", ""CHECKING!$L""&amp;ROW(L236))"),"NOT ENCODED")</f>
        <v>NOT ENCODED</v>
      </c>
    </row>
    <row r="24">
      <c r="A24" s="14" t="s">
        <v>17</v>
      </c>
      <c r="B24" s="15">
        <f>IFERROR(__xludf.DUMMYFUNCTION("IMPORTRANGE(""https://docs.google.com/spreadsheets/d/1Y6XV19fmLFtsIVuzoWqyA_aEe7Uw6CzWBXWFyT0KpKc/edit?gid=1855472031#gid=1855472031"", ""SUMMARY!$B""&amp;ROW($B23))"),16.0)</f>
        <v>16</v>
      </c>
      <c r="C24" s="16" t="str">
        <f>IFERROR(__xludf.DUMMYFUNCTION("IMPORTRANGE(""https://docs.google.com/spreadsheets/d/1Y6XV19fmLFtsIVuzoWqyA_aEe7Uw6CzWBXWFyT0KpKc/edit?gid=1855472031#gid=1855472031"", ""SUMMARY!$C""&amp;ROW($C23))"),"AGONCILLO")</f>
        <v>AGONCILLO</v>
      </c>
      <c r="D24" s="17" t="str">
        <f>IFERROR(__xludf.DUMMYFUNCTION("IMPORTRANGE(""https://docs.google.com/spreadsheets/d/1Y6XV19fmLFtsIVuzoWqyA_aEe7Uw6CzWBXWFyT0KpKc/edit?gid=1855472031#gid=1855472031"", ""SUMMARY!$F""&amp;ROW($F23))"),"HUMSS")</f>
        <v>HUMSS</v>
      </c>
      <c r="E24" s="18" t="str">
        <f>IFERROR(__xludf.DUMMYFUNCTION("IMPORTRANGE(""https://docs.google.com/spreadsheets/d/1Y6XV19fmLFtsIVuzoWqyA_aEe7Uw6CzWBXWFyT0KpKc/edit?gid=1855472031#gid=1855472031"", ""SUMMARY!$D""&amp;ROW($D23))"),"NIÑA AHDIELYN MONROY")</f>
        <v>NIÑA AHDIELYN MONROY</v>
      </c>
      <c r="F24" s="18" t="str">
        <f>IFERROR(__xludf.DUMMYFUNCTION("IMPORTRANGE(""https://docs.google.com/spreadsheets/d/1Y6XV19fmLFtsIVuzoWqyA_aEe7Uw6CzWBXWFyT0KpKc/edit?gid=1855472031#gid=1855472031"", ""SUMMARY!$E""&amp;ROW($E23))"),"ENGLISH")</f>
        <v>ENGLISH</v>
      </c>
      <c r="G24" s="19" t="str">
        <f>IFERROR(__xludf.DUMMYFUNCTION("IMPORTRANGE(""https://docs.google.com/spreadsheets/d/1otQjWHjy3Rq_-7Ie_93jllGR_QbNz_QcBUMPB-NJUP8/edit?gid=902639746#gid=902639746"", ""CHECKING!$F""&amp;ROW(F237))"),"ENCODED")</f>
        <v>ENCODED</v>
      </c>
      <c r="H24" s="19" t="str">
        <f>IFERROR(__xludf.DUMMYFUNCTION("IMPORTRANGE(""https://docs.google.com/spreadsheets/d/1otQjWHjy3Rq_-7Ie_93jllGR_QbNz_QcBUMPB-NJUP8/edit?gid=902639746#gid=902639746"", ""CHECKING!$G""&amp;ROW(G237))"),"ENCODED")</f>
        <v>ENCODED</v>
      </c>
      <c r="I24" s="19" t="str">
        <f>IFERROR(__xludf.DUMMYFUNCTION("IMPORTRANGE(""https://docs.google.com/spreadsheets/d/1otQjWHjy3Rq_-7Ie_93jllGR_QbNz_QcBUMPB-NJUP8/edit?gid=902639746#gid=902639746"", ""CHECKING!$H""&amp;ROW(H237))"),"ENCODED")</f>
        <v>ENCODED</v>
      </c>
      <c r="J24" s="19" t="str">
        <f>IFERROR(__xludf.DUMMYFUNCTION("IMPORTRANGE(""https://docs.google.com/spreadsheets/d/1otQjWHjy3Rq_-7Ie_93jllGR_QbNz_QcBUMPB-NJUP8/edit?gid=902639746#gid=902639746"", ""CHECKING!$I""&amp;ROW(I237))"),"NOT ENCODED")</f>
        <v>NOT ENCODED</v>
      </c>
      <c r="K24" s="19" t="str">
        <f>IFERROR(__xludf.DUMMYFUNCTION("IMPORTRANGE(""https://docs.google.com/spreadsheets/d/1otQjWHjy3Rq_-7Ie_93jllGR_QbNz_QcBUMPB-NJUP8/edit?gid=902639746#gid=902639746"", ""CHECKING!$J""&amp;ROW(J237))"),"NOT ENCODED")</f>
        <v>NOT ENCODED</v>
      </c>
      <c r="L24" s="19" t="str">
        <f>IFERROR(__xludf.DUMMYFUNCTION("IMPORTRANGE(""https://docs.google.com/spreadsheets/d/1otQjWHjy3Rq_-7Ie_93jllGR_QbNz_QcBUMPB-NJUP8/edit?gid=902639746#gid=902639746"", ""CHECKING!$K""&amp;ROW(K237))"),"NOT ENCODED")</f>
        <v>NOT ENCODED</v>
      </c>
      <c r="M24" s="19" t="str">
        <f>IFERROR(__xludf.DUMMYFUNCTION("IMPORTRANGE(""https://docs.google.com/spreadsheets/d/1otQjWHjy3Rq_-7Ie_93jllGR_QbNz_QcBUMPB-NJUP8/edit?gid=902639746#gid=902639746"", ""CHECKING!$L""&amp;ROW(L237))"),"NOT ENCODED")</f>
        <v>NOT ENCODED</v>
      </c>
    </row>
    <row r="25">
      <c r="A25" s="14" t="s">
        <v>17</v>
      </c>
      <c r="B25" s="15">
        <f>IFERROR(__xludf.DUMMYFUNCTION("IMPORTRANGE(""https://docs.google.com/spreadsheets/d/1Y6XV19fmLFtsIVuzoWqyA_aEe7Uw6CzWBXWFyT0KpKc/edit?gid=1855472031#gid=1855472031"", ""SUMMARY!$B""&amp;ROW($B24))"),17.0)</f>
        <v>17</v>
      </c>
      <c r="C25" s="16" t="str">
        <f>IFERROR(__xludf.DUMMYFUNCTION("IMPORTRANGE(""https://docs.google.com/spreadsheets/d/1Y6XV19fmLFtsIVuzoWqyA_aEe7Uw6CzWBXWFyT0KpKc/edit?gid=1855472031#gid=1855472031"", ""SUMMARY!$C""&amp;ROW($C24))"),"AMORSOLO")</f>
        <v>AMORSOLO</v>
      </c>
      <c r="D25" s="17" t="str">
        <f>IFERROR(__xludf.DUMMYFUNCTION("IMPORTRANGE(""https://docs.google.com/spreadsheets/d/1Y6XV19fmLFtsIVuzoWqyA_aEe7Uw6CzWBXWFyT0KpKc/edit?gid=1855472031#gid=1855472031"", ""SUMMARY!$F""&amp;ROW($F24))"),"HUMSS")</f>
        <v>HUMSS</v>
      </c>
      <c r="E25" s="18" t="str">
        <f>IFERROR(__xludf.DUMMYFUNCTION("IMPORTRANGE(""https://docs.google.com/spreadsheets/d/1Y6XV19fmLFtsIVuzoWqyA_aEe7Uw6CzWBXWFyT0KpKc/edit?gid=1855472031#gid=1855472031"", ""SUMMARY!$D""&amp;ROW($D24))"),"FERDINAND B. FABIAN")</f>
        <v>FERDINAND B. FABIAN</v>
      </c>
      <c r="F25" s="18" t="str">
        <f>IFERROR(__xludf.DUMMYFUNCTION("IMPORTRANGE(""https://docs.google.com/spreadsheets/d/1Y6XV19fmLFtsIVuzoWqyA_aEe7Uw6CzWBXWFyT0KpKc/edit?gid=1855472031#gid=1855472031"", ""SUMMARY!$E""&amp;ROW($E24))"),"ENGLISH")</f>
        <v>ENGLISH</v>
      </c>
      <c r="G25" s="19" t="str">
        <f>IFERROR(__xludf.DUMMYFUNCTION("IMPORTRANGE(""https://docs.google.com/spreadsheets/d/1otQjWHjy3Rq_-7Ie_93jllGR_QbNz_QcBUMPB-NJUP8/edit?gid=902639746#gid=902639746"", ""CHECKING!$F""&amp;ROW(F238))"),"ENCODED")</f>
        <v>ENCODED</v>
      </c>
      <c r="H25" s="19" t="str">
        <f>IFERROR(__xludf.DUMMYFUNCTION("IMPORTRANGE(""https://docs.google.com/spreadsheets/d/1otQjWHjy3Rq_-7Ie_93jllGR_QbNz_QcBUMPB-NJUP8/edit?gid=902639746#gid=902639746"", ""CHECKING!$G""&amp;ROW(G238))"),"ENCODED")</f>
        <v>ENCODED</v>
      </c>
      <c r="I25" s="19" t="str">
        <f>IFERROR(__xludf.DUMMYFUNCTION("IMPORTRANGE(""https://docs.google.com/spreadsheets/d/1otQjWHjy3Rq_-7Ie_93jllGR_QbNz_QcBUMPB-NJUP8/edit?gid=902639746#gid=902639746"", ""CHECKING!$H""&amp;ROW(H238))"),"ENCODED")</f>
        <v>ENCODED</v>
      </c>
      <c r="J25" s="19" t="str">
        <f>IFERROR(__xludf.DUMMYFUNCTION("IMPORTRANGE(""https://docs.google.com/spreadsheets/d/1otQjWHjy3Rq_-7Ie_93jllGR_QbNz_QcBUMPB-NJUP8/edit?gid=902639746#gid=902639746"", ""CHECKING!$I""&amp;ROW(I238))"),"ENCODED")</f>
        <v>ENCODED</v>
      </c>
      <c r="K25" s="19" t="str">
        <f>IFERROR(__xludf.DUMMYFUNCTION("IMPORTRANGE(""https://docs.google.com/spreadsheets/d/1otQjWHjy3Rq_-7Ie_93jllGR_QbNz_QcBUMPB-NJUP8/edit?gid=902639746#gid=902639746"", ""CHECKING!$J""&amp;ROW(J238))"),"NOT ENCODED")</f>
        <v>NOT ENCODED</v>
      </c>
      <c r="L25" s="19" t="str">
        <f>IFERROR(__xludf.DUMMYFUNCTION("IMPORTRANGE(""https://docs.google.com/spreadsheets/d/1otQjWHjy3Rq_-7Ie_93jllGR_QbNz_QcBUMPB-NJUP8/edit?gid=902639746#gid=902639746"", ""CHECKING!$K""&amp;ROW(K238))"),"NOT ENCODED")</f>
        <v>NOT ENCODED</v>
      </c>
      <c r="M25" s="19" t="str">
        <f>IFERROR(__xludf.DUMMYFUNCTION("IMPORTRANGE(""https://docs.google.com/spreadsheets/d/1otQjWHjy3Rq_-7Ie_93jllGR_QbNz_QcBUMPB-NJUP8/edit?gid=902639746#gid=902639746"", ""CHECKING!$L""&amp;ROW(L238))"),"NOT ENCODED")</f>
        <v>NOT ENCODED</v>
      </c>
    </row>
    <row r="26">
      <c r="A26" s="14" t="s">
        <v>17</v>
      </c>
      <c r="B26" s="15">
        <f>IFERROR(__xludf.DUMMYFUNCTION("IMPORTRANGE(""https://docs.google.com/spreadsheets/d/1Y6XV19fmLFtsIVuzoWqyA_aEe7Uw6CzWBXWFyT0KpKc/edit?gid=1855472031#gid=1855472031"", ""SUMMARY!$B""&amp;ROW($B25))"),18.0)</f>
        <v>18</v>
      </c>
      <c r="C26" s="16" t="str">
        <f>IFERROR(__xludf.DUMMYFUNCTION("IMPORTRANGE(""https://docs.google.com/spreadsheets/d/1Y6XV19fmLFtsIVuzoWqyA_aEe7Uw6CzWBXWFyT0KpKc/edit?gid=1855472031#gid=1855472031"", ""SUMMARY!$C""&amp;ROW($C25))"),"BROCKA")</f>
        <v>BROCKA</v>
      </c>
      <c r="D26" s="17" t="str">
        <f>IFERROR(__xludf.DUMMYFUNCTION("IMPORTRANGE(""https://docs.google.com/spreadsheets/d/1Y6XV19fmLFtsIVuzoWqyA_aEe7Uw6CzWBXWFyT0KpKc/edit?gid=1855472031#gid=1855472031"", ""SUMMARY!$F""&amp;ROW($F25))"),"HUMSS")</f>
        <v>HUMSS</v>
      </c>
      <c r="E26" s="18" t="str">
        <f>IFERROR(__xludf.DUMMYFUNCTION("IMPORTRANGE(""https://docs.google.com/spreadsheets/d/1Y6XV19fmLFtsIVuzoWqyA_aEe7Uw6CzWBXWFyT0KpKc/edit?gid=1855472031#gid=1855472031"", ""SUMMARY!$D""&amp;ROW($D25))"),"MARY GRACE A. BANTA")</f>
        <v>MARY GRACE A. BANTA</v>
      </c>
      <c r="F26" s="18" t="str">
        <f>IFERROR(__xludf.DUMMYFUNCTION("IMPORTRANGE(""https://docs.google.com/spreadsheets/d/1Y6XV19fmLFtsIVuzoWqyA_aEe7Uw6CzWBXWFyT0KpKc/edit?gid=1855472031#gid=1855472031"", ""SUMMARY!$E""&amp;ROW($E25))"),"ESP")</f>
        <v>ESP</v>
      </c>
      <c r="G26" s="19" t="str">
        <f>IFERROR(__xludf.DUMMYFUNCTION("IMPORTRANGE(""https://docs.google.com/spreadsheets/d/1otQjWHjy3Rq_-7Ie_93jllGR_QbNz_QcBUMPB-NJUP8/edit?gid=902639746#gid=902639746"", ""CHECKING!$F""&amp;ROW(F239))"),"ENCODED")</f>
        <v>ENCODED</v>
      </c>
      <c r="H26" s="19" t="str">
        <f>IFERROR(__xludf.DUMMYFUNCTION("IMPORTRANGE(""https://docs.google.com/spreadsheets/d/1otQjWHjy3Rq_-7Ie_93jllGR_QbNz_QcBUMPB-NJUP8/edit?gid=902639746#gid=902639746"", ""CHECKING!$G""&amp;ROW(G239))"),"ENCODED")</f>
        <v>ENCODED</v>
      </c>
      <c r="I26" s="19" t="str">
        <f>IFERROR(__xludf.DUMMYFUNCTION("IMPORTRANGE(""https://docs.google.com/spreadsheets/d/1otQjWHjy3Rq_-7Ie_93jllGR_QbNz_QcBUMPB-NJUP8/edit?gid=902639746#gid=902639746"", ""CHECKING!$H""&amp;ROW(H239))"),"ENCODED")</f>
        <v>ENCODED</v>
      </c>
      <c r="J26" s="19" t="str">
        <f>IFERROR(__xludf.DUMMYFUNCTION("IMPORTRANGE(""https://docs.google.com/spreadsheets/d/1otQjWHjy3Rq_-7Ie_93jllGR_QbNz_QcBUMPB-NJUP8/edit?gid=902639746#gid=902639746"", ""CHECKING!$I""&amp;ROW(I239))"),"ENCODED")</f>
        <v>ENCODED</v>
      </c>
      <c r="K26" s="19" t="str">
        <f>IFERROR(__xludf.DUMMYFUNCTION("IMPORTRANGE(""https://docs.google.com/spreadsheets/d/1otQjWHjy3Rq_-7Ie_93jllGR_QbNz_QcBUMPB-NJUP8/edit?gid=902639746#gid=902639746"", ""CHECKING!$J""&amp;ROW(J239))"),"NOT ENCODED")</f>
        <v>NOT ENCODED</v>
      </c>
      <c r="L26" s="19" t="str">
        <f>IFERROR(__xludf.DUMMYFUNCTION("IMPORTRANGE(""https://docs.google.com/spreadsheets/d/1otQjWHjy3Rq_-7Ie_93jllGR_QbNz_QcBUMPB-NJUP8/edit?gid=902639746#gid=902639746"", ""CHECKING!$K""&amp;ROW(K239))"),"NOT ENCODED")</f>
        <v>NOT ENCODED</v>
      </c>
      <c r="M26" s="19" t="str">
        <f>IFERROR(__xludf.DUMMYFUNCTION("IMPORTRANGE(""https://docs.google.com/spreadsheets/d/1otQjWHjy3Rq_-7Ie_93jllGR_QbNz_QcBUMPB-NJUP8/edit?gid=902639746#gid=902639746"", ""CHECKING!$L""&amp;ROW(L239))"),"NOT ENCODED")</f>
        <v>NOT ENCODED</v>
      </c>
    </row>
    <row r="27">
      <c r="A27" s="14" t="s">
        <v>17</v>
      </c>
      <c r="B27" s="15">
        <f>IFERROR(__xludf.DUMMYFUNCTION("IMPORTRANGE(""https://docs.google.com/spreadsheets/d/1Y6XV19fmLFtsIVuzoWqyA_aEe7Uw6CzWBXWFyT0KpKc/edit?gid=1855472031#gid=1855472031"", ""SUMMARY!$B""&amp;ROW($B26))"),19.0)</f>
        <v>19</v>
      </c>
      <c r="C27" s="16" t="str">
        <f>IFERROR(__xludf.DUMMYFUNCTION("IMPORTRANGE(""https://docs.google.com/spreadsheets/d/1Y6XV19fmLFtsIVuzoWqyA_aEe7Uw6CzWBXWFyT0KpKc/edit?gid=1855472031#gid=1855472031"", ""SUMMARY!$C""&amp;ROW($C26))"),"CELERIO")</f>
        <v>CELERIO</v>
      </c>
      <c r="D27" s="17" t="str">
        <f>IFERROR(__xludf.DUMMYFUNCTION("IMPORTRANGE(""https://docs.google.com/spreadsheets/d/1Y6XV19fmLFtsIVuzoWqyA_aEe7Uw6CzWBXWFyT0KpKc/edit?gid=1855472031#gid=1855472031"", ""SUMMARY!$F""&amp;ROW($F26))"),"HUMSS")</f>
        <v>HUMSS</v>
      </c>
      <c r="E27" s="18" t="str">
        <f>IFERROR(__xludf.DUMMYFUNCTION("IMPORTRANGE(""https://docs.google.com/spreadsheets/d/1Y6XV19fmLFtsIVuzoWqyA_aEe7Uw6CzWBXWFyT0KpKc/edit?gid=1855472031#gid=1855472031"", ""SUMMARY!$D""&amp;ROW($D26))"),"ROCHELLE ANN J. CAYETANO")</f>
        <v>ROCHELLE ANN J. CAYETANO</v>
      </c>
      <c r="F27" s="18" t="str">
        <f>IFERROR(__xludf.DUMMYFUNCTION("IMPORTRANGE(""https://docs.google.com/spreadsheets/d/1Y6XV19fmLFtsIVuzoWqyA_aEe7Uw6CzWBXWFyT0KpKc/edit?gid=1855472031#gid=1855472031"", ""SUMMARY!$E""&amp;ROW($E26))"),"FILIPINO")</f>
        <v>FILIPINO</v>
      </c>
      <c r="G27" s="19" t="str">
        <f>IFERROR(__xludf.DUMMYFUNCTION("IMPORTRANGE(""https://docs.google.com/spreadsheets/d/1otQjWHjy3Rq_-7Ie_93jllGR_QbNz_QcBUMPB-NJUP8/edit?gid=902639746#gid=902639746"", ""CHECKING!$F""&amp;ROW(F240))"),"ENCODED")</f>
        <v>ENCODED</v>
      </c>
      <c r="H27" s="19" t="str">
        <f>IFERROR(__xludf.DUMMYFUNCTION("IMPORTRANGE(""https://docs.google.com/spreadsheets/d/1otQjWHjy3Rq_-7Ie_93jllGR_QbNz_QcBUMPB-NJUP8/edit?gid=902639746#gid=902639746"", ""CHECKING!$G""&amp;ROW(G240))"),"ENCODED")</f>
        <v>ENCODED</v>
      </c>
      <c r="I27" s="19" t="str">
        <f>IFERROR(__xludf.DUMMYFUNCTION("IMPORTRANGE(""https://docs.google.com/spreadsheets/d/1otQjWHjy3Rq_-7Ie_93jllGR_QbNz_QcBUMPB-NJUP8/edit?gid=902639746#gid=902639746"", ""CHECKING!$H""&amp;ROW(H240))"),"ENCODED")</f>
        <v>ENCODED</v>
      </c>
      <c r="J27" s="19" t="str">
        <f>IFERROR(__xludf.DUMMYFUNCTION("IMPORTRANGE(""https://docs.google.com/spreadsheets/d/1otQjWHjy3Rq_-7Ie_93jllGR_QbNz_QcBUMPB-NJUP8/edit?gid=902639746#gid=902639746"", ""CHECKING!$I""&amp;ROW(I240))"),"ENCODED")</f>
        <v>ENCODED</v>
      </c>
      <c r="K27" s="19" t="str">
        <f>IFERROR(__xludf.DUMMYFUNCTION("IMPORTRANGE(""https://docs.google.com/spreadsheets/d/1otQjWHjy3Rq_-7Ie_93jllGR_QbNz_QcBUMPB-NJUP8/edit?gid=902639746#gid=902639746"", ""CHECKING!$J""&amp;ROW(J240))"),"NOT ENCODED")</f>
        <v>NOT ENCODED</v>
      </c>
      <c r="L27" s="19" t="str">
        <f>IFERROR(__xludf.DUMMYFUNCTION("IMPORTRANGE(""https://docs.google.com/spreadsheets/d/1otQjWHjy3Rq_-7Ie_93jllGR_QbNz_QcBUMPB-NJUP8/edit?gid=902639746#gid=902639746"", ""CHECKING!$K""&amp;ROW(K240))"),"NOT ENCODED")</f>
        <v>NOT ENCODED</v>
      </c>
      <c r="M27" s="19" t="str">
        <f>IFERROR(__xludf.DUMMYFUNCTION("IMPORTRANGE(""https://docs.google.com/spreadsheets/d/1otQjWHjy3Rq_-7Ie_93jllGR_QbNz_QcBUMPB-NJUP8/edit?gid=902639746#gid=902639746"", ""CHECKING!$L""&amp;ROW(L240))"),"NOT ENCODED")</f>
        <v>NOT ENCODED</v>
      </c>
    </row>
    <row r="28">
      <c r="A28" s="14" t="s">
        <v>17</v>
      </c>
      <c r="B28" s="15">
        <f>IFERROR(__xludf.DUMMYFUNCTION("IMPORTRANGE(""https://docs.google.com/spreadsheets/d/1Y6XV19fmLFtsIVuzoWqyA_aEe7Uw6CzWBXWFyT0KpKc/edit?gid=1855472031#gid=1855472031"", ""SUMMARY!$B""&amp;ROW($B27))"),20.0)</f>
        <v>20</v>
      </c>
      <c r="C28" s="16" t="str">
        <f>IFERROR(__xludf.DUMMYFUNCTION("IMPORTRANGE(""https://docs.google.com/spreadsheets/d/1Y6XV19fmLFtsIVuzoWqyA_aEe7Uw6CzWBXWFyT0KpKc/edit?gid=1855472031#gid=1855472031"", ""SUMMARY!$C""&amp;ROW($C27))"),"DELA RAMA")</f>
        <v>DELA RAMA</v>
      </c>
      <c r="D28" s="17" t="str">
        <f>IFERROR(__xludf.DUMMYFUNCTION("IMPORTRANGE(""https://docs.google.com/spreadsheets/d/1Y6XV19fmLFtsIVuzoWqyA_aEe7Uw6CzWBXWFyT0KpKc/edit?gid=1855472031#gid=1855472031"", ""SUMMARY!$F""&amp;ROW($F27))"),"HUMSS")</f>
        <v>HUMSS</v>
      </c>
      <c r="E28" s="18" t="str">
        <f>IFERROR(__xludf.DUMMYFUNCTION("IMPORTRANGE(""https://docs.google.com/spreadsheets/d/1Y6XV19fmLFtsIVuzoWqyA_aEe7Uw6CzWBXWFyT0KpKc/edit?gid=1855472031#gid=1855472031"", ""SUMMARY!$D""&amp;ROW($D27))"),"AUBREY MHAE V. ROXAS")</f>
        <v>AUBREY MHAE V. ROXAS</v>
      </c>
      <c r="F28" s="18" t="str">
        <f>IFERROR(__xludf.DUMMYFUNCTION("IMPORTRANGE(""https://docs.google.com/spreadsheets/d/1Y6XV19fmLFtsIVuzoWqyA_aEe7Uw6CzWBXWFyT0KpKc/edit?gid=1855472031#gid=1855472031"", ""SUMMARY!$E""&amp;ROW($E27))"),"ENGLISH")</f>
        <v>ENGLISH</v>
      </c>
      <c r="G28" s="19" t="str">
        <f>IFERROR(__xludf.DUMMYFUNCTION("IMPORTRANGE(""https://docs.google.com/spreadsheets/d/1otQjWHjy3Rq_-7Ie_93jllGR_QbNz_QcBUMPB-NJUP8/edit?gid=902639746#gid=902639746"", ""CHECKING!$F""&amp;ROW(F241))"),"ENCODED")</f>
        <v>ENCODED</v>
      </c>
      <c r="H28" s="19" t="str">
        <f>IFERROR(__xludf.DUMMYFUNCTION("IMPORTRANGE(""https://docs.google.com/spreadsheets/d/1otQjWHjy3Rq_-7Ie_93jllGR_QbNz_QcBUMPB-NJUP8/edit?gid=902639746#gid=902639746"", ""CHECKING!$G""&amp;ROW(G241))"),"ENCODED")</f>
        <v>ENCODED</v>
      </c>
      <c r="I28" s="19" t="str">
        <f>IFERROR(__xludf.DUMMYFUNCTION("IMPORTRANGE(""https://docs.google.com/spreadsheets/d/1otQjWHjy3Rq_-7Ie_93jllGR_QbNz_QcBUMPB-NJUP8/edit?gid=902639746#gid=902639746"", ""CHECKING!$H""&amp;ROW(H241))"),"ENCODED")</f>
        <v>ENCODED</v>
      </c>
      <c r="J28" s="19" t="str">
        <f>IFERROR(__xludf.DUMMYFUNCTION("IMPORTRANGE(""https://docs.google.com/spreadsheets/d/1otQjWHjy3Rq_-7Ie_93jllGR_QbNz_QcBUMPB-NJUP8/edit?gid=902639746#gid=902639746"", ""CHECKING!$I""&amp;ROW(I241))"),"NOT ENCODED")</f>
        <v>NOT ENCODED</v>
      </c>
      <c r="K28" s="19" t="str">
        <f>IFERROR(__xludf.DUMMYFUNCTION("IMPORTRANGE(""https://docs.google.com/spreadsheets/d/1otQjWHjy3Rq_-7Ie_93jllGR_QbNz_QcBUMPB-NJUP8/edit?gid=902639746#gid=902639746"", ""CHECKING!$J""&amp;ROW(J241))"),"NOT ENCODED")</f>
        <v>NOT ENCODED</v>
      </c>
      <c r="L28" s="19" t="str">
        <f>IFERROR(__xludf.DUMMYFUNCTION("IMPORTRANGE(""https://docs.google.com/spreadsheets/d/1otQjWHjy3Rq_-7Ie_93jllGR_QbNz_QcBUMPB-NJUP8/edit?gid=902639746#gid=902639746"", ""CHECKING!$K""&amp;ROW(K241))"),"NOT ENCODED")</f>
        <v>NOT ENCODED</v>
      </c>
      <c r="M28" s="19" t="str">
        <f>IFERROR(__xludf.DUMMYFUNCTION("IMPORTRANGE(""https://docs.google.com/spreadsheets/d/1otQjWHjy3Rq_-7Ie_93jllGR_QbNz_QcBUMPB-NJUP8/edit?gid=902639746#gid=902639746"", ""CHECKING!$L""&amp;ROW(L241))"),"NOT ENCODED")</f>
        <v>NOT ENCODED</v>
      </c>
    </row>
    <row r="29">
      <c r="A29" s="14" t="s">
        <v>17</v>
      </c>
      <c r="B29" s="15">
        <f>IFERROR(__xludf.DUMMYFUNCTION("IMPORTRANGE(""https://docs.google.com/spreadsheets/d/1Y6XV19fmLFtsIVuzoWqyA_aEe7Uw6CzWBXWFyT0KpKc/edit?gid=1855472031#gid=1855472031"", ""SUMMARY!$B""&amp;ROW($B28))"),21.0)</f>
        <v>21</v>
      </c>
      <c r="C29" s="16" t="str">
        <f>IFERROR(__xludf.DUMMYFUNCTION("IMPORTRANGE(""https://docs.google.com/spreadsheets/d/1Y6XV19fmLFtsIVuzoWqyA_aEe7Uw6CzWBXWFyT0KpKc/edit?gid=1855472031#gid=1855472031"", ""SUMMARY!$C""&amp;ROW($C28))"),"ENCARNACION")</f>
        <v>ENCARNACION</v>
      </c>
      <c r="D29" s="17" t="str">
        <f>IFERROR(__xludf.DUMMYFUNCTION("IMPORTRANGE(""https://docs.google.com/spreadsheets/d/1Y6XV19fmLFtsIVuzoWqyA_aEe7Uw6CzWBXWFyT0KpKc/edit?gid=1855472031#gid=1855472031"", ""SUMMARY!$F""&amp;ROW($F28))"),"HUMSS")</f>
        <v>HUMSS</v>
      </c>
      <c r="E29" s="18" t="str">
        <f>IFERROR(__xludf.DUMMYFUNCTION("IMPORTRANGE(""https://docs.google.com/spreadsheets/d/1Y6XV19fmLFtsIVuzoWqyA_aEe7Uw6CzWBXWFyT0KpKc/edit?gid=1855472031#gid=1855472031"", ""SUMMARY!$D""&amp;ROW($D28))"),"JOHN HAROLD B. GOSIM")</f>
        <v>JOHN HAROLD B. GOSIM</v>
      </c>
      <c r="F29" s="18" t="str">
        <f>IFERROR(__xludf.DUMMYFUNCTION("IMPORTRANGE(""https://docs.google.com/spreadsheets/d/1Y6XV19fmLFtsIVuzoWqyA_aEe7Uw6CzWBXWFyT0KpKc/edit?gid=1855472031#gid=1855472031"", ""SUMMARY!$E""&amp;ROW($E28))"),"ENGLISH")</f>
        <v>ENGLISH</v>
      </c>
      <c r="G29" s="19" t="str">
        <f>IFERROR(__xludf.DUMMYFUNCTION("IMPORTRANGE(""https://docs.google.com/spreadsheets/d/1otQjWHjy3Rq_-7Ie_93jllGR_QbNz_QcBUMPB-NJUP8/edit?gid=902639746#gid=902639746"", ""CHECKING!$F""&amp;ROW(F242))"),"ENCODED")</f>
        <v>ENCODED</v>
      </c>
      <c r="H29" s="19" t="str">
        <f>IFERROR(__xludf.DUMMYFUNCTION("IMPORTRANGE(""https://docs.google.com/spreadsheets/d/1otQjWHjy3Rq_-7Ie_93jllGR_QbNz_QcBUMPB-NJUP8/edit?gid=902639746#gid=902639746"", ""CHECKING!$G""&amp;ROW(G242))"),"ENCODED")</f>
        <v>ENCODED</v>
      </c>
      <c r="I29" s="19" t="str">
        <f>IFERROR(__xludf.DUMMYFUNCTION("IMPORTRANGE(""https://docs.google.com/spreadsheets/d/1otQjWHjy3Rq_-7Ie_93jllGR_QbNz_QcBUMPB-NJUP8/edit?gid=902639746#gid=902639746"", ""CHECKING!$H""&amp;ROW(H242))"),"ENCODED")</f>
        <v>ENCODED</v>
      </c>
      <c r="J29" s="19" t="str">
        <f>IFERROR(__xludf.DUMMYFUNCTION("IMPORTRANGE(""https://docs.google.com/spreadsheets/d/1otQjWHjy3Rq_-7Ie_93jllGR_QbNz_QcBUMPB-NJUP8/edit?gid=902639746#gid=902639746"", ""CHECKING!$I""&amp;ROW(I242))"),"NOT ENCODED")</f>
        <v>NOT ENCODED</v>
      </c>
      <c r="K29" s="19" t="str">
        <f>IFERROR(__xludf.DUMMYFUNCTION("IMPORTRANGE(""https://docs.google.com/spreadsheets/d/1otQjWHjy3Rq_-7Ie_93jllGR_QbNz_QcBUMPB-NJUP8/edit?gid=902639746#gid=902639746"", ""CHECKING!$J""&amp;ROW(J242))"),"NOT ENCODED")</f>
        <v>NOT ENCODED</v>
      </c>
      <c r="L29" s="19" t="str">
        <f>IFERROR(__xludf.DUMMYFUNCTION("IMPORTRANGE(""https://docs.google.com/spreadsheets/d/1otQjWHjy3Rq_-7Ie_93jllGR_QbNz_QcBUMPB-NJUP8/edit?gid=902639746#gid=902639746"", ""CHECKING!$K""&amp;ROW(K242))"),"NOT ENCODED")</f>
        <v>NOT ENCODED</v>
      </c>
      <c r="M29" s="19" t="str">
        <f>IFERROR(__xludf.DUMMYFUNCTION("IMPORTRANGE(""https://docs.google.com/spreadsheets/d/1otQjWHjy3Rq_-7Ie_93jllGR_QbNz_QcBUMPB-NJUP8/edit?gid=902639746#gid=902639746"", ""CHECKING!$L""&amp;ROW(L242))"),"NOT ENCODED")</f>
        <v>NOT ENCODED</v>
      </c>
    </row>
    <row r="30">
      <c r="A30" s="14" t="s">
        <v>17</v>
      </c>
      <c r="B30" s="15">
        <f>IFERROR(__xludf.DUMMYFUNCTION("IMPORTRANGE(""https://docs.google.com/spreadsheets/d/1Y6XV19fmLFtsIVuzoWqyA_aEe7Uw6CzWBXWFyT0KpKc/edit?gid=1855472031#gid=1855472031"", ""SUMMARY!$B""&amp;ROW($B29))"),22.0)</f>
        <v>22</v>
      </c>
      <c r="C30" s="16" t="str">
        <f>IFERROR(__xludf.DUMMYFUNCTION("IMPORTRANGE(""https://docs.google.com/spreadsheets/d/1Y6XV19fmLFtsIVuzoWqyA_aEe7Uw6CzWBXWFyT0KpKc/edit?gid=1855472031#gid=1855472031"", ""SUMMARY!$C""&amp;ROW($C29))"),"JOCANO")</f>
        <v>JOCANO</v>
      </c>
      <c r="D30" s="17" t="str">
        <f>IFERROR(__xludf.DUMMYFUNCTION("IMPORTRANGE(""https://docs.google.com/spreadsheets/d/1Y6XV19fmLFtsIVuzoWqyA_aEe7Uw6CzWBXWFyT0KpKc/edit?gid=1855472031#gid=1855472031"", ""SUMMARY!$F""&amp;ROW($F29))"),"HUMSS")</f>
        <v>HUMSS</v>
      </c>
      <c r="E30" s="18" t="str">
        <f>IFERROR(__xludf.DUMMYFUNCTION("IMPORTRANGE(""https://docs.google.com/spreadsheets/d/1Y6XV19fmLFtsIVuzoWqyA_aEe7Uw6CzWBXWFyT0KpKc/edit?gid=1855472031#gid=1855472031"", ""SUMMARY!$D""&amp;ROW($D29))"),"MILDRED P. SALLAO")</f>
        <v>MILDRED P. SALLAO</v>
      </c>
      <c r="F30" s="18" t="str">
        <f>IFERROR(__xludf.DUMMYFUNCTION("IMPORTRANGE(""https://docs.google.com/spreadsheets/d/1Y6XV19fmLFtsIVuzoWqyA_aEe7Uw6CzWBXWFyT0KpKc/edit?gid=1855472031#gid=1855472031"", ""SUMMARY!$E""&amp;ROW($E29))"),"ENGLISH")</f>
        <v>ENGLISH</v>
      </c>
      <c r="G30" s="19" t="str">
        <f>IFERROR(__xludf.DUMMYFUNCTION("IMPORTRANGE(""https://docs.google.com/spreadsheets/d/1otQjWHjy3Rq_-7Ie_93jllGR_QbNz_QcBUMPB-NJUP8/edit?gid=902639746#gid=902639746"", ""CHECKING!$F""&amp;ROW(F243))"),"ENCODED")</f>
        <v>ENCODED</v>
      </c>
      <c r="H30" s="19" t="str">
        <f>IFERROR(__xludf.DUMMYFUNCTION("IMPORTRANGE(""https://docs.google.com/spreadsheets/d/1otQjWHjy3Rq_-7Ie_93jllGR_QbNz_QcBUMPB-NJUP8/edit?gid=902639746#gid=902639746"", ""CHECKING!$G""&amp;ROW(G243))"),"ENCODED")</f>
        <v>ENCODED</v>
      </c>
      <c r="I30" s="19" t="str">
        <f>IFERROR(__xludf.DUMMYFUNCTION("IMPORTRANGE(""https://docs.google.com/spreadsheets/d/1otQjWHjy3Rq_-7Ie_93jllGR_QbNz_QcBUMPB-NJUP8/edit?gid=902639746#gid=902639746"", ""CHECKING!$H""&amp;ROW(H243))"),"ENCODED")</f>
        <v>ENCODED</v>
      </c>
      <c r="J30" s="19" t="str">
        <f>IFERROR(__xludf.DUMMYFUNCTION("IMPORTRANGE(""https://docs.google.com/spreadsheets/d/1otQjWHjy3Rq_-7Ie_93jllGR_QbNz_QcBUMPB-NJUP8/edit?gid=902639746#gid=902639746"", ""CHECKING!$I""&amp;ROW(I243))"),"NOT ENCODED")</f>
        <v>NOT ENCODED</v>
      </c>
      <c r="K30" s="19" t="str">
        <f>IFERROR(__xludf.DUMMYFUNCTION("IMPORTRANGE(""https://docs.google.com/spreadsheets/d/1otQjWHjy3Rq_-7Ie_93jllGR_QbNz_QcBUMPB-NJUP8/edit?gid=902639746#gid=902639746"", ""CHECKING!$J""&amp;ROW(J243))"),"NOT ENCODED")</f>
        <v>NOT ENCODED</v>
      </c>
      <c r="L30" s="19" t="str">
        <f>IFERROR(__xludf.DUMMYFUNCTION("IMPORTRANGE(""https://docs.google.com/spreadsheets/d/1otQjWHjy3Rq_-7Ie_93jllGR_QbNz_QcBUMPB-NJUP8/edit?gid=902639746#gid=902639746"", ""CHECKING!$K""&amp;ROW(K243))"),"NOT ENCODED")</f>
        <v>NOT ENCODED</v>
      </c>
      <c r="M30" s="19" t="str">
        <f>IFERROR(__xludf.DUMMYFUNCTION("IMPORTRANGE(""https://docs.google.com/spreadsheets/d/1otQjWHjy3Rq_-7Ie_93jllGR_QbNz_QcBUMPB-NJUP8/edit?gid=902639746#gid=902639746"", ""CHECKING!$L""&amp;ROW(L243))"),"NOT ENCODED")</f>
        <v>NOT ENCODED</v>
      </c>
    </row>
    <row r="31">
      <c r="A31" s="14" t="s">
        <v>17</v>
      </c>
      <c r="B31" s="15">
        <f>IFERROR(__xludf.DUMMYFUNCTION("IMPORTRANGE(""https://docs.google.com/spreadsheets/d/1Y6XV19fmLFtsIVuzoWqyA_aEe7Uw6CzWBXWFyT0KpKc/edit?gid=1855472031#gid=1855472031"", ""SUMMARY!$B""&amp;ROW($B30))"),23.0)</f>
        <v>23</v>
      </c>
      <c r="C31" s="16" t="str">
        <f>IFERROR(__xludf.DUMMYFUNCTION("IMPORTRANGE(""https://docs.google.com/spreadsheets/d/1Y6XV19fmLFtsIVuzoWqyA_aEe7Uw6CzWBXWFyT0KpKc/edit?gid=1855472031#gid=1855472031"", ""SUMMARY!$C""&amp;ROW($C30))"),"LICUANAN")</f>
        <v>LICUANAN</v>
      </c>
      <c r="D31" s="17" t="str">
        <f>IFERROR(__xludf.DUMMYFUNCTION("IMPORTRANGE(""https://docs.google.com/spreadsheets/d/1Y6XV19fmLFtsIVuzoWqyA_aEe7Uw6CzWBXWFyT0KpKc/edit?gid=1855472031#gid=1855472031"", ""SUMMARY!$F""&amp;ROW($F30))"),"HUMSS")</f>
        <v>HUMSS</v>
      </c>
      <c r="E31" s="18" t="str">
        <f>IFERROR(__xludf.DUMMYFUNCTION("IMPORTRANGE(""https://docs.google.com/spreadsheets/d/1Y6XV19fmLFtsIVuzoWqyA_aEe7Uw6CzWBXWFyT0KpKc/edit?gid=1855472031#gid=1855472031"", ""SUMMARY!$D""&amp;ROW($D30))"),"KRISTINE CLAUDETTE D. FERRER")</f>
        <v>KRISTINE CLAUDETTE D. FERRER</v>
      </c>
      <c r="F31" s="18" t="str">
        <f>IFERROR(__xludf.DUMMYFUNCTION("IMPORTRANGE(""https://docs.google.com/spreadsheets/d/1Y6XV19fmLFtsIVuzoWqyA_aEe7Uw6CzWBXWFyT0KpKc/edit?gid=1855472031#gid=1855472031"", ""SUMMARY!$E""&amp;ROW($E30))"),"MATH")</f>
        <v>MATH</v>
      </c>
      <c r="G31" s="19" t="str">
        <f>IFERROR(__xludf.DUMMYFUNCTION("IMPORTRANGE(""https://docs.google.com/spreadsheets/d/1otQjWHjy3Rq_-7Ie_93jllGR_QbNz_QcBUMPB-NJUP8/edit?gid=902639746#gid=902639746"", ""CHECKING!$F""&amp;ROW(F244))"),"ENCODED")</f>
        <v>ENCODED</v>
      </c>
      <c r="H31" s="19" t="str">
        <f>IFERROR(__xludf.DUMMYFUNCTION("IMPORTRANGE(""https://docs.google.com/spreadsheets/d/1otQjWHjy3Rq_-7Ie_93jllGR_QbNz_QcBUMPB-NJUP8/edit?gid=902639746#gid=902639746"", ""CHECKING!$G""&amp;ROW(G244))"),"ENCODED")</f>
        <v>ENCODED</v>
      </c>
      <c r="I31" s="19" t="str">
        <f>IFERROR(__xludf.DUMMYFUNCTION("IMPORTRANGE(""https://docs.google.com/spreadsheets/d/1otQjWHjy3Rq_-7Ie_93jllGR_QbNz_QcBUMPB-NJUP8/edit?gid=902639746#gid=902639746"", ""CHECKING!$H""&amp;ROW(H244))"),"ENCODED")</f>
        <v>ENCODED</v>
      </c>
      <c r="J31" s="19" t="str">
        <f>IFERROR(__xludf.DUMMYFUNCTION("IMPORTRANGE(""https://docs.google.com/spreadsheets/d/1otQjWHjy3Rq_-7Ie_93jllGR_QbNz_QcBUMPB-NJUP8/edit?gid=902639746#gid=902639746"", ""CHECKING!$I""&amp;ROW(I244))"),"NOT ENCODED")</f>
        <v>NOT ENCODED</v>
      </c>
      <c r="K31" s="19" t="str">
        <f>IFERROR(__xludf.DUMMYFUNCTION("IMPORTRANGE(""https://docs.google.com/spreadsheets/d/1otQjWHjy3Rq_-7Ie_93jllGR_QbNz_QcBUMPB-NJUP8/edit?gid=902639746#gid=902639746"", ""CHECKING!$J""&amp;ROW(J244))"),"NOT ENCODED")</f>
        <v>NOT ENCODED</v>
      </c>
      <c r="L31" s="19" t="str">
        <f>IFERROR(__xludf.DUMMYFUNCTION("IMPORTRANGE(""https://docs.google.com/spreadsheets/d/1otQjWHjy3Rq_-7Ie_93jllGR_QbNz_QcBUMPB-NJUP8/edit?gid=902639746#gid=902639746"", ""CHECKING!$K""&amp;ROW(K244))"),"NOT ENCODED")</f>
        <v>NOT ENCODED</v>
      </c>
      <c r="M31" s="19" t="str">
        <f>IFERROR(__xludf.DUMMYFUNCTION("IMPORTRANGE(""https://docs.google.com/spreadsheets/d/1otQjWHjy3Rq_-7Ie_93jllGR_QbNz_QcBUMPB-NJUP8/edit?gid=902639746#gid=902639746"", ""CHECKING!$L""&amp;ROW(L244))"),"NOT ENCODED")</f>
        <v>NOT ENCODED</v>
      </c>
    </row>
    <row r="32">
      <c r="A32" s="14" t="s">
        <v>17</v>
      </c>
      <c r="B32" s="15">
        <f>IFERROR(__xludf.DUMMYFUNCTION("IMPORTRANGE(""https://docs.google.com/spreadsheets/d/1Y6XV19fmLFtsIVuzoWqyA_aEe7Uw6CzWBXWFyT0KpKc/edit?gid=1855472031#gid=1855472031"", ""SUMMARY!$B""&amp;ROW($B31))"),24.0)</f>
        <v>24</v>
      </c>
      <c r="C32" s="16" t="str">
        <f>IFERROR(__xludf.DUMMYFUNCTION("IMPORTRANGE(""https://docs.google.com/spreadsheets/d/1Y6XV19fmLFtsIVuzoWqyA_aEe7Uw6CzWBXWFyT0KpKc/edit?gid=1855472031#gid=1855472031"", ""SUMMARY!$C""&amp;ROW($C31))"),"MACEDA")</f>
        <v>MACEDA</v>
      </c>
      <c r="D32" s="17" t="str">
        <f>IFERROR(__xludf.DUMMYFUNCTION("IMPORTRANGE(""https://docs.google.com/spreadsheets/d/1Y6XV19fmLFtsIVuzoWqyA_aEe7Uw6CzWBXWFyT0KpKc/edit?gid=1855472031#gid=1855472031"", ""SUMMARY!$F""&amp;ROW($F31))"),"HUMSS")</f>
        <v>HUMSS</v>
      </c>
      <c r="E32" s="18" t="str">
        <f>IFERROR(__xludf.DUMMYFUNCTION("IMPORTRANGE(""https://docs.google.com/spreadsheets/d/1Y6XV19fmLFtsIVuzoWqyA_aEe7Uw6CzWBXWFyT0KpKc/edit?gid=1855472031#gid=1855472031"", ""SUMMARY!$D""&amp;ROW($D31))"),"ANDREW L. QUILANGIT")</f>
        <v>ANDREW L. QUILANGIT</v>
      </c>
      <c r="F32" s="18" t="str">
        <f>IFERROR(__xludf.DUMMYFUNCTION("IMPORTRANGE(""https://docs.google.com/spreadsheets/d/1Y6XV19fmLFtsIVuzoWqyA_aEe7Uw6CzWBXWFyT0KpKc/edit?gid=1855472031#gid=1855472031"", ""SUMMARY!$E""&amp;ROW($E31))"),"SCIENCE")</f>
        <v>SCIENCE</v>
      </c>
      <c r="G32" s="19" t="str">
        <f>IFERROR(__xludf.DUMMYFUNCTION("IMPORTRANGE(""https://docs.google.com/spreadsheets/d/1otQjWHjy3Rq_-7Ie_93jllGR_QbNz_QcBUMPB-NJUP8/edit?gid=902639746#gid=902639746"", ""CHECKING!$F""&amp;ROW(F245))"),"ENCODED")</f>
        <v>ENCODED</v>
      </c>
      <c r="H32" s="19" t="str">
        <f>IFERROR(__xludf.DUMMYFUNCTION("IMPORTRANGE(""https://docs.google.com/spreadsheets/d/1otQjWHjy3Rq_-7Ie_93jllGR_QbNz_QcBUMPB-NJUP8/edit?gid=902639746#gid=902639746"", ""CHECKING!$G""&amp;ROW(G245))"),"ENCODED")</f>
        <v>ENCODED</v>
      </c>
      <c r="I32" s="19" t="str">
        <f>IFERROR(__xludf.DUMMYFUNCTION("IMPORTRANGE(""https://docs.google.com/spreadsheets/d/1otQjWHjy3Rq_-7Ie_93jllGR_QbNz_QcBUMPB-NJUP8/edit?gid=902639746#gid=902639746"", ""CHECKING!$H""&amp;ROW(H245))"),"ENCODED")</f>
        <v>ENCODED</v>
      </c>
      <c r="J32" s="19" t="str">
        <f>IFERROR(__xludf.DUMMYFUNCTION("IMPORTRANGE(""https://docs.google.com/spreadsheets/d/1otQjWHjy3Rq_-7Ie_93jllGR_QbNz_QcBUMPB-NJUP8/edit?gid=902639746#gid=902639746"", ""CHECKING!$I""&amp;ROW(I245))"),"NOT ENCODED")</f>
        <v>NOT ENCODED</v>
      </c>
      <c r="K32" s="19" t="str">
        <f>IFERROR(__xludf.DUMMYFUNCTION("IMPORTRANGE(""https://docs.google.com/spreadsheets/d/1otQjWHjy3Rq_-7Ie_93jllGR_QbNz_QcBUMPB-NJUP8/edit?gid=902639746#gid=902639746"", ""CHECKING!$J""&amp;ROW(J245))"),"NOT ENCODED")</f>
        <v>NOT ENCODED</v>
      </c>
      <c r="L32" s="19" t="str">
        <f>IFERROR(__xludf.DUMMYFUNCTION("IMPORTRANGE(""https://docs.google.com/spreadsheets/d/1otQjWHjy3Rq_-7Ie_93jllGR_QbNz_QcBUMPB-NJUP8/edit?gid=902639746#gid=902639746"", ""CHECKING!$K""&amp;ROW(K245))"),"NOT ENCODED")</f>
        <v>NOT ENCODED</v>
      </c>
      <c r="M32" s="19" t="str">
        <f>IFERROR(__xludf.DUMMYFUNCTION("IMPORTRANGE(""https://docs.google.com/spreadsheets/d/1otQjWHjy3Rq_-7Ie_93jllGR_QbNz_QcBUMPB-NJUP8/edit?gid=902639746#gid=902639746"", ""CHECKING!$L""&amp;ROW(L245))"),"NOT ENCODED")</f>
        <v>NOT ENCODED</v>
      </c>
    </row>
    <row r="33">
      <c r="A33" s="14" t="s">
        <v>17</v>
      </c>
      <c r="B33" s="15">
        <f>IFERROR(__xludf.DUMMYFUNCTION("IMPORTRANGE(""https://docs.google.com/spreadsheets/d/1Y6XV19fmLFtsIVuzoWqyA_aEe7Uw6CzWBXWFyT0KpKc/edit?gid=1855472031#gid=1855472031"", ""SUMMARY!$B""&amp;ROW($B32))"),25.0)</f>
        <v>25</v>
      </c>
      <c r="C33" s="16" t="str">
        <f>IFERROR(__xludf.DUMMYFUNCTION("IMPORTRANGE(""https://docs.google.com/spreadsheets/d/1Y6XV19fmLFtsIVuzoWqyA_aEe7Uw6CzWBXWFyT0KpKc/edit?gid=1855472031#gid=1855472031"", ""SUMMARY!$C""&amp;ROW($C32))"),"QUITO")</f>
        <v>QUITO</v>
      </c>
      <c r="D33" s="17" t="str">
        <f>IFERROR(__xludf.DUMMYFUNCTION("IMPORTRANGE(""https://docs.google.com/spreadsheets/d/1Y6XV19fmLFtsIVuzoWqyA_aEe7Uw6CzWBXWFyT0KpKc/edit?gid=1855472031#gid=1855472031"", ""SUMMARY!$F""&amp;ROW($F32))"),"HUMSS")</f>
        <v>HUMSS</v>
      </c>
      <c r="E33" s="18" t="str">
        <f>IFERROR(__xludf.DUMMYFUNCTION("IMPORTRANGE(""https://docs.google.com/spreadsheets/d/1Y6XV19fmLFtsIVuzoWqyA_aEe7Uw6CzWBXWFyT0KpKc/edit?gid=1855472031#gid=1855472031"", ""SUMMARY!$D""&amp;ROW($D32))"),"ANN MIRACHELLE Q. OCAMPO")</f>
        <v>ANN MIRACHELLE Q. OCAMPO</v>
      </c>
      <c r="F33" s="18" t="str">
        <f>IFERROR(__xludf.DUMMYFUNCTION("IMPORTRANGE(""https://docs.google.com/spreadsheets/d/1Y6XV19fmLFtsIVuzoWqyA_aEe7Uw6CzWBXWFyT0KpKc/edit?gid=1855472031#gid=1855472031"", ""SUMMARY!$E""&amp;ROW($E32))"),"ENGLISH")</f>
        <v>ENGLISH</v>
      </c>
      <c r="G33" s="19" t="str">
        <f>IFERROR(__xludf.DUMMYFUNCTION("IMPORTRANGE(""https://docs.google.com/spreadsheets/d/1otQjWHjy3Rq_-7Ie_93jllGR_QbNz_QcBUMPB-NJUP8/edit?gid=902639746#gid=902639746"", ""CHECKING!$F""&amp;ROW(F246))"),"ENCODED")</f>
        <v>ENCODED</v>
      </c>
      <c r="H33" s="19" t="str">
        <f>IFERROR(__xludf.DUMMYFUNCTION("IMPORTRANGE(""https://docs.google.com/spreadsheets/d/1otQjWHjy3Rq_-7Ie_93jllGR_QbNz_QcBUMPB-NJUP8/edit?gid=902639746#gid=902639746"", ""CHECKING!$G""&amp;ROW(G246))"),"ENCODED")</f>
        <v>ENCODED</v>
      </c>
      <c r="I33" s="19" t="str">
        <f>IFERROR(__xludf.DUMMYFUNCTION("IMPORTRANGE(""https://docs.google.com/spreadsheets/d/1otQjWHjy3Rq_-7Ie_93jllGR_QbNz_QcBUMPB-NJUP8/edit?gid=902639746#gid=902639746"", ""CHECKING!$H""&amp;ROW(H246))"),"ENCODED")</f>
        <v>ENCODED</v>
      </c>
      <c r="J33" s="19" t="str">
        <f>IFERROR(__xludf.DUMMYFUNCTION("IMPORTRANGE(""https://docs.google.com/spreadsheets/d/1otQjWHjy3Rq_-7Ie_93jllGR_QbNz_QcBUMPB-NJUP8/edit?gid=902639746#gid=902639746"", ""CHECKING!$I""&amp;ROW(I246))"),"NOT ENCODED")</f>
        <v>NOT ENCODED</v>
      </c>
      <c r="K33" s="19" t="str">
        <f>IFERROR(__xludf.DUMMYFUNCTION("IMPORTRANGE(""https://docs.google.com/spreadsheets/d/1otQjWHjy3Rq_-7Ie_93jllGR_QbNz_QcBUMPB-NJUP8/edit?gid=902639746#gid=902639746"", ""CHECKING!$J""&amp;ROW(J246))"),"NOT ENCODED")</f>
        <v>NOT ENCODED</v>
      </c>
      <c r="L33" s="19" t="str">
        <f>IFERROR(__xludf.DUMMYFUNCTION("IMPORTRANGE(""https://docs.google.com/spreadsheets/d/1otQjWHjy3Rq_-7Ie_93jllGR_QbNz_QcBUMPB-NJUP8/edit?gid=902639746#gid=902639746"", ""CHECKING!$K""&amp;ROW(K246))"),"NOT ENCODED")</f>
        <v>NOT ENCODED</v>
      </c>
      <c r="M33" s="19" t="str">
        <f>IFERROR(__xludf.DUMMYFUNCTION("IMPORTRANGE(""https://docs.google.com/spreadsheets/d/1otQjWHjy3Rq_-7Ie_93jllGR_QbNz_QcBUMPB-NJUP8/edit?gid=902639746#gid=902639746"", ""CHECKING!$L""&amp;ROW(L246))"),"NOT ENCODED")</f>
        <v>NOT ENCODED</v>
      </c>
    </row>
    <row r="34">
      <c r="A34" s="14" t="s">
        <v>17</v>
      </c>
      <c r="B34" s="15">
        <f>IFERROR(__xludf.DUMMYFUNCTION("IMPORTRANGE(""https://docs.google.com/spreadsheets/d/1Y6XV19fmLFtsIVuzoWqyA_aEe7Uw6CzWBXWFyT0KpKc/edit?gid=1855472031#gid=1855472031"", ""SUMMARY!$B""&amp;ROW($B33))"),26.0)</f>
        <v>26</v>
      </c>
      <c r="C34" s="16" t="str">
        <f>IFERROR(__xludf.DUMMYFUNCTION("IMPORTRANGE(""https://docs.google.com/spreadsheets/d/1Y6XV19fmLFtsIVuzoWqyA_aEe7Uw6CzWBXWFyT0KpKc/edit?gid=1855472031#gid=1855472031"", ""SUMMARY!$C""&amp;ROW($C33))"),"RESSA")</f>
        <v>RESSA</v>
      </c>
      <c r="D34" s="17" t="str">
        <f>IFERROR(__xludf.DUMMYFUNCTION("IMPORTRANGE(""https://docs.google.com/spreadsheets/d/1Y6XV19fmLFtsIVuzoWqyA_aEe7Uw6CzWBXWFyT0KpKc/edit?gid=1855472031#gid=1855472031"", ""SUMMARY!$F""&amp;ROW($F33))"),"HUMSS")</f>
        <v>HUMSS</v>
      </c>
      <c r="E34" s="18" t="str">
        <f>IFERROR(__xludf.DUMMYFUNCTION("IMPORTRANGE(""https://docs.google.com/spreadsheets/d/1Y6XV19fmLFtsIVuzoWqyA_aEe7Uw6CzWBXWFyT0KpKc/edit?gid=1855472031#gid=1855472031"", ""SUMMARY!$D""&amp;ROW($D33))"),"MARIMAR T. ABRIGO")</f>
        <v>MARIMAR T. ABRIGO</v>
      </c>
      <c r="F34" s="18" t="str">
        <f>IFERROR(__xludf.DUMMYFUNCTION("IMPORTRANGE(""https://docs.google.com/spreadsheets/d/1Y6XV19fmLFtsIVuzoWqyA_aEe7Uw6CzWBXWFyT0KpKc/edit?gid=1855472031#gid=1855472031"", ""SUMMARY!$E""&amp;ROW($E33))"),"SCIENCE")</f>
        <v>SCIENCE</v>
      </c>
      <c r="G34" s="19" t="str">
        <f>IFERROR(__xludf.DUMMYFUNCTION("IMPORTRANGE(""https://docs.google.com/spreadsheets/d/1otQjWHjy3Rq_-7Ie_93jllGR_QbNz_QcBUMPB-NJUP8/edit?gid=902639746#gid=902639746"", ""CHECKING!$F""&amp;ROW(F247))"),"ENCODED")</f>
        <v>ENCODED</v>
      </c>
      <c r="H34" s="19" t="str">
        <f>IFERROR(__xludf.DUMMYFUNCTION("IMPORTRANGE(""https://docs.google.com/spreadsheets/d/1otQjWHjy3Rq_-7Ie_93jllGR_QbNz_QcBUMPB-NJUP8/edit?gid=902639746#gid=902639746"", ""CHECKING!$G""&amp;ROW(G247))"),"ENCODED")</f>
        <v>ENCODED</v>
      </c>
      <c r="I34" s="19" t="str">
        <f>IFERROR(__xludf.DUMMYFUNCTION("IMPORTRANGE(""https://docs.google.com/spreadsheets/d/1otQjWHjy3Rq_-7Ie_93jllGR_QbNz_QcBUMPB-NJUP8/edit?gid=902639746#gid=902639746"", ""CHECKING!$H""&amp;ROW(H247))"),"ENCODED")</f>
        <v>ENCODED</v>
      </c>
      <c r="J34" s="19" t="str">
        <f>IFERROR(__xludf.DUMMYFUNCTION("IMPORTRANGE(""https://docs.google.com/spreadsheets/d/1otQjWHjy3Rq_-7Ie_93jllGR_QbNz_QcBUMPB-NJUP8/edit?gid=902639746#gid=902639746"", ""CHECKING!$I""&amp;ROW(I247))"),"ENCODED")</f>
        <v>ENCODED</v>
      </c>
      <c r="K34" s="19" t="str">
        <f>IFERROR(__xludf.DUMMYFUNCTION("IMPORTRANGE(""https://docs.google.com/spreadsheets/d/1otQjWHjy3Rq_-7Ie_93jllGR_QbNz_QcBUMPB-NJUP8/edit?gid=902639746#gid=902639746"", ""CHECKING!$J""&amp;ROW(J247))"),"NOT ENCODED")</f>
        <v>NOT ENCODED</v>
      </c>
      <c r="L34" s="19" t="str">
        <f>IFERROR(__xludf.DUMMYFUNCTION("IMPORTRANGE(""https://docs.google.com/spreadsheets/d/1otQjWHjy3Rq_-7Ie_93jllGR_QbNz_QcBUMPB-NJUP8/edit?gid=902639746#gid=902639746"", ""CHECKING!$K""&amp;ROW(K247))"),"NOT ENCODED")</f>
        <v>NOT ENCODED</v>
      </c>
      <c r="M34" s="19" t="str">
        <f>IFERROR(__xludf.DUMMYFUNCTION("IMPORTRANGE(""https://docs.google.com/spreadsheets/d/1otQjWHjy3Rq_-7Ie_93jllGR_QbNz_QcBUMPB-NJUP8/edit?gid=902639746#gid=902639746"", ""CHECKING!$L""&amp;ROW(L247))"),"NOT ENCODED")</f>
        <v>NOT ENCODED</v>
      </c>
    </row>
    <row r="35">
      <c r="A35" s="14" t="s">
        <v>17</v>
      </c>
      <c r="B35" s="15">
        <f>IFERROR(__xludf.DUMMYFUNCTION("IMPORTRANGE(""https://docs.google.com/spreadsheets/d/1Y6XV19fmLFtsIVuzoWqyA_aEe7Uw6CzWBXWFyT0KpKc/edit?gid=1855472031#gid=1855472031"", ""SUMMARY!$B""&amp;ROW($B34))"),27.0)</f>
        <v>27</v>
      </c>
      <c r="C35" s="16" t="str">
        <f>IFERROR(__xludf.DUMMYFUNCTION("IMPORTRANGE(""https://docs.google.com/spreadsheets/d/1Y6XV19fmLFtsIVuzoWqyA_aEe7Uw6CzWBXWFyT0KpKc/edit?gid=1855472031#gid=1855472031"", ""SUMMARY!$C""&amp;ROW($C34))"),"SALAZAR")</f>
        <v>SALAZAR</v>
      </c>
      <c r="D35" s="17" t="str">
        <f>IFERROR(__xludf.DUMMYFUNCTION("IMPORTRANGE(""https://docs.google.com/spreadsheets/d/1Y6XV19fmLFtsIVuzoWqyA_aEe7Uw6CzWBXWFyT0KpKc/edit?gid=1855472031#gid=1855472031"", ""SUMMARY!$F""&amp;ROW($F34))"),"HUMSS")</f>
        <v>HUMSS</v>
      </c>
      <c r="E35" s="18" t="str">
        <f>IFERROR(__xludf.DUMMYFUNCTION("IMPORTRANGE(""https://docs.google.com/spreadsheets/d/1Y6XV19fmLFtsIVuzoWqyA_aEe7Uw6CzWBXWFyT0KpKc/edit?gid=1855472031#gid=1855472031"", ""SUMMARY!$D""&amp;ROW($D34))"),"RONALD D. RECTO")</f>
        <v>RONALD D. RECTO</v>
      </c>
      <c r="F35" s="18" t="str">
        <f>IFERROR(__xludf.DUMMYFUNCTION("IMPORTRANGE(""https://docs.google.com/spreadsheets/d/1Y6XV19fmLFtsIVuzoWqyA_aEe7Uw6CzWBXWFyT0KpKc/edit?gid=1855472031#gid=1855472031"", ""SUMMARY!$E""&amp;ROW($E34))"),"FILIPINO")</f>
        <v>FILIPINO</v>
      </c>
      <c r="G35" s="19" t="str">
        <f>IFERROR(__xludf.DUMMYFUNCTION("IMPORTRANGE(""https://docs.google.com/spreadsheets/d/1otQjWHjy3Rq_-7Ie_93jllGR_QbNz_QcBUMPB-NJUP8/edit?gid=902639746#gid=902639746"", ""CHECKING!$F""&amp;ROW(F248))"),"ENCODED")</f>
        <v>ENCODED</v>
      </c>
      <c r="H35" s="19" t="str">
        <f>IFERROR(__xludf.DUMMYFUNCTION("IMPORTRANGE(""https://docs.google.com/spreadsheets/d/1otQjWHjy3Rq_-7Ie_93jllGR_QbNz_QcBUMPB-NJUP8/edit?gid=902639746#gid=902639746"", ""CHECKING!$G""&amp;ROW(G248))"),"ENCODED")</f>
        <v>ENCODED</v>
      </c>
      <c r="I35" s="19" t="str">
        <f>IFERROR(__xludf.DUMMYFUNCTION("IMPORTRANGE(""https://docs.google.com/spreadsheets/d/1otQjWHjy3Rq_-7Ie_93jllGR_QbNz_QcBUMPB-NJUP8/edit?gid=902639746#gid=902639746"", ""CHECKING!$H""&amp;ROW(H248))"),"ENCODED")</f>
        <v>ENCODED</v>
      </c>
      <c r="J35" s="19" t="str">
        <f>IFERROR(__xludf.DUMMYFUNCTION("IMPORTRANGE(""https://docs.google.com/spreadsheets/d/1otQjWHjy3Rq_-7Ie_93jllGR_QbNz_QcBUMPB-NJUP8/edit?gid=902639746#gid=902639746"", ""CHECKING!$I""&amp;ROW(I248))"),"ENCODED")</f>
        <v>ENCODED</v>
      </c>
      <c r="K35" s="19" t="str">
        <f>IFERROR(__xludf.DUMMYFUNCTION("IMPORTRANGE(""https://docs.google.com/spreadsheets/d/1otQjWHjy3Rq_-7Ie_93jllGR_QbNz_QcBUMPB-NJUP8/edit?gid=902639746#gid=902639746"", ""CHECKING!$J""&amp;ROW(J248))"),"NOT ENCODED")</f>
        <v>NOT ENCODED</v>
      </c>
      <c r="L35" s="19" t="str">
        <f>IFERROR(__xludf.DUMMYFUNCTION("IMPORTRANGE(""https://docs.google.com/spreadsheets/d/1otQjWHjy3Rq_-7Ie_93jllGR_QbNz_QcBUMPB-NJUP8/edit?gid=902639746#gid=902639746"", ""CHECKING!$K""&amp;ROW(K248))"),"NOT ENCODED")</f>
        <v>NOT ENCODED</v>
      </c>
      <c r="M35" s="19" t="str">
        <f>IFERROR(__xludf.DUMMYFUNCTION("IMPORTRANGE(""https://docs.google.com/spreadsheets/d/1otQjWHjy3Rq_-7Ie_93jllGR_QbNz_QcBUMPB-NJUP8/edit?gid=902639746#gid=902639746"", ""CHECKING!$L""&amp;ROW(L248))"),"NOT ENCODED")</f>
        <v>NOT ENCODED</v>
      </c>
    </row>
    <row r="36">
      <c r="A36" s="14" t="s">
        <v>17</v>
      </c>
      <c r="B36" s="15">
        <f>IFERROR(__xludf.DUMMYFUNCTION("IMPORTRANGE(""https://docs.google.com/spreadsheets/d/1Y6XV19fmLFtsIVuzoWqyA_aEe7Uw6CzWBXWFyT0KpKc/edit?gid=1855472031#gid=1855472031"", ""SUMMARY!$B""&amp;ROW($B35))"),28.0)</f>
        <v>28</v>
      </c>
      <c r="C36" s="16" t="str">
        <f>IFERROR(__xludf.DUMMYFUNCTION("IMPORTRANGE(""https://docs.google.com/spreadsheets/d/1Y6XV19fmLFtsIVuzoWqyA_aEe7Uw6CzWBXWFyT0KpKc/edit?gid=1855472031#gid=1855472031"", ""SUMMARY!$C""&amp;ROW($C35))"),"TIEMPO")</f>
        <v>TIEMPO</v>
      </c>
      <c r="D36" s="17" t="str">
        <f>IFERROR(__xludf.DUMMYFUNCTION("IMPORTRANGE(""https://docs.google.com/spreadsheets/d/1Y6XV19fmLFtsIVuzoWqyA_aEe7Uw6CzWBXWFyT0KpKc/edit?gid=1855472031#gid=1855472031"", ""SUMMARY!$F""&amp;ROW($F35))"),"HUMSS")</f>
        <v>HUMSS</v>
      </c>
      <c r="E36" s="18" t="str">
        <f>IFERROR(__xludf.DUMMYFUNCTION("IMPORTRANGE(""https://docs.google.com/spreadsheets/d/1Y6XV19fmLFtsIVuzoWqyA_aEe7Uw6CzWBXWFyT0KpKc/edit?gid=1855472031#gid=1855472031"", ""SUMMARY!$D""&amp;ROW($D35))"),"FAITH A. BUNYI")</f>
        <v>FAITH A. BUNYI</v>
      </c>
      <c r="F36" s="18" t="str">
        <f>IFERROR(__xludf.DUMMYFUNCTION("IMPORTRANGE(""https://docs.google.com/spreadsheets/d/1Y6XV19fmLFtsIVuzoWqyA_aEe7Uw6CzWBXWFyT0KpKc/edit?gid=1855472031#gid=1855472031"", ""SUMMARY!$E""&amp;ROW($E35))"),"HUMSS")</f>
        <v>HUMSS</v>
      </c>
      <c r="G36" s="19" t="str">
        <f>IFERROR(__xludf.DUMMYFUNCTION("IMPORTRANGE(""https://docs.google.com/spreadsheets/d/1otQjWHjy3Rq_-7Ie_93jllGR_QbNz_QcBUMPB-NJUP8/edit?gid=902639746#gid=902639746"", ""CHECKING!$F""&amp;ROW(F249))"),"ENCODED")</f>
        <v>ENCODED</v>
      </c>
      <c r="H36" s="19" t="str">
        <f>IFERROR(__xludf.DUMMYFUNCTION("IMPORTRANGE(""https://docs.google.com/spreadsheets/d/1otQjWHjy3Rq_-7Ie_93jllGR_QbNz_QcBUMPB-NJUP8/edit?gid=902639746#gid=902639746"", ""CHECKING!$G""&amp;ROW(G249))"),"ENCODED")</f>
        <v>ENCODED</v>
      </c>
      <c r="I36" s="19" t="str">
        <f>IFERROR(__xludf.DUMMYFUNCTION("IMPORTRANGE(""https://docs.google.com/spreadsheets/d/1otQjWHjy3Rq_-7Ie_93jllGR_QbNz_QcBUMPB-NJUP8/edit?gid=902639746#gid=902639746"", ""CHECKING!$H""&amp;ROW(H249))"),"ENCODED")</f>
        <v>ENCODED</v>
      </c>
      <c r="J36" s="19" t="str">
        <f>IFERROR(__xludf.DUMMYFUNCTION("IMPORTRANGE(""https://docs.google.com/spreadsheets/d/1otQjWHjy3Rq_-7Ie_93jllGR_QbNz_QcBUMPB-NJUP8/edit?gid=902639746#gid=902639746"", ""CHECKING!$I""&amp;ROW(I249))"),"ENCODED")</f>
        <v>ENCODED</v>
      </c>
      <c r="K36" s="19" t="str">
        <f>IFERROR(__xludf.DUMMYFUNCTION("IMPORTRANGE(""https://docs.google.com/spreadsheets/d/1otQjWHjy3Rq_-7Ie_93jllGR_QbNz_QcBUMPB-NJUP8/edit?gid=902639746#gid=902639746"", ""CHECKING!$J""&amp;ROW(J249))"),"NOT ENCODED")</f>
        <v>NOT ENCODED</v>
      </c>
      <c r="L36" s="19" t="str">
        <f>IFERROR(__xludf.DUMMYFUNCTION("IMPORTRANGE(""https://docs.google.com/spreadsheets/d/1otQjWHjy3Rq_-7Ie_93jllGR_QbNz_QcBUMPB-NJUP8/edit?gid=902639746#gid=902639746"", ""CHECKING!$K""&amp;ROW(K249))"),"NOT ENCODED")</f>
        <v>NOT ENCODED</v>
      </c>
      <c r="M36" s="19" t="str">
        <f>IFERROR(__xludf.DUMMYFUNCTION("IMPORTRANGE(""https://docs.google.com/spreadsheets/d/1otQjWHjy3Rq_-7Ie_93jllGR_QbNz_QcBUMPB-NJUP8/edit?gid=902639746#gid=902639746"", ""CHECKING!$L""&amp;ROW(L249))"),"NOT ENCODED")</f>
        <v>NOT ENCODED</v>
      </c>
    </row>
    <row r="37">
      <c r="A37" s="14" t="s">
        <v>17</v>
      </c>
      <c r="B37" s="15">
        <f>IFERROR(__xludf.DUMMYFUNCTION("IMPORTRANGE(""https://docs.google.com/spreadsheets/d/1Y6XV19fmLFtsIVuzoWqyA_aEe7Uw6CzWBXWFyT0KpKc/edit?gid=1855472031#gid=1855472031"", ""SUMMARY!$B""&amp;ROW($B36))"),29.0)</f>
        <v>29</v>
      </c>
      <c r="C37" s="16" t="str">
        <f>IFERROR(__xludf.DUMMYFUNCTION("IMPORTRANGE(""https://docs.google.com/spreadsheets/d/1Y6XV19fmLFtsIVuzoWqyA_aEe7Uw6CzWBXWFyT0KpKc/edit?gid=1855472031#gid=1855472031"", ""SUMMARY!$C""&amp;ROW($C36))"),"VITUG")</f>
        <v>VITUG</v>
      </c>
      <c r="D37" s="17" t="str">
        <f>IFERROR(__xludf.DUMMYFUNCTION("IMPORTRANGE(""https://docs.google.com/spreadsheets/d/1Y6XV19fmLFtsIVuzoWqyA_aEe7Uw6CzWBXWFyT0KpKc/edit?gid=1855472031#gid=1855472031"", ""SUMMARY!$F""&amp;ROW($F36))"),"HUMSS")</f>
        <v>HUMSS</v>
      </c>
      <c r="E37" s="18" t="str">
        <f>IFERROR(__xludf.DUMMYFUNCTION("IMPORTRANGE(""https://docs.google.com/spreadsheets/d/1Y6XV19fmLFtsIVuzoWqyA_aEe7Uw6CzWBXWFyT0KpKc/edit?gid=1855472031#gid=1855472031"", ""SUMMARY!$D""&amp;ROW($D36))"),"ALEJO JANN C. PARAOAN")</f>
        <v>ALEJO JANN C. PARAOAN</v>
      </c>
      <c r="F37" s="18" t="str">
        <f>IFERROR(__xludf.DUMMYFUNCTION("IMPORTRANGE(""https://docs.google.com/spreadsheets/d/1Y6XV19fmLFtsIVuzoWqyA_aEe7Uw6CzWBXWFyT0KpKc/edit?gid=1855472031#gid=1855472031"", ""SUMMARY!$E""&amp;ROW($E36))"),"ENGLISH")</f>
        <v>ENGLISH</v>
      </c>
      <c r="G37" s="19" t="str">
        <f>IFERROR(__xludf.DUMMYFUNCTION("IMPORTRANGE(""https://docs.google.com/spreadsheets/d/1otQjWHjy3Rq_-7Ie_93jllGR_QbNz_QcBUMPB-NJUP8/edit?gid=902639746#gid=902639746"", ""CHECKING!$F""&amp;ROW(F250))"),"ENCODED")</f>
        <v>ENCODED</v>
      </c>
      <c r="H37" s="19" t="str">
        <f>IFERROR(__xludf.DUMMYFUNCTION("IMPORTRANGE(""https://docs.google.com/spreadsheets/d/1otQjWHjy3Rq_-7Ie_93jllGR_QbNz_QcBUMPB-NJUP8/edit?gid=902639746#gid=902639746"", ""CHECKING!$G""&amp;ROW(G250))"),"ENCODED")</f>
        <v>ENCODED</v>
      </c>
      <c r="I37" s="19" t="str">
        <f>IFERROR(__xludf.DUMMYFUNCTION("IMPORTRANGE(""https://docs.google.com/spreadsheets/d/1otQjWHjy3Rq_-7Ie_93jllGR_QbNz_QcBUMPB-NJUP8/edit?gid=902639746#gid=902639746"", ""CHECKING!$H""&amp;ROW(H250))"),"ENCODED")</f>
        <v>ENCODED</v>
      </c>
      <c r="J37" s="19" t="str">
        <f>IFERROR(__xludf.DUMMYFUNCTION("IMPORTRANGE(""https://docs.google.com/spreadsheets/d/1otQjWHjy3Rq_-7Ie_93jllGR_QbNz_QcBUMPB-NJUP8/edit?gid=902639746#gid=902639746"", ""CHECKING!$I""&amp;ROW(I250))"),"ENCODED")</f>
        <v>ENCODED</v>
      </c>
      <c r="K37" s="19" t="str">
        <f>IFERROR(__xludf.DUMMYFUNCTION("IMPORTRANGE(""https://docs.google.com/spreadsheets/d/1otQjWHjy3Rq_-7Ie_93jllGR_QbNz_QcBUMPB-NJUP8/edit?gid=902639746#gid=902639746"", ""CHECKING!$J""&amp;ROW(J250))"),"NOT ENCODED")</f>
        <v>NOT ENCODED</v>
      </c>
      <c r="L37" s="19" t="str">
        <f>IFERROR(__xludf.DUMMYFUNCTION("IMPORTRANGE(""https://docs.google.com/spreadsheets/d/1otQjWHjy3Rq_-7Ie_93jllGR_QbNz_QcBUMPB-NJUP8/edit?gid=902639746#gid=902639746"", ""CHECKING!$K""&amp;ROW(K250))"),"NOT ENCODED")</f>
        <v>NOT ENCODED</v>
      </c>
      <c r="M37" s="19" t="str">
        <f>IFERROR(__xludf.DUMMYFUNCTION("IMPORTRANGE(""https://docs.google.com/spreadsheets/d/1otQjWHjy3Rq_-7Ie_93jllGR_QbNz_QcBUMPB-NJUP8/edit?gid=902639746#gid=902639746"", ""CHECKING!$L""&amp;ROW(L250))"),"NOT ENCODED")</f>
        <v>NOT ENCODED</v>
      </c>
    </row>
    <row r="38">
      <c r="A38" s="14" t="s">
        <v>17</v>
      </c>
      <c r="B38" s="15">
        <f>IFERROR(__xludf.DUMMYFUNCTION("IMPORTRANGE(""https://docs.google.com/spreadsheets/d/1Y6XV19fmLFtsIVuzoWqyA_aEe7Uw6CzWBXWFyT0KpKc/edit?gid=1855472031#gid=1855472031"", ""SUMMARY!$B""&amp;ROW($B37))"),30.0)</f>
        <v>30</v>
      </c>
      <c r="C38" s="16" t="str">
        <f>IFERROR(__xludf.DUMMYFUNCTION("IMPORTRANGE(""https://docs.google.com/spreadsheets/d/1Y6XV19fmLFtsIVuzoWqyA_aEe7Uw6CzWBXWFyT0KpKc/edit?gid=1855472031#gid=1855472031"", ""SUMMARY!$C""&amp;ROW($C37))"),"ZAIDE")</f>
        <v>ZAIDE</v>
      </c>
      <c r="D38" s="17" t="str">
        <f>IFERROR(__xludf.DUMMYFUNCTION("IMPORTRANGE(""https://docs.google.com/spreadsheets/d/1Y6XV19fmLFtsIVuzoWqyA_aEe7Uw6CzWBXWFyT0KpKc/edit?gid=1855472031#gid=1855472031"", ""SUMMARY!$F""&amp;ROW($F37))"),"HUMSS")</f>
        <v>HUMSS</v>
      </c>
      <c r="E38" s="18" t="str">
        <f>IFERROR(__xludf.DUMMYFUNCTION("IMPORTRANGE(""https://docs.google.com/spreadsheets/d/1Y6XV19fmLFtsIVuzoWqyA_aEe7Uw6CzWBXWFyT0KpKc/edit?gid=1855472031#gid=1855472031"", ""SUMMARY!$D""&amp;ROW($D37))"),"MARY ROSE B. BAITA")</f>
        <v>MARY ROSE B. BAITA</v>
      </c>
      <c r="F38" s="18" t="str">
        <f>IFERROR(__xludf.DUMMYFUNCTION("IMPORTRANGE(""https://docs.google.com/spreadsheets/d/1Y6XV19fmLFtsIVuzoWqyA_aEe7Uw6CzWBXWFyT0KpKc/edit?gid=1855472031#gid=1855472031"", ""SUMMARY!$E""&amp;ROW($E37))"),"HUMSS")</f>
        <v>HUMSS</v>
      </c>
      <c r="G38" s="19" t="str">
        <f>IFERROR(__xludf.DUMMYFUNCTION("IMPORTRANGE(""https://docs.google.com/spreadsheets/d/1otQjWHjy3Rq_-7Ie_93jllGR_QbNz_QcBUMPB-NJUP8/edit?gid=902639746#gid=902639746"", ""CHECKING!$F""&amp;ROW(F251))"),"ENCODED")</f>
        <v>ENCODED</v>
      </c>
      <c r="H38" s="19" t="str">
        <f>IFERROR(__xludf.DUMMYFUNCTION("IMPORTRANGE(""https://docs.google.com/spreadsheets/d/1otQjWHjy3Rq_-7Ie_93jllGR_QbNz_QcBUMPB-NJUP8/edit?gid=902639746#gid=902639746"", ""CHECKING!$G""&amp;ROW(G251))"),"ENCODED")</f>
        <v>ENCODED</v>
      </c>
      <c r="I38" s="19" t="str">
        <f>IFERROR(__xludf.DUMMYFUNCTION("IMPORTRANGE(""https://docs.google.com/spreadsheets/d/1otQjWHjy3Rq_-7Ie_93jllGR_QbNz_QcBUMPB-NJUP8/edit?gid=902639746#gid=902639746"", ""CHECKING!$H""&amp;ROW(H251))"),"ENCODED")</f>
        <v>ENCODED</v>
      </c>
      <c r="J38" s="19" t="str">
        <f>IFERROR(__xludf.DUMMYFUNCTION("IMPORTRANGE(""https://docs.google.com/spreadsheets/d/1otQjWHjy3Rq_-7Ie_93jllGR_QbNz_QcBUMPB-NJUP8/edit?gid=902639746#gid=902639746"", ""CHECKING!$I""&amp;ROW(I251))"),"NOT ENCODED")</f>
        <v>NOT ENCODED</v>
      </c>
      <c r="K38" s="19" t="str">
        <f>IFERROR(__xludf.DUMMYFUNCTION("IMPORTRANGE(""https://docs.google.com/spreadsheets/d/1otQjWHjy3Rq_-7Ie_93jllGR_QbNz_QcBUMPB-NJUP8/edit?gid=902639746#gid=902639746"", ""CHECKING!$J""&amp;ROW(J251))"),"NOT ENCODED")</f>
        <v>NOT ENCODED</v>
      </c>
      <c r="L38" s="19" t="str">
        <f>IFERROR(__xludf.DUMMYFUNCTION("IMPORTRANGE(""https://docs.google.com/spreadsheets/d/1otQjWHjy3Rq_-7Ie_93jllGR_QbNz_QcBUMPB-NJUP8/edit?gid=902639746#gid=902639746"", ""CHECKING!$K""&amp;ROW(K251))"),"NOT ENCODED")</f>
        <v>NOT ENCODED</v>
      </c>
      <c r="M38" s="19" t="str">
        <f>IFERROR(__xludf.DUMMYFUNCTION("IMPORTRANGE(""https://docs.google.com/spreadsheets/d/1otQjWHjy3Rq_-7Ie_93jllGR_QbNz_QcBUMPB-NJUP8/edit?gid=902639746#gid=902639746"", ""CHECKING!$L""&amp;ROW(L251))"),"NOT ENCODED")</f>
        <v>NOT ENCODED</v>
      </c>
    </row>
    <row r="39">
      <c r="A39" s="14" t="s">
        <v>17</v>
      </c>
      <c r="B39" s="15">
        <f>IFERROR(__xludf.DUMMYFUNCTION("IMPORTRANGE(""https://docs.google.com/spreadsheets/d/1Y6XV19fmLFtsIVuzoWqyA_aEe7Uw6CzWBXWFyT0KpKc/edit?gid=1855472031#gid=1855472031"", ""SUMMARY!$B""&amp;ROW($B38))"),31.0)</f>
        <v>31</v>
      </c>
      <c r="C39" s="16" t="str">
        <f>IFERROR(__xludf.DUMMYFUNCTION("IMPORTRANGE(""https://docs.google.com/spreadsheets/d/1Y6XV19fmLFtsIVuzoWqyA_aEe7Uw6CzWBXWFyT0KpKc/edit?gid=1855472031#gid=1855472031"", ""SUMMARY!$C""&amp;ROW($C38))"),"ALCALA")</f>
        <v>ALCALA</v>
      </c>
      <c r="D39" s="17" t="str">
        <f>IFERROR(__xludf.DUMMYFUNCTION("IMPORTRANGE(""https://docs.google.com/spreadsheets/d/1Y6XV19fmLFtsIVuzoWqyA_aEe7Uw6CzWBXWFyT0KpKc/edit?gid=1855472031#gid=1855472031"", ""SUMMARY!$F""&amp;ROW($F38))"),"STEM")</f>
        <v>STEM</v>
      </c>
      <c r="E39" s="18" t="str">
        <f>IFERROR(__xludf.DUMMYFUNCTION("IMPORTRANGE(""https://docs.google.com/spreadsheets/d/1Y6XV19fmLFtsIVuzoWqyA_aEe7Uw6CzWBXWFyT0KpKc/edit?gid=1855472031#gid=1855472031"", ""SUMMARY!$D""&amp;ROW($D38))"),"CRISANTO A. DE VERA")</f>
        <v>CRISANTO A. DE VERA</v>
      </c>
      <c r="F39" s="18" t="str">
        <f>IFERROR(__xludf.DUMMYFUNCTION("IMPORTRANGE(""https://docs.google.com/spreadsheets/d/1Y6XV19fmLFtsIVuzoWqyA_aEe7Uw6CzWBXWFyT0KpKc/edit?gid=1855472031#gid=1855472031"", ""SUMMARY!$E""&amp;ROW($E38))"),"SCIENCE")</f>
        <v>SCIENCE</v>
      </c>
      <c r="G39" s="19" t="str">
        <f>IFERROR(__xludf.DUMMYFUNCTION("IMPORTRANGE(""https://docs.google.com/spreadsheets/d/1otQjWHjy3Rq_-7Ie_93jllGR_QbNz_QcBUMPB-NJUP8/edit?gid=902639746#gid=902639746"", ""CHECKING!$F""&amp;ROW(F252))"),"ENCODED")</f>
        <v>ENCODED</v>
      </c>
      <c r="H39" s="19" t="str">
        <f>IFERROR(__xludf.DUMMYFUNCTION("IMPORTRANGE(""https://docs.google.com/spreadsheets/d/1otQjWHjy3Rq_-7Ie_93jllGR_QbNz_QcBUMPB-NJUP8/edit?gid=902639746#gid=902639746"", ""CHECKING!$G""&amp;ROW(G252))"),"ENCODED")</f>
        <v>ENCODED</v>
      </c>
      <c r="I39" s="19" t="str">
        <f>IFERROR(__xludf.DUMMYFUNCTION("IMPORTRANGE(""https://docs.google.com/spreadsheets/d/1otQjWHjy3Rq_-7Ie_93jllGR_QbNz_QcBUMPB-NJUP8/edit?gid=902639746#gid=902639746"", ""CHECKING!$H""&amp;ROW(H252))"),"ENCODED")</f>
        <v>ENCODED</v>
      </c>
      <c r="J39" s="19" t="str">
        <f>IFERROR(__xludf.DUMMYFUNCTION("IMPORTRANGE(""https://docs.google.com/spreadsheets/d/1otQjWHjy3Rq_-7Ie_93jllGR_QbNz_QcBUMPB-NJUP8/edit?gid=902639746#gid=902639746"", ""CHECKING!$I""&amp;ROW(I252))"),"NOT ENCODED")</f>
        <v>NOT ENCODED</v>
      </c>
      <c r="K39" s="19" t="str">
        <f>IFERROR(__xludf.DUMMYFUNCTION("IMPORTRANGE(""https://docs.google.com/spreadsheets/d/1otQjWHjy3Rq_-7Ie_93jllGR_QbNz_QcBUMPB-NJUP8/edit?gid=902639746#gid=902639746"", ""CHECKING!$J""&amp;ROW(J252))"),"NOT ENCODED")</f>
        <v>NOT ENCODED</v>
      </c>
      <c r="L39" s="19" t="str">
        <f>IFERROR(__xludf.DUMMYFUNCTION("IMPORTRANGE(""https://docs.google.com/spreadsheets/d/1otQjWHjy3Rq_-7Ie_93jllGR_QbNz_QcBUMPB-NJUP8/edit?gid=902639746#gid=902639746"", ""CHECKING!$K""&amp;ROW(K252))"),"NOT ENCODED")</f>
        <v>NOT ENCODED</v>
      </c>
      <c r="M39" s="19" t="str">
        <f>IFERROR(__xludf.DUMMYFUNCTION("IMPORTRANGE(""https://docs.google.com/spreadsheets/d/1otQjWHjy3Rq_-7Ie_93jllGR_QbNz_QcBUMPB-NJUP8/edit?gid=902639746#gid=902639746"", ""CHECKING!$L""&amp;ROW(L252))"),"NOT ENCODED")</f>
        <v>NOT ENCODED</v>
      </c>
    </row>
    <row r="40">
      <c r="A40" s="14" t="s">
        <v>17</v>
      </c>
      <c r="B40" s="15">
        <f>IFERROR(__xludf.DUMMYFUNCTION("IMPORTRANGE(""https://docs.google.com/spreadsheets/d/1Y6XV19fmLFtsIVuzoWqyA_aEe7Uw6CzWBXWFyT0KpKc/edit?gid=1855472031#gid=1855472031"", ""SUMMARY!$B""&amp;ROW($B39))"),32.0)</f>
        <v>32</v>
      </c>
      <c r="C40" s="16" t="str">
        <f>IFERROR(__xludf.DUMMYFUNCTION("IMPORTRANGE(""https://docs.google.com/spreadsheets/d/1Y6XV19fmLFtsIVuzoWqyA_aEe7Uw6CzWBXWFyT0KpKc/edit?gid=1855472031#gid=1855472031"", ""SUMMARY!$C""&amp;ROW($C39))"),"BARBA")</f>
        <v>BARBA</v>
      </c>
      <c r="D40" s="17" t="str">
        <f>IFERROR(__xludf.DUMMYFUNCTION("IMPORTRANGE(""https://docs.google.com/spreadsheets/d/1Y6XV19fmLFtsIVuzoWqyA_aEe7Uw6CzWBXWFyT0KpKc/edit?gid=1855472031#gid=1855472031"", ""SUMMARY!$F""&amp;ROW($F39))"),"STEM")</f>
        <v>STEM</v>
      </c>
      <c r="E40" s="18" t="str">
        <f>IFERROR(__xludf.DUMMYFUNCTION("IMPORTRANGE(""https://docs.google.com/spreadsheets/d/1Y6XV19fmLFtsIVuzoWqyA_aEe7Uw6CzWBXWFyT0KpKc/edit?gid=1855472031#gid=1855472031"", ""SUMMARY!$D""&amp;ROW($D39))"),"MARIEL F. BUENA")</f>
        <v>MARIEL F. BUENA</v>
      </c>
      <c r="F40" s="18" t="str">
        <f>IFERROR(__xludf.DUMMYFUNCTION("IMPORTRANGE(""https://docs.google.com/spreadsheets/d/1Y6XV19fmLFtsIVuzoWqyA_aEe7Uw6CzWBXWFyT0KpKc/edit?gid=1855472031#gid=1855472031"", ""SUMMARY!$E""&amp;ROW($E39))"),"SCIENCE")</f>
        <v>SCIENCE</v>
      </c>
      <c r="G40" s="19" t="str">
        <f>IFERROR(__xludf.DUMMYFUNCTION("IMPORTRANGE(""https://docs.google.com/spreadsheets/d/1otQjWHjy3Rq_-7Ie_93jllGR_QbNz_QcBUMPB-NJUP8/edit?gid=902639746#gid=902639746"", ""CHECKING!$F""&amp;ROW(F253))"),"ENCODED")</f>
        <v>ENCODED</v>
      </c>
      <c r="H40" s="19" t="str">
        <f>IFERROR(__xludf.DUMMYFUNCTION("IMPORTRANGE(""https://docs.google.com/spreadsheets/d/1otQjWHjy3Rq_-7Ie_93jllGR_QbNz_QcBUMPB-NJUP8/edit?gid=902639746#gid=902639746"", ""CHECKING!$G""&amp;ROW(G253))"),"ENCODED")</f>
        <v>ENCODED</v>
      </c>
      <c r="I40" s="19" t="str">
        <f>IFERROR(__xludf.DUMMYFUNCTION("IMPORTRANGE(""https://docs.google.com/spreadsheets/d/1otQjWHjy3Rq_-7Ie_93jllGR_QbNz_QcBUMPB-NJUP8/edit?gid=902639746#gid=902639746"", ""CHECKING!$H""&amp;ROW(H253))"),"ENCODED")</f>
        <v>ENCODED</v>
      </c>
      <c r="J40" s="19" t="str">
        <f>IFERROR(__xludf.DUMMYFUNCTION("IMPORTRANGE(""https://docs.google.com/spreadsheets/d/1otQjWHjy3Rq_-7Ie_93jllGR_QbNz_QcBUMPB-NJUP8/edit?gid=902639746#gid=902639746"", ""CHECKING!$I""&amp;ROW(I253))"),"NOT ENCODED")</f>
        <v>NOT ENCODED</v>
      </c>
      <c r="K40" s="19" t="str">
        <f>IFERROR(__xludf.DUMMYFUNCTION("IMPORTRANGE(""https://docs.google.com/spreadsheets/d/1otQjWHjy3Rq_-7Ie_93jllGR_QbNz_QcBUMPB-NJUP8/edit?gid=902639746#gid=902639746"", ""CHECKING!$J""&amp;ROW(J253))"),"NOT ENCODED")</f>
        <v>NOT ENCODED</v>
      </c>
      <c r="L40" s="19" t="str">
        <f>IFERROR(__xludf.DUMMYFUNCTION("IMPORTRANGE(""https://docs.google.com/spreadsheets/d/1otQjWHjy3Rq_-7Ie_93jllGR_QbNz_QcBUMPB-NJUP8/edit?gid=902639746#gid=902639746"", ""CHECKING!$K""&amp;ROW(K253))"),"NOT ENCODED")</f>
        <v>NOT ENCODED</v>
      </c>
      <c r="M40" s="19" t="str">
        <f>IFERROR(__xludf.DUMMYFUNCTION("IMPORTRANGE(""https://docs.google.com/spreadsheets/d/1otQjWHjy3Rq_-7Ie_93jllGR_QbNz_QcBUMPB-NJUP8/edit?gid=902639746#gid=902639746"", ""CHECKING!$L""&amp;ROW(L253))"),"NOT ENCODED")</f>
        <v>NOT ENCODED</v>
      </c>
    </row>
    <row r="41">
      <c r="A41" s="14" t="s">
        <v>17</v>
      </c>
      <c r="B41" s="15">
        <f>IFERROR(__xludf.DUMMYFUNCTION("IMPORTRANGE(""https://docs.google.com/spreadsheets/d/1Y6XV19fmLFtsIVuzoWqyA_aEe7Uw6CzWBXWFyT0KpKc/edit?gid=1855472031#gid=1855472031"", ""SUMMARY!$B""&amp;ROW($B40))"),33.0)</f>
        <v>33</v>
      </c>
      <c r="C41" s="16" t="str">
        <f>IFERROR(__xludf.DUMMYFUNCTION("IMPORTRANGE(""https://docs.google.com/spreadsheets/d/1Y6XV19fmLFtsIVuzoWqyA_aEe7Uw6CzWBXWFyT0KpKc/edit?gid=1855472031#gid=1855472031"", ""SUMMARY!$C""&amp;ROW($C40))"),"BIYO")</f>
        <v>BIYO</v>
      </c>
      <c r="D41" s="17" t="str">
        <f>IFERROR(__xludf.DUMMYFUNCTION("IMPORTRANGE(""https://docs.google.com/spreadsheets/d/1Y6XV19fmLFtsIVuzoWqyA_aEe7Uw6CzWBXWFyT0KpKc/edit?gid=1855472031#gid=1855472031"", ""SUMMARY!$F""&amp;ROW($F40))"),"STEM")</f>
        <v>STEM</v>
      </c>
      <c r="E41" s="18" t="str">
        <f>IFERROR(__xludf.DUMMYFUNCTION("IMPORTRANGE(""https://docs.google.com/spreadsheets/d/1Y6XV19fmLFtsIVuzoWqyA_aEe7Uw6CzWBXWFyT0KpKc/edit?gid=1855472031#gid=1855472031"", ""SUMMARY!$D""&amp;ROW($D40))"),"LIZA R. BAUTISTA")</f>
        <v>LIZA R. BAUTISTA</v>
      </c>
      <c r="F41" s="18" t="str">
        <f>IFERROR(__xludf.DUMMYFUNCTION("IMPORTRANGE(""https://docs.google.com/spreadsheets/d/1Y6XV19fmLFtsIVuzoWqyA_aEe7Uw6CzWBXWFyT0KpKc/edit?gid=1855472031#gid=1855472031"", ""SUMMARY!$E""&amp;ROW($E40))"),"FILIPINO")</f>
        <v>FILIPINO</v>
      </c>
      <c r="G41" s="19" t="str">
        <f>IFERROR(__xludf.DUMMYFUNCTION("IMPORTRANGE(""https://docs.google.com/spreadsheets/d/1otQjWHjy3Rq_-7Ie_93jllGR_QbNz_QcBUMPB-NJUP8/edit?gid=902639746#gid=902639746"", ""CHECKING!$F""&amp;ROW(F254))"),"ENCODED")</f>
        <v>ENCODED</v>
      </c>
      <c r="H41" s="19" t="str">
        <f>IFERROR(__xludf.DUMMYFUNCTION("IMPORTRANGE(""https://docs.google.com/spreadsheets/d/1otQjWHjy3Rq_-7Ie_93jllGR_QbNz_QcBUMPB-NJUP8/edit?gid=902639746#gid=902639746"", ""CHECKING!$G""&amp;ROW(G254))"),"ENCODED")</f>
        <v>ENCODED</v>
      </c>
      <c r="I41" s="19" t="str">
        <f>IFERROR(__xludf.DUMMYFUNCTION("IMPORTRANGE(""https://docs.google.com/spreadsheets/d/1otQjWHjy3Rq_-7Ie_93jllGR_QbNz_QcBUMPB-NJUP8/edit?gid=902639746#gid=902639746"", ""CHECKING!$H""&amp;ROW(H254))"),"ENCODED")</f>
        <v>ENCODED</v>
      </c>
      <c r="J41" s="19" t="str">
        <f>IFERROR(__xludf.DUMMYFUNCTION("IMPORTRANGE(""https://docs.google.com/spreadsheets/d/1otQjWHjy3Rq_-7Ie_93jllGR_QbNz_QcBUMPB-NJUP8/edit?gid=902639746#gid=902639746"", ""CHECKING!$I""&amp;ROW(I254))"),"ENCODED")</f>
        <v>ENCODED</v>
      </c>
      <c r="K41" s="19" t="str">
        <f>IFERROR(__xludf.DUMMYFUNCTION("IMPORTRANGE(""https://docs.google.com/spreadsheets/d/1otQjWHjy3Rq_-7Ie_93jllGR_QbNz_QcBUMPB-NJUP8/edit?gid=902639746#gid=902639746"", ""CHECKING!$J""&amp;ROW(J254))"),"NOT ENCODED")</f>
        <v>NOT ENCODED</v>
      </c>
      <c r="L41" s="19" t="str">
        <f>IFERROR(__xludf.DUMMYFUNCTION("IMPORTRANGE(""https://docs.google.com/spreadsheets/d/1otQjWHjy3Rq_-7Ie_93jllGR_QbNz_QcBUMPB-NJUP8/edit?gid=902639746#gid=902639746"", ""CHECKING!$K""&amp;ROW(K254))"),"NOT ENCODED")</f>
        <v>NOT ENCODED</v>
      </c>
      <c r="M41" s="19" t="str">
        <f>IFERROR(__xludf.DUMMYFUNCTION("IMPORTRANGE(""https://docs.google.com/spreadsheets/d/1otQjWHjy3Rq_-7Ie_93jllGR_QbNz_QcBUMPB-NJUP8/edit?gid=902639746#gid=902639746"", ""CHECKING!$L""&amp;ROW(L254))"),"NOT ENCODED")</f>
        <v>NOT ENCODED</v>
      </c>
    </row>
    <row r="42">
      <c r="A42" s="14" t="s">
        <v>17</v>
      </c>
      <c r="B42" s="15">
        <f>IFERROR(__xludf.DUMMYFUNCTION("IMPORTRANGE(""https://docs.google.com/spreadsheets/d/1Y6XV19fmLFtsIVuzoWqyA_aEe7Uw6CzWBXWFyT0KpKc/edit?gid=1855472031#gid=1855472031"", ""SUMMARY!$B""&amp;ROW($B41))"),34.0)</f>
        <v>34</v>
      </c>
      <c r="C42" s="16" t="str">
        <f>IFERROR(__xludf.DUMMYFUNCTION("IMPORTRANGE(""https://docs.google.com/spreadsheets/d/1Y6XV19fmLFtsIVuzoWqyA_aEe7Uw6CzWBXWFyT0KpKc/edit?gid=1855472031#gid=1855472031"", ""SUMMARY!$C""&amp;ROW($C41))"),"CONSUNJI")</f>
        <v>CONSUNJI</v>
      </c>
      <c r="D42" s="17" t="str">
        <f>IFERROR(__xludf.DUMMYFUNCTION("IMPORTRANGE(""https://docs.google.com/spreadsheets/d/1Y6XV19fmLFtsIVuzoWqyA_aEe7Uw6CzWBXWFyT0KpKc/edit?gid=1855472031#gid=1855472031"", ""SUMMARY!$F""&amp;ROW($F41))"),"STEM")</f>
        <v>STEM</v>
      </c>
      <c r="E42" s="18" t="str">
        <f>IFERROR(__xludf.DUMMYFUNCTION("IMPORTRANGE(""https://docs.google.com/spreadsheets/d/1Y6XV19fmLFtsIVuzoWqyA_aEe7Uw6CzWBXWFyT0KpKc/edit?gid=1855472031#gid=1855472031"", ""SUMMARY!$D""&amp;ROW($D41))"),"KYLE NICOLE ARELLANO")</f>
        <v>KYLE NICOLE ARELLANO</v>
      </c>
      <c r="F42" s="18" t="str">
        <f>IFERROR(__xludf.DUMMYFUNCTION("IMPORTRANGE(""https://docs.google.com/spreadsheets/d/1Y6XV19fmLFtsIVuzoWqyA_aEe7Uw6CzWBXWFyT0KpKc/edit?gid=1855472031#gid=1855472031"", ""SUMMARY!$E""&amp;ROW($E41))"),"ENGLISH")</f>
        <v>ENGLISH</v>
      </c>
      <c r="G42" s="19" t="str">
        <f>IFERROR(__xludf.DUMMYFUNCTION("IMPORTRANGE(""https://docs.google.com/spreadsheets/d/1otQjWHjy3Rq_-7Ie_93jllGR_QbNz_QcBUMPB-NJUP8/edit?gid=902639746#gid=902639746"", ""CHECKING!$F""&amp;ROW(F255))"),"ENCODED")</f>
        <v>ENCODED</v>
      </c>
      <c r="H42" s="19" t="str">
        <f>IFERROR(__xludf.DUMMYFUNCTION("IMPORTRANGE(""https://docs.google.com/spreadsheets/d/1otQjWHjy3Rq_-7Ie_93jllGR_QbNz_QcBUMPB-NJUP8/edit?gid=902639746#gid=902639746"", ""CHECKING!$G""&amp;ROW(G255))"),"ENCODED")</f>
        <v>ENCODED</v>
      </c>
      <c r="I42" s="19" t="str">
        <f>IFERROR(__xludf.DUMMYFUNCTION("IMPORTRANGE(""https://docs.google.com/spreadsheets/d/1otQjWHjy3Rq_-7Ie_93jllGR_QbNz_QcBUMPB-NJUP8/edit?gid=902639746#gid=902639746"", ""CHECKING!$H""&amp;ROW(H255))"),"ENCODED")</f>
        <v>ENCODED</v>
      </c>
      <c r="J42" s="19" t="str">
        <f>IFERROR(__xludf.DUMMYFUNCTION("IMPORTRANGE(""https://docs.google.com/spreadsheets/d/1otQjWHjy3Rq_-7Ie_93jllGR_QbNz_QcBUMPB-NJUP8/edit?gid=902639746#gid=902639746"", ""CHECKING!$I""&amp;ROW(I255))"),"ENCODED")</f>
        <v>ENCODED</v>
      </c>
      <c r="K42" s="19" t="str">
        <f>IFERROR(__xludf.DUMMYFUNCTION("IMPORTRANGE(""https://docs.google.com/spreadsheets/d/1otQjWHjy3Rq_-7Ie_93jllGR_QbNz_QcBUMPB-NJUP8/edit?gid=902639746#gid=902639746"", ""CHECKING!$J""&amp;ROW(J255))"),"NOT ENCODED")</f>
        <v>NOT ENCODED</v>
      </c>
      <c r="L42" s="19" t="str">
        <f>IFERROR(__xludf.DUMMYFUNCTION("IMPORTRANGE(""https://docs.google.com/spreadsheets/d/1otQjWHjy3Rq_-7Ie_93jllGR_QbNz_QcBUMPB-NJUP8/edit?gid=902639746#gid=902639746"", ""CHECKING!$K""&amp;ROW(K255))"),"NOT ENCODED")</f>
        <v>NOT ENCODED</v>
      </c>
      <c r="M42" s="19" t="str">
        <f>IFERROR(__xludf.DUMMYFUNCTION("IMPORTRANGE(""https://docs.google.com/spreadsheets/d/1otQjWHjy3Rq_-7Ie_93jllGR_QbNz_QcBUMPB-NJUP8/edit?gid=902639746#gid=902639746"", ""CHECKING!$L""&amp;ROW(L255))"),"NOT ENCODED")</f>
        <v>NOT ENCODED</v>
      </c>
    </row>
    <row r="43">
      <c r="A43" s="14" t="s">
        <v>17</v>
      </c>
      <c r="B43" s="15">
        <f>IFERROR(__xludf.DUMMYFUNCTION("IMPORTRANGE(""https://docs.google.com/spreadsheets/d/1Y6XV19fmLFtsIVuzoWqyA_aEe7Uw6CzWBXWFyT0KpKc/edit?gid=1855472031#gid=1855472031"", ""SUMMARY!$B""&amp;ROW($B42))"),35.0)</f>
        <v>35</v>
      </c>
      <c r="C43" s="16" t="str">
        <f>IFERROR(__xludf.DUMMYFUNCTION("IMPORTRANGE(""https://docs.google.com/spreadsheets/d/1Y6XV19fmLFtsIVuzoWqyA_aEe7Uw6CzWBXWFyT0KpKc/edit?gid=1855472031#gid=1855472031"", ""SUMMARY!$C""&amp;ROW($C42))"),"DEL MUNDO")</f>
        <v>DEL MUNDO</v>
      </c>
      <c r="D43" s="17" t="str">
        <f>IFERROR(__xludf.DUMMYFUNCTION("IMPORTRANGE(""https://docs.google.com/spreadsheets/d/1Y6XV19fmLFtsIVuzoWqyA_aEe7Uw6CzWBXWFyT0KpKc/edit?gid=1855472031#gid=1855472031"", ""SUMMARY!$F""&amp;ROW($F42))"),"STEM")</f>
        <v>STEM</v>
      </c>
      <c r="E43" s="18" t="str">
        <f>IFERROR(__xludf.DUMMYFUNCTION("IMPORTRANGE(""https://docs.google.com/spreadsheets/d/1Y6XV19fmLFtsIVuzoWqyA_aEe7Uw6CzWBXWFyT0KpKc/edit?gid=1855472031#gid=1855472031"", ""SUMMARY!$D""&amp;ROW($D42))"),"EFREN E. SARMIENTO JR.")</f>
        <v>EFREN E. SARMIENTO JR.</v>
      </c>
      <c r="F43" s="18" t="str">
        <f>IFERROR(__xludf.DUMMYFUNCTION("IMPORTRANGE(""https://docs.google.com/spreadsheets/d/1Y6XV19fmLFtsIVuzoWqyA_aEe7Uw6CzWBXWFyT0KpKc/edit?gid=1855472031#gid=1855472031"", ""SUMMARY!$E""&amp;ROW($E42))"),"MATH")</f>
        <v>MATH</v>
      </c>
      <c r="G43" s="19" t="str">
        <f>IFERROR(__xludf.DUMMYFUNCTION("IMPORTRANGE(""https://docs.google.com/spreadsheets/d/1otQjWHjy3Rq_-7Ie_93jllGR_QbNz_QcBUMPB-NJUP8/edit?gid=902639746#gid=902639746"", ""CHECKING!$F""&amp;ROW(F256))"),"ENCODED")</f>
        <v>ENCODED</v>
      </c>
      <c r="H43" s="19" t="str">
        <f>IFERROR(__xludf.DUMMYFUNCTION("IMPORTRANGE(""https://docs.google.com/spreadsheets/d/1otQjWHjy3Rq_-7Ie_93jllGR_QbNz_QcBUMPB-NJUP8/edit?gid=902639746#gid=902639746"", ""CHECKING!$G""&amp;ROW(G256))"),"ENCODED")</f>
        <v>ENCODED</v>
      </c>
      <c r="I43" s="19" t="str">
        <f>IFERROR(__xludf.DUMMYFUNCTION("IMPORTRANGE(""https://docs.google.com/spreadsheets/d/1otQjWHjy3Rq_-7Ie_93jllGR_QbNz_QcBUMPB-NJUP8/edit?gid=902639746#gid=902639746"", ""CHECKING!$H""&amp;ROW(H256))"),"ENCODED")</f>
        <v>ENCODED</v>
      </c>
      <c r="J43" s="19" t="str">
        <f>IFERROR(__xludf.DUMMYFUNCTION("IMPORTRANGE(""https://docs.google.com/spreadsheets/d/1otQjWHjy3Rq_-7Ie_93jllGR_QbNz_QcBUMPB-NJUP8/edit?gid=902639746#gid=902639746"", ""CHECKING!$I""&amp;ROW(I256))"),"NOT ENCODED")</f>
        <v>NOT ENCODED</v>
      </c>
      <c r="K43" s="19" t="str">
        <f>IFERROR(__xludf.DUMMYFUNCTION("IMPORTRANGE(""https://docs.google.com/spreadsheets/d/1otQjWHjy3Rq_-7Ie_93jllGR_QbNz_QcBUMPB-NJUP8/edit?gid=902639746#gid=902639746"", ""CHECKING!$J""&amp;ROW(J256))"),"NOT ENCODED")</f>
        <v>NOT ENCODED</v>
      </c>
      <c r="L43" s="19" t="str">
        <f>IFERROR(__xludf.DUMMYFUNCTION("IMPORTRANGE(""https://docs.google.com/spreadsheets/d/1otQjWHjy3Rq_-7Ie_93jllGR_QbNz_QcBUMPB-NJUP8/edit?gid=902639746#gid=902639746"", ""CHECKING!$K""&amp;ROW(K256))"),"NOT ENCODED")</f>
        <v>NOT ENCODED</v>
      </c>
      <c r="M43" s="19" t="str">
        <f>IFERROR(__xludf.DUMMYFUNCTION("IMPORTRANGE(""https://docs.google.com/spreadsheets/d/1otQjWHjy3Rq_-7Ie_93jllGR_QbNz_QcBUMPB-NJUP8/edit?gid=902639746#gid=902639746"", ""CHECKING!$L""&amp;ROW(L256))"),"NOT ENCODED")</f>
        <v>NOT ENCODED</v>
      </c>
    </row>
    <row r="44">
      <c r="A44" s="14" t="s">
        <v>17</v>
      </c>
      <c r="B44" s="15">
        <f>IFERROR(__xludf.DUMMYFUNCTION("IMPORTRANGE(""https://docs.google.com/spreadsheets/d/1Y6XV19fmLFtsIVuzoWqyA_aEe7Uw6CzWBXWFyT0KpKc/edit?gid=1855472031#gid=1855472031"", ""SUMMARY!$B""&amp;ROW($B43))"),36.0)</f>
        <v>36</v>
      </c>
      <c r="C44" s="16" t="str">
        <f>IFERROR(__xludf.DUMMYFUNCTION("IMPORTRANGE(""https://docs.google.com/spreadsheets/d/1Y6XV19fmLFtsIVuzoWqyA_aEe7Uw6CzWBXWFyT0KpKc/edit?gid=1855472031#gid=1855472031"", ""SUMMARY!$C""&amp;ROW($C43))"),"FLAVIER")</f>
        <v>FLAVIER</v>
      </c>
      <c r="D44" s="17" t="str">
        <f>IFERROR(__xludf.DUMMYFUNCTION("IMPORTRANGE(""https://docs.google.com/spreadsheets/d/1Y6XV19fmLFtsIVuzoWqyA_aEe7Uw6CzWBXWFyT0KpKc/edit?gid=1855472031#gid=1855472031"", ""SUMMARY!$F""&amp;ROW($F43))"),"STEM")</f>
        <v>STEM</v>
      </c>
      <c r="E44" s="18" t="str">
        <f>IFERROR(__xludf.DUMMYFUNCTION("IMPORTRANGE(""https://docs.google.com/spreadsheets/d/1Y6XV19fmLFtsIVuzoWqyA_aEe7Uw6CzWBXWFyT0KpKc/edit?gid=1855472031#gid=1855472031"", ""SUMMARY!$D""&amp;ROW($D43))"),"MARVIN C. SANTOS")</f>
        <v>MARVIN C. SANTOS</v>
      </c>
      <c r="F44" s="18" t="str">
        <f>IFERROR(__xludf.DUMMYFUNCTION("IMPORTRANGE(""https://docs.google.com/spreadsheets/d/1Y6XV19fmLFtsIVuzoWqyA_aEe7Uw6CzWBXWFyT0KpKc/edit?gid=1855472031#gid=1855472031"", ""SUMMARY!$E""&amp;ROW($E43))"),"MATH")</f>
        <v>MATH</v>
      </c>
      <c r="G44" s="19" t="str">
        <f>IFERROR(__xludf.DUMMYFUNCTION("IMPORTRANGE(""https://docs.google.com/spreadsheets/d/1otQjWHjy3Rq_-7Ie_93jllGR_QbNz_QcBUMPB-NJUP8/edit?gid=902639746#gid=902639746"", ""CHECKING!$F""&amp;ROW(F257))"),"ENCODED")</f>
        <v>ENCODED</v>
      </c>
      <c r="H44" s="19" t="str">
        <f>IFERROR(__xludf.DUMMYFUNCTION("IMPORTRANGE(""https://docs.google.com/spreadsheets/d/1otQjWHjy3Rq_-7Ie_93jllGR_QbNz_QcBUMPB-NJUP8/edit?gid=902639746#gid=902639746"", ""CHECKING!$G""&amp;ROW(G257))"),"ENCODED")</f>
        <v>ENCODED</v>
      </c>
      <c r="I44" s="19" t="str">
        <f>IFERROR(__xludf.DUMMYFUNCTION("IMPORTRANGE(""https://docs.google.com/spreadsheets/d/1otQjWHjy3Rq_-7Ie_93jllGR_QbNz_QcBUMPB-NJUP8/edit?gid=902639746#gid=902639746"", ""CHECKING!$H""&amp;ROW(H257))"),"ENCODED")</f>
        <v>ENCODED</v>
      </c>
      <c r="J44" s="19" t="str">
        <f>IFERROR(__xludf.DUMMYFUNCTION("IMPORTRANGE(""https://docs.google.com/spreadsheets/d/1otQjWHjy3Rq_-7Ie_93jllGR_QbNz_QcBUMPB-NJUP8/edit?gid=902639746#gid=902639746"", ""CHECKING!$I""&amp;ROW(I257))"),"NOT ENCODED")</f>
        <v>NOT ENCODED</v>
      </c>
      <c r="K44" s="19" t="str">
        <f>IFERROR(__xludf.DUMMYFUNCTION("IMPORTRANGE(""https://docs.google.com/spreadsheets/d/1otQjWHjy3Rq_-7Ie_93jllGR_QbNz_QcBUMPB-NJUP8/edit?gid=902639746#gid=902639746"", ""CHECKING!$J""&amp;ROW(J257))"),"NOT ENCODED")</f>
        <v>NOT ENCODED</v>
      </c>
      <c r="L44" s="19" t="str">
        <f>IFERROR(__xludf.DUMMYFUNCTION("IMPORTRANGE(""https://docs.google.com/spreadsheets/d/1otQjWHjy3Rq_-7Ie_93jllGR_QbNz_QcBUMPB-NJUP8/edit?gid=902639746#gid=902639746"", ""CHECKING!$K""&amp;ROW(K257))"),"NOT ENCODED")</f>
        <v>NOT ENCODED</v>
      </c>
      <c r="M44" s="19" t="str">
        <f>IFERROR(__xludf.DUMMYFUNCTION("IMPORTRANGE(""https://docs.google.com/spreadsheets/d/1otQjWHjy3Rq_-7Ie_93jllGR_QbNz_QcBUMPB-NJUP8/edit?gid=902639746#gid=902639746"", ""CHECKING!$L""&amp;ROW(L257))"),"NOT ENCODED")</f>
        <v>NOT ENCODED</v>
      </c>
    </row>
    <row r="45">
      <c r="A45" s="14" t="s">
        <v>17</v>
      </c>
      <c r="B45" s="15">
        <f>IFERROR(__xludf.DUMMYFUNCTION("IMPORTRANGE(""https://docs.google.com/spreadsheets/d/1Y6XV19fmLFtsIVuzoWqyA_aEe7Uw6CzWBXWFyT0KpKc/edit?gid=1855472031#gid=1855472031"", ""SUMMARY!$B""&amp;ROW($B44))"),37.0)</f>
        <v>37</v>
      </c>
      <c r="C45" s="16" t="str">
        <f>IFERROR(__xludf.DUMMYFUNCTION("IMPORTRANGE(""https://docs.google.com/spreadsheets/d/1Y6XV19fmLFtsIVuzoWqyA_aEe7Uw6CzWBXWFyT0KpKc/edit?gid=1855472031#gid=1855472031"", ""SUMMARY!$C""&amp;ROW($C44))"),"JUINIO")</f>
        <v>JUINIO</v>
      </c>
      <c r="D45" s="17" t="str">
        <f>IFERROR(__xludf.DUMMYFUNCTION("IMPORTRANGE(""https://docs.google.com/spreadsheets/d/1Y6XV19fmLFtsIVuzoWqyA_aEe7Uw6CzWBXWFyT0KpKc/edit?gid=1855472031#gid=1855472031"", ""SUMMARY!$F""&amp;ROW($F44))"),"STEM")</f>
        <v>STEM</v>
      </c>
      <c r="E45" s="18" t="str">
        <f>IFERROR(__xludf.DUMMYFUNCTION("IMPORTRANGE(""https://docs.google.com/spreadsheets/d/1Y6XV19fmLFtsIVuzoWqyA_aEe7Uw6CzWBXWFyT0KpKc/edit?gid=1855472031#gid=1855472031"", ""SUMMARY!$D""&amp;ROW($D44))"),"ABIGAIL O. ALAMIS")</f>
        <v>ABIGAIL O. ALAMIS</v>
      </c>
      <c r="F45" s="18" t="str">
        <f>IFERROR(__xludf.DUMMYFUNCTION("IMPORTRANGE(""https://docs.google.com/spreadsheets/d/1Y6XV19fmLFtsIVuzoWqyA_aEe7Uw6CzWBXWFyT0KpKc/edit?gid=1855472031#gid=1855472031"", ""SUMMARY!$E""&amp;ROW($E44))"),"SCIENCE")</f>
        <v>SCIENCE</v>
      </c>
      <c r="G45" s="19" t="str">
        <f>IFERROR(__xludf.DUMMYFUNCTION("IMPORTRANGE(""https://docs.google.com/spreadsheets/d/1otQjWHjy3Rq_-7Ie_93jllGR_QbNz_QcBUMPB-NJUP8/edit?gid=902639746#gid=902639746"", ""CHECKING!$F""&amp;ROW(F258))"),"ENCODED")</f>
        <v>ENCODED</v>
      </c>
      <c r="H45" s="19" t="str">
        <f>IFERROR(__xludf.DUMMYFUNCTION("IMPORTRANGE(""https://docs.google.com/spreadsheets/d/1otQjWHjy3Rq_-7Ie_93jllGR_QbNz_QcBUMPB-NJUP8/edit?gid=902639746#gid=902639746"", ""CHECKING!$G""&amp;ROW(G258))"),"ENCODED")</f>
        <v>ENCODED</v>
      </c>
      <c r="I45" s="19" t="str">
        <f>IFERROR(__xludf.DUMMYFUNCTION("IMPORTRANGE(""https://docs.google.com/spreadsheets/d/1otQjWHjy3Rq_-7Ie_93jllGR_QbNz_QcBUMPB-NJUP8/edit?gid=902639746#gid=902639746"", ""CHECKING!$H""&amp;ROW(H258))"),"ENCODED")</f>
        <v>ENCODED</v>
      </c>
      <c r="J45" s="19" t="str">
        <f>IFERROR(__xludf.DUMMYFUNCTION("IMPORTRANGE(""https://docs.google.com/spreadsheets/d/1otQjWHjy3Rq_-7Ie_93jllGR_QbNz_QcBUMPB-NJUP8/edit?gid=902639746#gid=902639746"", ""CHECKING!$I""&amp;ROW(I258))"),"NOT ENCODED")</f>
        <v>NOT ENCODED</v>
      </c>
      <c r="K45" s="19" t="str">
        <f>IFERROR(__xludf.DUMMYFUNCTION("IMPORTRANGE(""https://docs.google.com/spreadsheets/d/1otQjWHjy3Rq_-7Ie_93jllGR_QbNz_QcBUMPB-NJUP8/edit?gid=902639746#gid=902639746"", ""CHECKING!$J""&amp;ROW(J258))"),"NOT ENCODED")</f>
        <v>NOT ENCODED</v>
      </c>
      <c r="L45" s="19" t="str">
        <f>IFERROR(__xludf.DUMMYFUNCTION("IMPORTRANGE(""https://docs.google.com/spreadsheets/d/1otQjWHjy3Rq_-7Ie_93jllGR_QbNz_QcBUMPB-NJUP8/edit?gid=902639746#gid=902639746"", ""CHECKING!$K""&amp;ROW(K258))"),"NOT ENCODED")</f>
        <v>NOT ENCODED</v>
      </c>
      <c r="M45" s="19" t="str">
        <f>IFERROR(__xludf.DUMMYFUNCTION("IMPORTRANGE(""https://docs.google.com/spreadsheets/d/1otQjWHjy3Rq_-7Ie_93jllGR_QbNz_QcBUMPB-NJUP8/edit?gid=902639746#gid=902639746"", ""CHECKING!$L""&amp;ROW(L258))"),"NOT ENCODED")</f>
        <v>NOT ENCODED</v>
      </c>
    </row>
    <row r="46">
      <c r="A46" s="14" t="s">
        <v>17</v>
      </c>
      <c r="B46" s="15">
        <f>IFERROR(__xludf.DUMMYFUNCTION("IMPORTRANGE(""https://docs.google.com/spreadsheets/d/1Y6XV19fmLFtsIVuzoWqyA_aEe7Uw6CzWBXWFyT0KpKc/edit?gid=1855472031#gid=1855472031"", ""SUMMARY!$B""&amp;ROW($B45))"),38.0)</f>
        <v>38</v>
      </c>
      <c r="C46" s="16" t="str">
        <f>IFERROR(__xludf.DUMMYFUNCTION("IMPORTRANGE(""https://docs.google.com/spreadsheets/d/1Y6XV19fmLFtsIVuzoWqyA_aEe7Uw6CzWBXWFyT0KpKc/edit?gid=1855472031#gid=1855472031"", ""SUMMARY!$C""&amp;ROW($C45))"),"KASILAG")</f>
        <v>KASILAG</v>
      </c>
      <c r="D46" s="17" t="str">
        <f>IFERROR(__xludf.DUMMYFUNCTION("IMPORTRANGE(""https://docs.google.com/spreadsheets/d/1Y6XV19fmLFtsIVuzoWqyA_aEe7Uw6CzWBXWFyT0KpKc/edit?gid=1855472031#gid=1855472031"", ""SUMMARY!$F""&amp;ROW($F45))"),"STEM")</f>
        <v>STEM</v>
      </c>
      <c r="E46" s="18" t="str">
        <f>IFERROR(__xludf.DUMMYFUNCTION("IMPORTRANGE(""https://docs.google.com/spreadsheets/d/1Y6XV19fmLFtsIVuzoWqyA_aEe7Uw6CzWBXWFyT0KpKc/edit?gid=1855472031#gid=1855472031"", ""SUMMARY!$D""&amp;ROW($D45))"),"ELLEN A. ORBITA")</f>
        <v>ELLEN A. ORBITA</v>
      </c>
      <c r="F46" s="18" t="str">
        <f>IFERROR(__xludf.DUMMYFUNCTION("IMPORTRANGE(""https://docs.google.com/spreadsheets/d/1Y6XV19fmLFtsIVuzoWqyA_aEe7Uw6CzWBXWFyT0KpKc/edit?gid=1855472031#gid=1855472031"", ""SUMMARY!$E""&amp;ROW($E45))"),"FILIPINO")</f>
        <v>FILIPINO</v>
      </c>
      <c r="G46" s="19" t="str">
        <f>IFERROR(__xludf.DUMMYFUNCTION("IMPORTRANGE(""https://docs.google.com/spreadsheets/d/1otQjWHjy3Rq_-7Ie_93jllGR_QbNz_QcBUMPB-NJUP8/edit?gid=902639746#gid=902639746"", ""CHECKING!$F""&amp;ROW(F259))"),"ENCODED")</f>
        <v>ENCODED</v>
      </c>
      <c r="H46" s="19" t="str">
        <f>IFERROR(__xludf.DUMMYFUNCTION("IMPORTRANGE(""https://docs.google.com/spreadsheets/d/1otQjWHjy3Rq_-7Ie_93jllGR_QbNz_QcBUMPB-NJUP8/edit?gid=902639746#gid=902639746"", ""CHECKING!$G""&amp;ROW(G259))"),"ENCODED")</f>
        <v>ENCODED</v>
      </c>
      <c r="I46" s="19" t="str">
        <f>IFERROR(__xludf.DUMMYFUNCTION("IMPORTRANGE(""https://docs.google.com/spreadsheets/d/1otQjWHjy3Rq_-7Ie_93jllGR_QbNz_QcBUMPB-NJUP8/edit?gid=902639746#gid=902639746"", ""CHECKING!$H""&amp;ROW(H259))"),"ENCODED")</f>
        <v>ENCODED</v>
      </c>
      <c r="J46" s="19" t="str">
        <f>IFERROR(__xludf.DUMMYFUNCTION("IMPORTRANGE(""https://docs.google.com/spreadsheets/d/1otQjWHjy3Rq_-7Ie_93jllGR_QbNz_QcBUMPB-NJUP8/edit?gid=902639746#gid=902639746"", ""CHECKING!$I""&amp;ROW(I259))"),"NOT ENCODED")</f>
        <v>NOT ENCODED</v>
      </c>
      <c r="K46" s="19" t="str">
        <f>IFERROR(__xludf.DUMMYFUNCTION("IMPORTRANGE(""https://docs.google.com/spreadsheets/d/1otQjWHjy3Rq_-7Ie_93jllGR_QbNz_QcBUMPB-NJUP8/edit?gid=902639746#gid=902639746"", ""CHECKING!$J""&amp;ROW(J259))"),"NOT ENCODED")</f>
        <v>NOT ENCODED</v>
      </c>
      <c r="L46" s="19" t="str">
        <f>IFERROR(__xludf.DUMMYFUNCTION("IMPORTRANGE(""https://docs.google.com/spreadsheets/d/1otQjWHjy3Rq_-7Ie_93jllGR_QbNz_QcBUMPB-NJUP8/edit?gid=902639746#gid=902639746"", ""CHECKING!$K""&amp;ROW(K259))"),"NOT ENCODED")</f>
        <v>NOT ENCODED</v>
      </c>
      <c r="M46" s="19" t="str">
        <f>IFERROR(__xludf.DUMMYFUNCTION("IMPORTRANGE(""https://docs.google.com/spreadsheets/d/1otQjWHjy3Rq_-7Ie_93jllGR_QbNz_QcBUMPB-NJUP8/edit?gid=902639746#gid=902639746"", ""CHECKING!$L""&amp;ROW(L259))"),"NOT ENCODED")</f>
        <v>NOT ENCODED</v>
      </c>
    </row>
    <row r="47">
      <c r="A47" s="14" t="s">
        <v>17</v>
      </c>
      <c r="B47" s="15">
        <f>IFERROR(__xludf.DUMMYFUNCTION("IMPORTRANGE(""https://docs.google.com/spreadsheets/d/1Y6XV19fmLFtsIVuzoWqyA_aEe7Uw6CzWBXWFyT0KpKc/edit?gid=1855472031#gid=1855472031"", ""SUMMARY!$B""&amp;ROW($B46))"),39.0)</f>
        <v>39</v>
      </c>
      <c r="C47" s="16" t="str">
        <f>IFERROR(__xludf.DUMMYFUNCTION("IMPORTRANGE(""https://docs.google.com/spreadsheets/d/1Y6XV19fmLFtsIVuzoWqyA_aEe7Uw6CzWBXWFyT0KpKc/edit?gid=1855472031#gid=1855472031"", ""SUMMARY!$C""&amp;ROW($C46))"),"MIJENO")</f>
        <v>MIJENO</v>
      </c>
      <c r="D47" s="17" t="str">
        <f>IFERROR(__xludf.DUMMYFUNCTION("IMPORTRANGE(""https://docs.google.com/spreadsheets/d/1Y6XV19fmLFtsIVuzoWqyA_aEe7Uw6CzWBXWFyT0KpKc/edit?gid=1855472031#gid=1855472031"", ""SUMMARY!$F""&amp;ROW($F46))"),"STEM")</f>
        <v>STEM</v>
      </c>
      <c r="E47" s="18" t="str">
        <f>IFERROR(__xludf.DUMMYFUNCTION("IMPORTRANGE(""https://docs.google.com/spreadsheets/d/1Y6XV19fmLFtsIVuzoWqyA_aEe7Uw6CzWBXWFyT0KpKc/edit?gid=1855472031#gid=1855472031"", ""SUMMARY!$D""&amp;ROW($D46))"),"GELYN S. CARREON")</f>
        <v>GELYN S. CARREON</v>
      </c>
      <c r="F47" s="18" t="str">
        <f>IFERROR(__xludf.DUMMYFUNCTION("IMPORTRANGE(""https://docs.google.com/spreadsheets/d/1Y6XV19fmLFtsIVuzoWqyA_aEe7Uw6CzWBXWFyT0KpKc/edit?gid=1855472031#gid=1855472031"", ""SUMMARY!$E""&amp;ROW($E46))"),"MATH")</f>
        <v>MATH</v>
      </c>
      <c r="G47" s="19" t="str">
        <f>IFERROR(__xludf.DUMMYFUNCTION("IMPORTRANGE(""https://docs.google.com/spreadsheets/d/1otQjWHjy3Rq_-7Ie_93jllGR_QbNz_QcBUMPB-NJUP8/edit?gid=902639746#gid=902639746"", ""CHECKING!$F""&amp;ROW(F260))"),"ENCODED")</f>
        <v>ENCODED</v>
      </c>
      <c r="H47" s="19" t="str">
        <f>IFERROR(__xludf.DUMMYFUNCTION("IMPORTRANGE(""https://docs.google.com/spreadsheets/d/1otQjWHjy3Rq_-7Ie_93jllGR_QbNz_QcBUMPB-NJUP8/edit?gid=902639746#gid=902639746"", ""CHECKING!$G""&amp;ROW(G260))"),"ENCODED")</f>
        <v>ENCODED</v>
      </c>
      <c r="I47" s="19" t="str">
        <f>IFERROR(__xludf.DUMMYFUNCTION("IMPORTRANGE(""https://docs.google.com/spreadsheets/d/1otQjWHjy3Rq_-7Ie_93jllGR_QbNz_QcBUMPB-NJUP8/edit?gid=902639746#gid=902639746"", ""CHECKING!$H""&amp;ROW(H260))"),"ENCODED")</f>
        <v>ENCODED</v>
      </c>
      <c r="J47" s="19" t="str">
        <f>IFERROR(__xludf.DUMMYFUNCTION("IMPORTRANGE(""https://docs.google.com/spreadsheets/d/1otQjWHjy3Rq_-7Ie_93jllGR_QbNz_QcBUMPB-NJUP8/edit?gid=902639746#gid=902639746"", ""CHECKING!$I""&amp;ROW(I260))"),"NOT ENCODED")</f>
        <v>NOT ENCODED</v>
      </c>
      <c r="K47" s="19" t="str">
        <f>IFERROR(__xludf.DUMMYFUNCTION("IMPORTRANGE(""https://docs.google.com/spreadsheets/d/1otQjWHjy3Rq_-7Ie_93jllGR_QbNz_QcBUMPB-NJUP8/edit?gid=902639746#gid=902639746"", ""CHECKING!$J""&amp;ROW(J260))"),"NOT ENCODED")</f>
        <v>NOT ENCODED</v>
      </c>
      <c r="L47" s="19" t="str">
        <f>IFERROR(__xludf.DUMMYFUNCTION("IMPORTRANGE(""https://docs.google.com/spreadsheets/d/1otQjWHjy3Rq_-7Ie_93jllGR_QbNz_QcBUMPB-NJUP8/edit?gid=902639746#gid=902639746"", ""CHECKING!$K""&amp;ROW(K260))"),"NOT ENCODED")</f>
        <v>NOT ENCODED</v>
      </c>
      <c r="M47" s="19" t="str">
        <f>IFERROR(__xludf.DUMMYFUNCTION("IMPORTRANGE(""https://docs.google.com/spreadsheets/d/1otQjWHjy3Rq_-7Ie_93jllGR_QbNz_QcBUMPB-NJUP8/edit?gid=902639746#gid=902639746"", ""CHECKING!$L""&amp;ROW(L260))"),"NOT ENCODED")</f>
        <v>NOT ENCODED</v>
      </c>
    </row>
    <row r="48">
      <c r="A48" s="14" t="s">
        <v>17</v>
      </c>
      <c r="B48" s="15">
        <f>IFERROR(__xludf.DUMMYFUNCTION("IMPORTRANGE(""https://docs.google.com/spreadsheets/d/1Y6XV19fmLFtsIVuzoWqyA_aEe7Uw6CzWBXWFyT0KpKc/edit?gid=1855472031#gid=1855472031"", ""SUMMARY!$B""&amp;ROW($B47))"),40.0)</f>
        <v>40</v>
      </c>
      <c r="C48" s="16" t="str">
        <f>IFERROR(__xludf.DUMMYFUNCTION("IMPORTRANGE(""https://docs.google.com/spreadsheets/d/1Y6XV19fmLFtsIVuzoWqyA_aEe7Uw6CzWBXWFyT0KpKc/edit?gid=1855472031#gid=1855472031"", ""SUMMARY!$C""&amp;ROW($C47))"),"NEBRES")</f>
        <v>NEBRES</v>
      </c>
      <c r="D48" s="17" t="str">
        <f>IFERROR(__xludf.DUMMYFUNCTION("IMPORTRANGE(""https://docs.google.com/spreadsheets/d/1Y6XV19fmLFtsIVuzoWqyA_aEe7Uw6CzWBXWFyT0KpKc/edit?gid=1855472031#gid=1855472031"", ""SUMMARY!$F""&amp;ROW($F47))"),"STEM")</f>
        <v>STEM</v>
      </c>
      <c r="E48" s="18" t="str">
        <f>IFERROR(__xludf.DUMMYFUNCTION("IMPORTRANGE(""https://docs.google.com/spreadsheets/d/1Y6XV19fmLFtsIVuzoWqyA_aEe7Uw6CzWBXWFyT0KpKc/edit?gid=1855472031#gid=1855472031"", ""SUMMARY!$D""&amp;ROW($D47))"),"SHIELA MAE H. PAMA")</f>
        <v>SHIELA MAE H. PAMA</v>
      </c>
      <c r="F48" s="18" t="str">
        <f>IFERROR(__xludf.DUMMYFUNCTION("IMPORTRANGE(""https://docs.google.com/spreadsheets/d/1Y6XV19fmLFtsIVuzoWqyA_aEe7Uw6CzWBXWFyT0KpKc/edit?gid=1855472031#gid=1855472031"", ""SUMMARY!$E""&amp;ROW($E47))"),"ENGLISH")</f>
        <v>ENGLISH</v>
      </c>
      <c r="G48" s="19" t="str">
        <f>IFERROR(__xludf.DUMMYFUNCTION("IMPORTRANGE(""https://docs.google.com/spreadsheets/d/1otQjWHjy3Rq_-7Ie_93jllGR_QbNz_QcBUMPB-NJUP8/edit?gid=902639746#gid=902639746"", ""CHECKING!$F""&amp;ROW(F261))"),"ENCODED")</f>
        <v>ENCODED</v>
      </c>
      <c r="H48" s="19" t="str">
        <f>IFERROR(__xludf.DUMMYFUNCTION("IMPORTRANGE(""https://docs.google.com/spreadsheets/d/1otQjWHjy3Rq_-7Ie_93jllGR_QbNz_QcBUMPB-NJUP8/edit?gid=902639746#gid=902639746"", ""CHECKING!$G""&amp;ROW(G261))"),"ENCODED")</f>
        <v>ENCODED</v>
      </c>
      <c r="I48" s="19" t="str">
        <f>IFERROR(__xludf.DUMMYFUNCTION("IMPORTRANGE(""https://docs.google.com/spreadsheets/d/1otQjWHjy3Rq_-7Ie_93jllGR_QbNz_QcBUMPB-NJUP8/edit?gid=902639746#gid=902639746"", ""CHECKING!$H""&amp;ROW(H261))"),"ENCODED")</f>
        <v>ENCODED</v>
      </c>
      <c r="J48" s="19" t="str">
        <f>IFERROR(__xludf.DUMMYFUNCTION("IMPORTRANGE(""https://docs.google.com/spreadsheets/d/1otQjWHjy3Rq_-7Ie_93jllGR_QbNz_QcBUMPB-NJUP8/edit?gid=902639746#gid=902639746"", ""CHECKING!$I""&amp;ROW(I261))"),"ENCODED")</f>
        <v>ENCODED</v>
      </c>
      <c r="K48" s="19" t="str">
        <f>IFERROR(__xludf.DUMMYFUNCTION("IMPORTRANGE(""https://docs.google.com/spreadsheets/d/1otQjWHjy3Rq_-7Ie_93jllGR_QbNz_QcBUMPB-NJUP8/edit?gid=902639746#gid=902639746"", ""CHECKING!$J""&amp;ROW(J261))"),"NOT ENCODED")</f>
        <v>NOT ENCODED</v>
      </c>
      <c r="L48" s="19" t="str">
        <f>IFERROR(__xludf.DUMMYFUNCTION("IMPORTRANGE(""https://docs.google.com/spreadsheets/d/1otQjWHjy3Rq_-7Ie_93jllGR_QbNz_QcBUMPB-NJUP8/edit?gid=902639746#gid=902639746"", ""CHECKING!$K""&amp;ROW(K261))"),"NOT ENCODED")</f>
        <v>NOT ENCODED</v>
      </c>
      <c r="M48" s="19" t="str">
        <f>IFERROR(__xludf.DUMMYFUNCTION("IMPORTRANGE(""https://docs.google.com/spreadsheets/d/1otQjWHjy3Rq_-7Ie_93jllGR_QbNz_QcBUMPB-NJUP8/edit?gid=902639746#gid=902639746"", ""CHECKING!$L""&amp;ROW(L261))"),"NOT ENCODED")</f>
        <v>NOT ENCODED</v>
      </c>
    </row>
    <row r="49">
      <c r="A49" s="14" t="s">
        <v>17</v>
      </c>
      <c r="B49" s="15">
        <f>IFERROR(__xludf.DUMMYFUNCTION("IMPORTRANGE(""https://docs.google.com/spreadsheets/d/1Y6XV19fmLFtsIVuzoWqyA_aEe7Uw6CzWBXWFyT0KpKc/edit?gid=1855472031#gid=1855472031"", ""SUMMARY!$B""&amp;ROW($B48))"),41.0)</f>
        <v>41</v>
      </c>
      <c r="C49" s="16" t="str">
        <f>IFERROR(__xludf.DUMMYFUNCTION("IMPORTRANGE(""https://docs.google.com/spreadsheets/d/1Y6XV19fmLFtsIVuzoWqyA_aEe7Uw6CzWBXWFyT0KpKc/edit?gid=1855472031#gid=1855472031"", ""SUMMARY!$C""&amp;ROW($C48))"),"QUISUMBING")</f>
        <v>QUISUMBING</v>
      </c>
      <c r="D49" s="17" t="str">
        <f>IFERROR(__xludf.DUMMYFUNCTION("IMPORTRANGE(""https://docs.google.com/spreadsheets/d/1Y6XV19fmLFtsIVuzoWqyA_aEe7Uw6CzWBXWFyT0KpKc/edit?gid=1855472031#gid=1855472031"", ""SUMMARY!$F""&amp;ROW($F48))"),"STEM")</f>
        <v>STEM</v>
      </c>
      <c r="E49" s="18" t="str">
        <f>IFERROR(__xludf.DUMMYFUNCTION("IMPORTRANGE(""https://docs.google.com/spreadsheets/d/1Y6XV19fmLFtsIVuzoWqyA_aEe7Uw6CzWBXWFyT0KpKc/edit?gid=1855472031#gid=1855472031"", ""SUMMARY!$D""&amp;ROW($D48))"),"HAZEL B. MORALLOS")</f>
        <v>HAZEL B. MORALLOS</v>
      </c>
      <c r="F49" s="18" t="str">
        <f>IFERROR(__xludf.DUMMYFUNCTION("IMPORTRANGE(""https://docs.google.com/spreadsheets/d/1Y6XV19fmLFtsIVuzoWqyA_aEe7Uw6CzWBXWFyT0KpKc/edit?gid=1855472031#gid=1855472031"", ""SUMMARY!$E""&amp;ROW($E48))"),"HUMSS")</f>
        <v>HUMSS</v>
      </c>
      <c r="G49" s="19" t="str">
        <f>IFERROR(__xludf.DUMMYFUNCTION("IMPORTRANGE(""https://docs.google.com/spreadsheets/d/1otQjWHjy3Rq_-7Ie_93jllGR_QbNz_QcBUMPB-NJUP8/edit?gid=902639746#gid=902639746"", ""CHECKING!$F""&amp;ROW(F262))"),"ENCODED")</f>
        <v>ENCODED</v>
      </c>
      <c r="H49" s="19" t="str">
        <f>IFERROR(__xludf.DUMMYFUNCTION("IMPORTRANGE(""https://docs.google.com/spreadsheets/d/1otQjWHjy3Rq_-7Ie_93jllGR_QbNz_QcBUMPB-NJUP8/edit?gid=902639746#gid=902639746"", ""CHECKING!$G""&amp;ROW(G262))"),"ENCODED")</f>
        <v>ENCODED</v>
      </c>
      <c r="I49" s="19" t="str">
        <f>IFERROR(__xludf.DUMMYFUNCTION("IMPORTRANGE(""https://docs.google.com/spreadsheets/d/1otQjWHjy3Rq_-7Ie_93jllGR_QbNz_QcBUMPB-NJUP8/edit?gid=902639746#gid=902639746"", ""CHECKING!$H""&amp;ROW(H262))"),"ENCODED")</f>
        <v>ENCODED</v>
      </c>
      <c r="J49" s="19" t="str">
        <f>IFERROR(__xludf.DUMMYFUNCTION("IMPORTRANGE(""https://docs.google.com/spreadsheets/d/1otQjWHjy3Rq_-7Ie_93jllGR_QbNz_QcBUMPB-NJUP8/edit?gid=902639746#gid=902639746"", ""CHECKING!$I""&amp;ROW(I262))"),"NOT ENCODED")</f>
        <v>NOT ENCODED</v>
      </c>
      <c r="K49" s="19" t="str">
        <f>IFERROR(__xludf.DUMMYFUNCTION("IMPORTRANGE(""https://docs.google.com/spreadsheets/d/1otQjWHjy3Rq_-7Ie_93jllGR_QbNz_QcBUMPB-NJUP8/edit?gid=902639746#gid=902639746"", ""CHECKING!$J""&amp;ROW(J262))"),"NOT ENCODED")</f>
        <v>NOT ENCODED</v>
      </c>
      <c r="L49" s="19" t="str">
        <f>IFERROR(__xludf.DUMMYFUNCTION("IMPORTRANGE(""https://docs.google.com/spreadsheets/d/1otQjWHjy3Rq_-7Ie_93jllGR_QbNz_QcBUMPB-NJUP8/edit?gid=902639746#gid=902639746"", ""CHECKING!$K""&amp;ROW(K262))"),"NOT ENCODED")</f>
        <v>NOT ENCODED</v>
      </c>
      <c r="M49" s="19" t="str">
        <f>IFERROR(__xludf.DUMMYFUNCTION("IMPORTRANGE(""https://docs.google.com/spreadsheets/d/1otQjWHjy3Rq_-7Ie_93jllGR_QbNz_QcBUMPB-NJUP8/edit?gid=902639746#gid=902639746"", ""CHECKING!$L""&amp;ROW(L262))"),"NOT ENCODED")</f>
        <v>NOT ENCODED</v>
      </c>
    </row>
    <row r="50">
      <c r="A50" s="14" t="s">
        <v>17</v>
      </c>
      <c r="B50" s="15">
        <f>IFERROR(__xludf.DUMMYFUNCTION("IMPORTRANGE(""https://docs.google.com/spreadsheets/d/1Y6XV19fmLFtsIVuzoWqyA_aEe7Uw6CzWBXWFyT0KpKc/edit?gid=1855472031#gid=1855472031"", ""SUMMARY!$B""&amp;ROW($B49))"),42.0)</f>
        <v>42</v>
      </c>
      <c r="C50" s="16" t="str">
        <f>IFERROR(__xludf.DUMMYFUNCTION("IMPORTRANGE(""https://docs.google.com/spreadsheets/d/1Y6XV19fmLFtsIVuzoWqyA_aEe7Uw6CzWBXWFyT0KpKc/edit?gid=1855472031#gid=1855472031"", ""SUMMARY!$C""&amp;ROW($C49))"),"SOLIDUM")</f>
        <v>SOLIDUM</v>
      </c>
      <c r="D50" s="17" t="str">
        <f>IFERROR(__xludf.DUMMYFUNCTION("IMPORTRANGE(""https://docs.google.com/spreadsheets/d/1Y6XV19fmLFtsIVuzoWqyA_aEe7Uw6CzWBXWFyT0KpKc/edit?gid=1855472031#gid=1855472031"", ""SUMMARY!$F""&amp;ROW($F49))"),"STEM")</f>
        <v>STEM</v>
      </c>
      <c r="E50" s="18" t="str">
        <f>IFERROR(__xludf.DUMMYFUNCTION("IMPORTRANGE(""https://docs.google.com/spreadsheets/d/1Y6XV19fmLFtsIVuzoWqyA_aEe7Uw6CzWBXWFyT0KpKc/edit?gid=1855472031#gid=1855472031"", ""SUMMARY!$D""&amp;ROW($D49))"),"TRISHIA ANNE D. DEMORIN")</f>
        <v>TRISHIA ANNE D. DEMORIN</v>
      </c>
      <c r="F50" s="18" t="str">
        <f>IFERROR(__xludf.DUMMYFUNCTION("IMPORTRANGE(""https://docs.google.com/spreadsheets/d/1Y6XV19fmLFtsIVuzoWqyA_aEe7Uw6CzWBXWFyT0KpKc/edit?gid=1855472031#gid=1855472031"", ""SUMMARY!$E""&amp;ROW($E49))"),"MATH")</f>
        <v>MATH</v>
      </c>
      <c r="G50" s="19" t="str">
        <f>IFERROR(__xludf.DUMMYFUNCTION("IMPORTRANGE(""https://docs.google.com/spreadsheets/d/1otQjWHjy3Rq_-7Ie_93jllGR_QbNz_QcBUMPB-NJUP8/edit?gid=902639746#gid=902639746"", ""CHECKING!$F""&amp;ROW(F263))"),"ENCODED")</f>
        <v>ENCODED</v>
      </c>
      <c r="H50" s="19" t="str">
        <f>IFERROR(__xludf.DUMMYFUNCTION("IMPORTRANGE(""https://docs.google.com/spreadsheets/d/1otQjWHjy3Rq_-7Ie_93jllGR_QbNz_QcBUMPB-NJUP8/edit?gid=902639746#gid=902639746"", ""CHECKING!$G""&amp;ROW(G263))"),"ENCODED")</f>
        <v>ENCODED</v>
      </c>
      <c r="I50" s="19" t="str">
        <f>IFERROR(__xludf.DUMMYFUNCTION("IMPORTRANGE(""https://docs.google.com/spreadsheets/d/1otQjWHjy3Rq_-7Ie_93jllGR_QbNz_QcBUMPB-NJUP8/edit?gid=902639746#gid=902639746"", ""CHECKING!$H""&amp;ROW(H263))"),"ENCODED")</f>
        <v>ENCODED</v>
      </c>
      <c r="J50" s="19" t="str">
        <f>IFERROR(__xludf.DUMMYFUNCTION("IMPORTRANGE(""https://docs.google.com/spreadsheets/d/1otQjWHjy3Rq_-7Ie_93jllGR_QbNz_QcBUMPB-NJUP8/edit?gid=902639746#gid=902639746"", ""CHECKING!$I""&amp;ROW(I263))"),"NOT ENCODED")</f>
        <v>NOT ENCODED</v>
      </c>
      <c r="K50" s="19" t="str">
        <f>IFERROR(__xludf.DUMMYFUNCTION("IMPORTRANGE(""https://docs.google.com/spreadsheets/d/1otQjWHjy3Rq_-7Ie_93jllGR_QbNz_QcBUMPB-NJUP8/edit?gid=902639746#gid=902639746"", ""CHECKING!$J""&amp;ROW(J263))"),"NOT ENCODED")</f>
        <v>NOT ENCODED</v>
      </c>
      <c r="L50" s="19" t="str">
        <f>IFERROR(__xludf.DUMMYFUNCTION("IMPORTRANGE(""https://docs.google.com/spreadsheets/d/1otQjWHjy3Rq_-7Ie_93jllGR_QbNz_QcBUMPB-NJUP8/edit?gid=902639746#gid=902639746"", ""CHECKING!$K""&amp;ROW(K263))"),"NOT ENCODED")</f>
        <v>NOT ENCODED</v>
      </c>
      <c r="M50" s="19" t="str">
        <f>IFERROR(__xludf.DUMMYFUNCTION("IMPORTRANGE(""https://docs.google.com/spreadsheets/d/1otQjWHjy3Rq_-7Ie_93jllGR_QbNz_QcBUMPB-NJUP8/edit?gid=902639746#gid=902639746"", ""CHECKING!$L""&amp;ROW(L263))"),"NOT ENCODED")</f>
        <v>NOT ENCODED</v>
      </c>
    </row>
    <row r="51">
      <c r="A51" s="14" t="s">
        <v>17</v>
      </c>
      <c r="B51" s="15">
        <f>IFERROR(__xludf.DUMMYFUNCTION("IMPORTRANGE(""https://docs.google.com/spreadsheets/d/1Y6XV19fmLFtsIVuzoWqyA_aEe7Uw6CzWBXWFyT0KpKc/edit?gid=1855472031#gid=1855472031"", ""SUMMARY!$B""&amp;ROW($B50))"),43.0)</f>
        <v>43</v>
      </c>
      <c r="C51" s="16" t="str">
        <f>IFERROR(__xludf.DUMMYFUNCTION("IMPORTRANGE(""https://docs.google.com/spreadsheets/d/1Y6XV19fmLFtsIVuzoWqyA_aEe7Uw6CzWBXWFyT0KpKc/edit?gid=1855472031#gid=1855472031"", ""SUMMARY!$C""&amp;ROW($C50))"),"TABUJARA")</f>
        <v>TABUJARA</v>
      </c>
      <c r="D51" s="17" t="str">
        <f>IFERROR(__xludf.DUMMYFUNCTION("IMPORTRANGE(""https://docs.google.com/spreadsheets/d/1Y6XV19fmLFtsIVuzoWqyA_aEe7Uw6CzWBXWFyT0KpKc/edit?gid=1855472031#gid=1855472031"", ""SUMMARY!$F""&amp;ROW($F50))"),"STEM")</f>
        <v>STEM</v>
      </c>
      <c r="E51" s="18" t="str">
        <f>IFERROR(__xludf.DUMMYFUNCTION("IMPORTRANGE(""https://docs.google.com/spreadsheets/d/1Y6XV19fmLFtsIVuzoWqyA_aEe7Uw6CzWBXWFyT0KpKc/edit?gid=1855472031#gid=1855472031"", ""SUMMARY!$D""&amp;ROW($D50))"),"ANALYN M. MANSALAY")</f>
        <v>ANALYN M. MANSALAY</v>
      </c>
      <c r="F51" s="18" t="str">
        <f>IFERROR(__xludf.DUMMYFUNCTION("IMPORTRANGE(""https://docs.google.com/spreadsheets/d/1Y6XV19fmLFtsIVuzoWqyA_aEe7Uw6CzWBXWFyT0KpKc/edit?gid=1855472031#gid=1855472031"", ""SUMMARY!$E""&amp;ROW($E50))"),"SCIENCE")</f>
        <v>SCIENCE</v>
      </c>
      <c r="G51" s="19" t="str">
        <f>IFERROR(__xludf.DUMMYFUNCTION("IMPORTRANGE(""https://docs.google.com/spreadsheets/d/1otQjWHjy3Rq_-7Ie_93jllGR_QbNz_QcBUMPB-NJUP8/edit?gid=902639746#gid=902639746"", ""CHECKING!$F""&amp;ROW(F264))"),"ENCODED")</f>
        <v>ENCODED</v>
      </c>
      <c r="H51" s="19" t="str">
        <f>IFERROR(__xludf.DUMMYFUNCTION("IMPORTRANGE(""https://docs.google.com/spreadsheets/d/1otQjWHjy3Rq_-7Ie_93jllGR_QbNz_QcBUMPB-NJUP8/edit?gid=902639746#gid=902639746"", ""CHECKING!$G""&amp;ROW(G264))"),"ENCODED")</f>
        <v>ENCODED</v>
      </c>
      <c r="I51" s="19" t="str">
        <f>IFERROR(__xludf.DUMMYFUNCTION("IMPORTRANGE(""https://docs.google.com/spreadsheets/d/1otQjWHjy3Rq_-7Ie_93jllGR_QbNz_QcBUMPB-NJUP8/edit?gid=902639746#gid=902639746"", ""CHECKING!$H""&amp;ROW(H264))"),"ENCODED")</f>
        <v>ENCODED</v>
      </c>
      <c r="J51" s="19" t="str">
        <f>IFERROR(__xludf.DUMMYFUNCTION("IMPORTRANGE(""https://docs.google.com/spreadsheets/d/1otQjWHjy3Rq_-7Ie_93jllGR_QbNz_QcBUMPB-NJUP8/edit?gid=902639746#gid=902639746"", ""CHECKING!$I""&amp;ROW(I264))"),"ENCODED")</f>
        <v>ENCODED</v>
      </c>
      <c r="K51" s="19" t="str">
        <f>IFERROR(__xludf.DUMMYFUNCTION("IMPORTRANGE(""https://docs.google.com/spreadsheets/d/1otQjWHjy3Rq_-7Ie_93jllGR_QbNz_QcBUMPB-NJUP8/edit?gid=902639746#gid=902639746"", ""CHECKING!$J""&amp;ROW(J264))"),"NOT ENCODED")</f>
        <v>NOT ENCODED</v>
      </c>
      <c r="L51" s="19" t="str">
        <f>IFERROR(__xludf.DUMMYFUNCTION("IMPORTRANGE(""https://docs.google.com/spreadsheets/d/1otQjWHjy3Rq_-7Ie_93jllGR_QbNz_QcBUMPB-NJUP8/edit?gid=902639746#gid=902639746"", ""CHECKING!$K""&amp;ROW(K264))"),"NOT ENCODED")</f>
        <v>NOT ENCODED</v>
      </c>
      <c r="M51" s="19" t="str">
        <f>IFERROR(__xludf.DUMMYFUNCTION("IMPORTRANGE(""https://docs.google.com/spreadsheets/d/1otQjWHjy3Rq_-7Ie_93jllGR_QbNz_QcBUMPB-NJUP8/edit?gid=902639746#gid=902639746"", ""CHECKING!$L""&amp;ROW(L264))"),"NOT ENCODED")</f>
        <v>NOT ENCODED</v>
      </c>
    </row>
    <row r="52">
      <c r="A52" s="14" t="s">
        <v>17</v>
      </c>
      <c r="B52" s="15">
        <f>IFERROR(__xludf.DUMMYFUNCTION("IMPORTRANGE(""https://docs.google.com/spreadsheets/d/1Y6XV19fmLFtsIVuzoWqyA_aEe7Uw6CzWBXWFyT0KpKc/edit?gid=1855472031#gid=1855472031"", ""SUMMARY!$B""&amp;ROW($B51))"),44.0)</f>
        <v>44</v>
      </c>
      <c r="C52" s="16" t="str">
        <f>IFERROR(__xludf.DUMMYFUNCTION("IMPORTRANGE(""https://docs.google.com/spreadsheets/d/1Y6XV19fmLFtsIVuzoWqyA_aEe7Uw6CzWBXWFyT0KpKc/edit?gid=1855472031#gid=1855472031"", ""SUMMARY!$C""&amp;ROW($C51))"),"VIOLAGO")</f>
        <v>VIOLAGO</v>
      </c>
      <c r="D52" s="17" t="str">
        <f>IFERROR(__xludf.DUMMYFUNCTION("IMPORTRANGE(""https://docs.google.com/spreadsheets/d/1Y6XV19fmLFtsIVuzoWqyA_aEe7Uw6CzWBXWFyT0KpKc/edit?gid=1855472031#gid=1855472031"", ""SUMMARY!$F""&amp;ROW($F51))"),"STEM")</f>
        <v>STEM</v>
      </c>
      <c r="E52" s="18" t="str">
        <f>IFERROR(__xludf.DUMMYFUNCTION("IMPORTRANGE(""https://docs.google.com/spreadsheets/d/1Y6XV19fmLFtsIVuzoWqyA_aEe7Uw6CzWBXWFyT0KpKc/edit?gid=1855472031#gid=1855472031"", ""SUMMARY!$D""&amp;ROW($D51))"),"MARK JUN O. MALABAG")</f>
        <v>MARK JUN O. MALABAG</v>
      </c>
      <c r="F52" s="18" t="str">
        <f>IFERROR(__xludf.DUMMYFUNCTION("IMPORTRANGE(""https://docs.google.com/spreadsheets/d/1Y6XV19fmLFtsIVuzoWqyA_aEe7Uw6CzWBXWFyT0KpKc/edit?gid=1855472031#gid=1855472031"", ""SUMMARY!$E""&amp;ROW($E51))"),"MATH")</f>
        <v>MATH</v>
      </c>
      <c r="G52" s="19" t="str">
        <f>IFERROR(__xludf.DUMMYFUNCTION("IMPORTRANGE(""https://docs.google.com/spreadsheets/d/1otQjWHjy3Rq_-7Ie_93jllGR_QbNz_QcBUMPB-NJUP8/edit?gid=902639746#gid=902639746"", ""CHECKING!$F""&amp;ROW(F265))"),"ENCODED")</f>
        <v>ENCODED</v>
      </c>
      <c r="H52" s="19" t="str">
        <f>IFERROR(__xludf.DUMMYFUNCTION("IMPORTRANGE(""https://docs.google.com/spreadsheets/d/1otQjWHjy3Rq_-7Ie_93jllGR_QbNz_QcBUMPB-NJUP8/edit?gid=902639746#gid=902639746"", ""CHECKING!$G""&amp;ROW(G265))"),"ENCODED")</f>
        <v>ENCODED</v>
      </c>
      <c r="I52" s="19" t="str">
        <f>IFERROR(__xludf.DUMMYFUNCTION("IMPORTRANGE(""https://docs.google.com/spreadsheets/d/1otQjWHjy3Rq_-7Ie_93jllGR_QbNz_QcBUMPB-NJUP8/edit?gid=902639746#gid=902639746"", ""CHECKING!$H""&amp;ROW(H265))"),"ENCODED")</f>
        <v>ENCODED</v>
      </c>
      <c r="J52" s="19" t="str">
        <f>IFERROR(__xludf.DUMMYFUNCTION("IMPORTRANGE(""https://docs.google.com/spreadsheets/d/1otQjWHjy3Rq_-7Ie_93jllGR_QbNz_QcBUMPB-NJUP8/edit?gid=902639746#gid=902639746"", ""CHECKING!$I""&amp;ROW(I265))"),"NOT ENCODED")</f>
        <v>NOT ENCODED</v>
      </c>
      <c r="K52" s="19" t="str">
        <f>IFERROR(__xludf.DUMMYFUNCTION("IMPORTRANGE(""https://docs.google.com/spreadsheets/d/1otQjWHjy3Rq_-7Ie_93jllGR_QbNz_QcBUMPB-NJUP8/edit?gid=902639746#gid=902639746"", ""CHECKING!$J""&amp;ROW(J265))"),"NOT ENCODED")</f>
        <v>NOT ENCODED</v>
      </c>
      <c r="L52" s="19" t="str">
        <f>IFERROR(__xludf.DUMMYFUNCTION("IMPORTRANGE(""https://docs.google.com/spreadsheets/d/1otQjWHjy3Rq_-7Ie_93jllGR_QbNz_QcBUMPB-NJUP8/edit?gid=902639746#gid=902639746"", ""CHECKING!$K""&amp;ROW(K265))"),"NOT ENCODED")</f>
        <v>NOT ENCODED</v>
      </c>
      <c r="M52" s="19" t="str">
        <f>IFERROR(__xludf.DUMMYFUNCTION("IMPORTRANGE(""https://docs.google.com/spreadsheets/d/1otQjWHjy3Rq_-7Ie_93jllGR_QbNz_QcBUMPB-NJUP8/edit?gid=902639746#gid=902639746"", ""CHECKING!$L""&amp;ROW(L265))"),"NOT ENCODED")</f>
        <v>NOT ENCODED</v>
      </c>
    </row>
    <row r="53">
      <c r="A53" s="14" t="s">
        <v>17</v>
      </c>
      <c r="B53" s="15">
        <f>IFERROR(__xludf.DUMMYFUNCTION("IMPORTRANGE(""https://docs.google.com/spreadsheets/d/1Y6XV19fmLFtsIVuzoWqyA_aEe7Uw6CzWBXWFyT0KpKc/edit?gid=1855472031#gid=1855472031"", ""SUMMARY!$B""&amp;ROW($B52))"),45.0)</f>
        <v>45</v>
      </c>
      <c r="C53" s="16" t="str">
        <f>IFERROR(__xludf.DUMMYFUNCTION("IMPORTRANGE(""https://docs.google.com/spreadsheets/d/1Y6XV19fmLFtsIVuzoWqyA_aEe7Uw6CzWBXWFyT0KpKc/edit?gid=1855472031#gid=1855472031"", ""SUMMARY!$C""&amp;ROW($C52))"),"ZARA")</f>
        <v>ZARA</v>
      </c>
      <c r="D53" s="17" t="str">
        <f>IFERROR(__xludf.DUMMYFUNCTION("IMPORTRANGE(""https://docs.google.com/spreadsheets/d/1Y6XV19fmLFtsIVuzoWqyA_aEe7Uw6CzWBXWFyT0KpKc/edit?gid=1855472031#gid=1855472031"", ""SUMMARY!$F""&amp;ROW($F52))"),"STEM")</f>
        <v>STEM</v>
      </c>
      <c r="E53" s="18" t="str">
        <f>IFERROR(__xludf.DUMMYFUNCTION("IMPORTRANGE(""https://docs.google.com/spreadsheets/d/1Y6XV19fmLFtsIVuzoWqyA_aEe7Uw6CzWBXWFyT0KpKc/edit?gid=1855472031#gid=1855472031"", ""SUMMARY!$D""&amp;ROW($D52))"),"JOANE A. MAGLANGIT")</f>
        <v>JOANE A. MAGLANGIT</v>
      </c>
      <c r="F53" s="18" t="str">
        <f>IFERROR(__xludf.DUMMYFUNCTION("IMPORTRANGE(""https://docs.google.com/spreadsheets/d/1Y6XV19fmLFtsIVuzoWqyA_aEe7Uw6CzWBXWFyT0KpKc/edit?gid=1855472031#gid=1855472031"", ""SUMMARY!$E""&amp;ROW($E52))"),"SCIENCE")</f>
        <v>SCIENCE</v>
      </c>
      <c r="G53" s="19" t="str">
        <f>IFERROR(__xludf.DUMMYFUNCTION("IMPORTRANGE(""https://docs.google.com/spreadsheets/d/1otQjWHjy3Rq_-7Ie_93jllGR_QbNz_QcBUMPB-NJUP8/edit?gid=902639746#gid=902639746"", ""CHECKING!$F""&amp;ROW(F266))"),"ENCODED")</f>
        <v>ENCODED</v>
      </c>
      <c r="H53" s="19" t="str">
        <f>IFERROR(__xludf.DUMMYFUNCTION("IMPORTRANGE(""https://docs.google.com/spreadsheets/d/1otQjWHjy3Rq_-7Ie_93jllGR_QbNz_QcBUMPB-NJUP8/edit?gid=902639746#gid=902639746"", ""CHECKING!$G""&amp;ROW(G266))"),"ENCODED")</f>
        <v>ENCODED</v>
      </c>
      <c r="I53" s="19" t="str">
        <f>IFERROR(__xludf.DUMMYFUNCTION("IMPORTRANGE(""https://docs.google.com/spreadsheets/d/1otQjWHjy3Rq_-7Ie_93jllGR_QbNz_QcBUMPB-NJUP8/edit?gid=902639746#gid=902639746"", ""CHECKING!$H""&amp;ROW(H266))"),"ENCODED")</f>
        <v>ENCODED</v>
      </c>
      <c r="J53" s="19" t="str">
        <f>IFERROR(__xludf.DUMMYFUNCTION("IMPORTRANGE(""https://docs.google.com/spreadsheets/d/1otQjWHjy3Rq_-7Ie_93jllGR_QbNz_QcBUMPB-NJUP8/edit?gid=902639746#gid=902639746"", ""CHECKING!$I""&amp;ROW(I266))"),"ENCODED")</f>
        <v>ENCODED</v>
      </c>
      <c r="K53" s="19" t="str">
        <f>IFERROR(__xludf.DUMMYFUNCTION("IMPORTRANGE(""https://docs.google.com/spreadsheets/d/1otQjWHjy3Rq_-7Ie_93jllGR_QbNz_QcBUMPB-NJUP8/edit?gid=902639746#gid=902639746"", ""CHECKING!$J""&amp;ROW(J266))"),"NOT ENCODED")</f>
        <v>NOT ENCODED</v>
      </c>
      <c r="L53" s="19" t="str">
        <f>IFERROR(__xludf.DUMMYFUNCTION("IMPORTRANGE(""https://docs.google.com/spreadsheets/d/1otQjWHjy3Rq_-7Ie_93jllGR_QbNz_QcBUMPB-NJUP8/edit?gid=902639746#gid=902639746"", ""CHECKING!$K""&amp;ROW(K266))"),"NOT ENCODED")</f>
        <v>NOT ENCODED</v>
      </c>
      <c r="M53" s="19" t="str">
        <f>IFERROR(__xludf.DUMMYFUNCTION("IMPORTRANGE(""https://docs.google.com/spreadsheets/d/1otQjWHjy3Rq_-7Ie_93jllGR_QbNz_QcBUMPB-NJUP8/edit?gid=902639746#gid=902639746"", ""CHECKING!$L""&amp;ROW(L266))"),"NOT ENCODED")</f>
        <v>NOT ENCODED</v>
      </c>
    </row>
    <row r="54">
      <c r="A54" s="14" t="s">
        <v>17</v>
      </c>
      <c r="B54" s="15">
        <f>IFERROR(__xludf.DUMMYFUNCTION("IMPORTRANGE(""https://docs.google.com/spreadsheets/d/1Y6XV19fmLFtsIVuzoWqyA_aEe7Uw6CzWBXWFyT0KpKc/edit?gid=1855472031#gid=1855472031"", ""SUMMARY!$B""&amp;ROW($B53))"),46.0)</f>
        <v>46</v>
      </c>
      <c r="C54" s="16" t="str">
        <f>IFERROR(__xludf.DUMMYFUNCTION("IMPORTRANGE(""https://docs.google.com/spreadsheets/d/1Y6XV19fmLFtsIVuzoWqyA_aEe7Uw6CzWBXWFyT0KpKc/edit?gid=1855472031#gid=1855472031"", ""SUMMARY!$C""&amp;ROW($C53))"),"BORROMEO")</f>
        <v>BORROMEO</v>
      </c>
      <c r="D54" s="17" t="str">
        <f>IFERROR(__xludf.DUMMYFUNCTION("IMPORTRANGE(""https://docs.google.com/spreadsheets/d/1Y6XV19fmLFtsIVuzoWqyA_aEe7Uw6CzWBXWFyT0KpKc/edit?gid=1855472031#gid=1855472031"", ""SUMMARY!$F""&amp;ROW($F53))"),"COOKERY")</f>
        <v>COOKERY</v>
      </c>
      <c r="E54" s="18" t="str">
        <f>IFERROR(__xludf.DUMMYFUNCTION("IMPORTRANGE(""https://docs.google.com/spreadsheets/d/1Y6XV19fmLFtsIVuzoWqyA_aEe7Uw6CzWBXWFyT0KpKc/edit?gid=1855472031#gid=1855472031"", ""SUMMARY!$D""&amp;ROW($D53))"),"ANGELIE FRANDO")</f>
        <v>ANGELIE FRANDO</v>
      </c>
      <c r="F54" s="18" t="str">
        <f>IFERROR(__xludf.DUMMYFUNCTION("IMPORTRANGE(""https://docs.google.com/spreadsheets/d/1Y6XV19fmLFtsIVuzoWqyA_aEe7Uw6CzWBXWFyT0KpKc/edit?gid=1855472031#gid=1855472031"", ""SUMMARY!$E""&amp;ROW($E53))"),"ENGLISH")</f>
        <v>ENGLISH</v>
      </c>
      <c r="G54" s="19" t="str">
        <f>IFERROR(__xludf.DUMMYFUNCTION("IMPORTRANGE(""https://docs.google.com/spreadsheets/d/1otQjWHjy3Rq_-7Ie_93jllGR_QbNz_QcBUMPB-NJUP8/edit?gid=902639746#gid=902639746"", ""CHECKING!$F""&amp;ROW(F267))"),"ENCODED")</f>
        <v>ENCODED</v>
      </c>
      <c r="H54" s="19" t="str">
        <f>IFERROR(__xludf.DUMMYFUNCTION("IMPORTRANGE(""https://docs.google.com/spreadsheets/d/1otQjWHjy3Rq_-7Ie_93jllGR_QbNz_QcBUMPB-NJUP8/edit?gid=902639746#gid=902639746"", ""CHECKING!$G""&amp;ROW(G267))"),"ENCODED")</f>
        <v>ENCODED</v>
      </c>
      <c r="I54" s="19" t="str">
        <f>IFERROR(__xludf.DUMMYFUNCTION("IMPORTRANGE(""https://docs.google.com/spreadsheets/d/1otQjWHjy3Rq_-7Ie_93jllGR_QbNz_QcBUMPB-NJUP8/edit?gid=902639746#gid=902639746"", ""CHECKING!$H""&amp;ROW(H267))"),"ENCODED")</f>
        <v>ENCODED</v>
      </c>
      <c r="J54" s="19" t="str">
        <f>IFERROR(__xludf.DUMMYFUNCTION("IMPORTRANGE(""https://docs.google.com/spreadsheets/d/1otQjWHjy3Rq_-7Ie_93jllGR_QbNz_QcBUMPB-NJUP8/edit?gid=902639746#gid=902639746"", ""CHECKING!$I""&amp;ROW(I267))"),"ENCODED")</f>
        <v>ENCODED</v>
      </c>
      <c r="K54" s="19" t="str">
        <f>IFERROR(__xludf.DUMMYFUNCTION("IMPORTRANGE(""https://docs.google.com/spreadsheets/d/1otQjWHjy3Rq_-7Ie_93jllGR_QbNz_QcBUMPB-NJUP8/edit?gid=902639746#gid=902639746"", ""CHECKING!$J""&amp;ROW(J267))"),"NOT ENCODED")</f>
        <v>NOT ENCODED</v>
      </c>
      <c r="L54" s="19" t="str">
        <f>IFERROR(__xludf.DUMMYFUNCTION("IMPORTRANGE(""https://docs.google.com/spreadsheets/d/1otQjWHjy3Rq_-7Ie_93jllGR_QbNz_QcBUMPB-NJUP8/edit?gid=902639746#gid=902639746"", ""CHECKING!$K""&amp;ROW(K267))"),"NOT ENCODED")</f>
        <v>NOT ENCODED</v>
      </c>
      <c r="M54" s="19" t="str">
        <f>IFERROR(__xludf.DUMMYFUNCTION("IMPORTRANGE(""https://docs.google.com/spreadsheets/d/1otQjWHjy3Rq_-7Ie_93jllGR_QbNz_QcBUMPB-NJUP8/edit?gid=902639746#gid=902639746"", ""CHECKING!$L""&amp;ROW(L267))"),"NOT ENCODED")</f>
        <v>NOT ENCODED</v>
      </c>
    </row>
    <row r="55">
      <c r="A55" s="14" t="s">
        <v>17</v>
      </c>
      <c r="B55" s="15">
        <f>IFERROR(__xludf.DUMMYFUNCTION("IMPORTRANGE(""https://docs.google.com/spreadsheets/d/1Y6XV19fmLFtsIVuzoWqyA_aEe7Uw6CzWBXWFyT0KpKc/edit?gid=1855472031#gid=1855472031"", ""SUMMARY!$B""&amp;ROW($B54))"),47.0)</f>
        <v>47</v>
      </c>
      <c r="C55" s="16" t="str">
        <f>IFERROR(__xludf.DUMMYFUNCTION("IMPORTRANGE(""https://docs.google.com/spreadsheets/d/1Y6XV19fmLFtsIVuzoWqyA_aEe7Uw6CzWBXWFyT0KpKc/edit?gid=1855472031#gid=1855472031"", ""SUMMARY!$C""&amp;ROW($C54))"),"COMSTI")</f>
        <v>COMSTI</v>
      </c>
      <c r="D55" s="17" t="str">
        <f>IFERROR(__xludf.DUMMYFUNCTION("IMPORTRANGE(""https://docs.google.com/spreadsheets/d/1Y6XV19fmLFtsIVuzoWqyA_aEe7Uw6CzWBXWFyT0KpKc/edit?gid=1855472031#gid=1855472031"", ""SUMMARY!$F""&amp;ROW($F54))"),"COOKERY")</f>
        <v>COOKERY</v>
      </c>
      <c r="E55" s="18" t="str">
        <f>IFERROR(__xludf.DUMMYFUNCTION("IMPORTRANGE(""https://docs.google.com/spreadsheets/d/1Y6XV19fmLFtsIVuzoWqyA_aEe7Uw6CzWBXWFyT0KpKc/edit?gid=1855472031#gid=1855472031"", ""SUMMARY!$D""&amp;ROW($D54))"),"RICHELLE P. GUIRALDO")</f>
        <v>RICHELLE P. GUIRALDO</v>
      </c>
      <c r="F55" s="18" t="str">
        <f>IFERROR(__xludf.DUMMYFUNCTION("IMPORTRANGE(""https://docs.google.com/spreadsheets/d/1Y6XV19fmLFtsIVuzoWqyA_aEe7Uw6CzWBXWFyT0KpKc/edit?gid=1855472031#gid=1855472031"", ""SUMMARY!$E""&amp;ROW($E54))"),"FILIPINO")</f>
        <v>FILIPINO</v>
      </c>
      <c r="G55" s="19" t="str">
        <f>IFERROR(__xludf.DUMMYFUNCTION("IMPORTRANGE(""https://docs.google.com/spreadsheets/d/1otQjWHjy3Rq_-7Ie_93jllGR_QbNz_QcBUMPB-NJUP8/edit?gid=902639746#gid=902639746"", ""CHECKING!$F""&amp;ROW(F268))"),"ENCODED")</f>
        <v>ENCODED</v>
      </c>
      <c r="H55" s="19" t="str">
        <f>IFERROR(__xludf.DUMMYFUNCTION("IMPORTRANGE(""https://docs.google.com/spreadsheets/d/1otQjWHjy3Rq_-7Ie_93jllGR_QbNz_QcBUMPB-NJUP8/edit?gid=902639746#gid=902639746"", ""CHECKING!$G""&amp;ROW(G268))"),"ENCODED")</f>
        <v>ENCODED</v>
      </c>
      <c r="I55" s="19" t="str">
        <f>IFERROR(__xludf.DUMMYFUNCTION("IMPORTRANGE(""https://docs.google.com/spreadsheets/d/1otQjWHjy3Rq_-7Ie_93jllGR_QbNz_QcBUMPB-NJUP8/edit?gid=902639746#gid=902639746"", ""CHECKING!$H""&amp;ROW(H268))"),"ENCODED")</f>
        <v>ENCODED</v>
      </c>
      <c r="J55" s="19" t="str">
        <f>IFERROR(__xludf.DUMMYFUNCTION("IMPORTRANGE(""https://docs.google.com/spreadsheets/d/1otQjWHjy3Rq_-7Ie_93jllGR_QbNz_QcBUMPB-NJUP8/edit?gid=902639746#gid=902639746"", ""CHECKING!$I""&amp;ROW(I268))"),"ENCODED")</f>
        <v>ENCODED</v>
      </c>
      <c r="K55" s="19" t="str">
        <f>IFERROR(__xludf.DUMMYFUNCTION("IMPORTRANGE(""https://docs.google.com/spreadsheets/d/1otQjWHjy3Rq_-7Ie_93jllGR_QbNz_QcBUMPB-NJUP8/edit?gid=902639746#gid=902639746"", ""CHECKING!$J""&amp;ROW(J268))"),"NOT ENCODED")</f>
        <v>NOT ENCODED</v>
      </c>
      <c r="L55" s="19" t="str">
        <f>IFERROR(__xludf.DUMMYFUNCTION("IMPORTRANGE(""https://docs.google.com/spreadsheets/d/1otQjWHjy3Rq_-7Ie_93jllGR_QbNz_QcBUMPB-NJUP8/edit?gid=902639746#gid=902639746"", ""CHECKING!$K""&amp;ROW(K268))"),"NOT ENCODED")</f>
        <v>NOT ENCODED</v>
      </c>
      <c r="M55" s="19" t="str">
        <f>IFERROR(__xludf.DUMMYFUNCTION("IMPORTRANGE(""https://docs.google.com/spreadsheets/d/1otQjWHjy3Rq_-7Ie_93jllGR_QbNz_QcBUMPB-NJUP8/edit?gid=902639746#gid=902639746"", ""CHECKING!$L""&amp;ROW(L268))"),"NOT ENCODED")</f>
        <v>NOT ENCODED</v>
      </c>
    </row>
    <row r="56">
      <c r="A56" s="14" t="s">
        <v>17</v>
      </c>
      <c r="B56" s="15">
        <f>IFERROR(__xludf.DUMMYFUNCTION("IMPORTRANGE(""https://docs.google.com/spreadsheets/d/1Y6XV19fmLFtsIVuzoWqyA_aEe7Uw6CzWBXWFyT0KpKc/edit?gid=1855472031#gid=1855472031"", ""SUMMARY!$B""&amp;ROW($B55))"),48.0)</f>
        <v>48</v>
      </c>
      <c r="C56" s="16" t="str">
        <f>IFERROR(__xludf.DUMMYFUNCTION("IMPORTRANGE(""https://docs.google.com/spreadsheets/d/1Y6XV19fmLFtsIVuzoWqyA_aEe7Uw6CzWBXWFyT0KpKc/edit?gid=1855472031#gid=1855472031"", ""SUMMARY!$C""&amp;ROW($C55))"),"DAZA")</f>
        <v>DAZA</v>
      </c>
      <c r="D56" s="17" t="str">
        <f>IFERROR(__xludf.DUMMYFUNCTION("IMPORTRANGE(""https://docs.google.com/spreadsheets/d/1Y6XV19fmLFtsIVuzoWqyA_aEe7Uw6CzWBXWFyT0KpKc/edit?gid=1855472031#gid=1855472031"", ""SUMMARY!$F""&amp;ROW($F55))"),"COOKERY")</f>
        <v>COOKERY</v>
      </c>
      <c r="E56" s="18" t="str">
        <f>IFERROR(__xludf.DUMMYFUNCTION("IMPORTRANGE(""https://docs.google.com/spreadsheets/d/1Y6XV19fmLFtsIVuzoWqyA_aEe7Uw6CzWBXWFyT0KpKc/edit?gid=1855472031#gid=1855472031"", ""SUMMARY!$D""&amp;ROW($D55))"),"ANJANETTE D. RODRIGUEZ")</f>
        <v>ANJANETTE D. RODRIGUEZ</v>
      </c>
      <c r="F56" s="18" t="str">
        <f>IFERROR(__xludf.DUMMYFUNCTION("IMPORTRANGE(""https://docs.google.com/spreadsheets/d/1Y6XV19fmLFtsIVuzoWqyA_aEe7Uw6CzWBXWFyT0KpKc/edit?gid=1855472031#gid=1855472031"", ""SUMMARY!$E""&amp;ROW($E55))"),"MATH")</f>
        <v>MATH</v>
      </c>
      <c r="G56" s="19" t="str">
        <f>IFERROR(__xludf.DUMMYFUNCTION("IMPORTRANGE(""https://docs.google.com/spreadsheets/d/1otQjWHjy3Rq_-7Ie_93jllGR_QbNz_QcBUMPB-NJUP8/edit?gid=902639746#gid=902639746"", ""CHECKING!$F""&amp;ROW(F269))"),"ENCODED")</f>
        <v>ENCODED</v>
      </c>
      <c r="H56" s="19" t="str">
        <f>IFERROR(__xludf.DUMMYFUNCTION("IMPORTRANGE(""https://docs.google.com/spreadsheets/d/1otQjWHjy3Rq_-7Ie_93jllGR_QbNz_QcBUMPB-NJUP8/edit?gid=902639746#gid=902639746"", ""CHECKING!$G""&amp;ROW(G269))"),"ENCODED")</f>
        <v>ENCODED</v>
      </c>
      <c r="I56" s="19" t="str">
        <f>IFERROR(__xludf.DUMMYFUNCTION("IMPORTRANGE(""https://docs.google.com/spreadsheets/d/1otQjWHjy3Rq_-7Ie_93jllGR_QbNz_QcBUMPB-NJUP8/edit?gid=902639746#gid=902639746"", ""CHECKING!$H""&amp;ROW(H269))"),"ENCODED")</f>
        <v>ENCODED</v>
      </c>
      <c r="J56" s="19" t="str">
        <f>IFERROR(__xludf.DUMMYFUNCTION("IMPORTRANGE(""https://docs.google.com/spreadsheets/d/1otQjWHjy3Rq_-7Ie_93jllGR_QbNz_QcBUMPB-NJUP8/edit?gid=902639746#gid=902639746"", ""CHECKING!$I""&amp;ROW(I269))"),"NOT ENCODED")</f>
        <v>NOT ENCODED</v>
      </c>
      <c r="K56" s="19" t="str">
        <f>IFERROR(__xludf.DUMMYFUNCTION("IMPORTRANGE(""https://docs.google.com/spreadsheets/d/1otQjWHjy3Rq_-7Ie_93jllGR_QbNz_QcBUMPB-NJUP8/edit?gid=902639746#gid=902639746"", ""CHECKING!$J""&amp;ROW(J269))"),"NOT ENCODED")</f>
        <v>NOT ENCODED</v>
      </c>
      <c r="L56" s="19" t="str">
        <f>IFERROR(__xludf.DUMMYFUNCTION("IMPORTRANGE(""https://docs.google.com/spreadsheets/d/1otQjWHjy3Rq_-7Ie_93jllGR_QbNz_QcBUMPB-NJUP8/edit?gid=902639746#gid=902639746"", ""CHECKING!$K""&amp;ROW(K269))"),"NOT ENCODED")</f>
        <v>NOT ENCODED</v>
      </c>
      <c r="M56" s="19" t="str">
        <f>IFERROR(__xludf.DUMMYFUNCTION("IMPORTRANGE(""https://docs.google.com/spreadsheets/d/1otQjWHjy3Rq_-7Ie_93jllGR_QbNz_QcBUMPB-NJUP8/edit?gid=902639746#gid=902639746"", ""CHECKING!$L""&amp;ROW(L269))"),"NOT ENCODED")</f>
        <v>NOT ENCODED</v>
      </c>
    </row>
    <row r="57">
      <c r="A57" s="14" t="s">
        <v>17</v>
      </c>
      <c r="B57" s="15">
        <f>IFERROR(__xludf.DUMMYFUNCTION("IMPORTRANGE(""https://docs.google.com/spreadsheets/d/1Y6XV19fmLFtsIVuzoWqyA_aEe7Uw6CzWBXWFyT0KpKc/edit?gid=1855472031#gid=1855472031"", ""SUMMARY!$B""&amp;ROW($B56))"),49.0)</f>
        <v>49</v>
      </c>
      <c r="C57" s="16" t="str">
        <f>IFERROR(__xludf.DUMMYFUNCTION("IMPORTRANGE(""https://docs.google.com/spreadsheets/d/1Y6XV19fmLFtsIVuzoWqyA_aEe7Uw6CzWBXWFyT0KpKc/edit?gid=1855472031#gid=1855472031"", ""SUMMARY!$C""&amp;ROW($C56))"),"FORES")</f>
        <v>FORES</v>
      </c>
      <c r="D57" s="17" t="str">
        <f>IFERROR(__xludf.DUMMYFUNCTION("IMPORTRANGE(""https://docs.google.com/spreadsheets/d/1Y6XV19fmLFtsIVuzoWqyA_aEe7Uw6CzWBXWFyT0KpKc/edit?gid=1855472031#gid=1855472031"", ""SUMMARY!$F""&amp;ROW($F56))"),"COOKERY")</f>
        <v>COOKERY</v>
      </c>
      <c r="E57" s="18" t="str">
        <f>IFERROR(__xludf.DUMMYFUNCTION("IMPORTRANGE(""https://docs.google.com/spreadsheets/d/1Y6XV19fmLFtsIVuzoWqyA_aEe7Uw6CzWBXWFyT0KpKc/edit?gid=1855472031#gid=1855472031"", ""SUMMARY!$D""&amp;ROW($D56))"),"ADRIAN NATHANIEL D. CASTILLO")</f>
        <v>ADRIAN NATHANIEL D. CASTILLO</v>
      </c>
      <c r="F57" s="18" t="str">
        <f>IFERROR(__xludf.DUMMYFUNCTION("IMPORTRANGE(""https://docs.google.com/spreadsheets/d/1Y6XV19fmLFtsIVuzoWqyA_aEe7Uw6CzWBXWFyT0KpKc/edit?gid=1855472031#gid=1855472031"", ""SUMMARY!$E""&amp;ROW($E56))"),"ESP")</f>
        <v>ESP</v>
      </c>
      <c r="G57" s="19" t="str">
        <f>IFERROR(__xludf.DUMMYFUNCTION("IMPORTRANGE(""https://docs.google.com/spreadsheets/d/1otQjWHjy3Rq_-7Ie_93jllGR_QbNz_QcBUMPB-NJUP8/edit?gid=902639746#gid=902639746"", ""CHECKING!$F""&amp;ROW(F270))"),"ENCODED")</f>
        <v>ENCODED</v>
      </c>
      <c r="H57" s="19" t="str">
        <f>IFERROR(__xludf.DUMMYFUNCTION("IMPORTRANGE(""https://docs.google.com/spreadsheets/d/1otQjWHjy3Rq_-7Ie_93jllGR_QbNz_QcBUMPB-NJUP8/edit?gid=902639746#gid=902639746"", ""CHECKING!$G""&amp;ROW(G270))"),"ENCODED")</f>
        <v>ENCODED</v>
      </c>
      <c r="I57" s="19" t="str">
        <f>IFERROR(__xludf.DUMMYFUNCTION("IMPORTRANGE(""https://docs.google.com/spreadsheets/d/1otQjWHjy3Rq_-7Ie_93jllGR_QbNz_QcBUMPB-NJUP8/edit?gid=902639746#gid=902639746"", ""CHECKING!$H""&amp;ROW(H270))"),"ENCODED")</f>
        <v>ENCODED</v>
      </c>
      <c r="J57" s="19" t="str">
        <f>IFERROR(__xludf.DUMMYFUNCTION("IMPORTRANGE(""https://docs.google.com/spreadsheets/d/1otQjWHjy3Rq_-7Ie_93jllGR_QbNz_QcBUMPB-NJUP8/edit?gid=902639746#gid=902639746"", ""CHECKING!$I""&amp;ROW(I270))"),"NOT ENCODED")</f>
        <v>NOT ENCODED</v>
      </c>
      <c r="K57" s="19" t="str">
        <f>IFERROR(__xludf.DUMMYFUNCTION("IMPORTRANGE(""https://docs.google.com/spreadsheets/d/1otQjWHjy3Rq_-7Ie_93jllGR_QbNz_QcBUMPB-NJUP8/edit?gid=902639746#gid=902639746"", ""CHECKING!$J""&amp;ROW(J270))"),"NOT ENCODED")</f>
        <v>NOT ENCODED</v>
      </c>
      <c r="L57" s="19" t="str">
        <f>IFERROR(__xludf.DUMMYFUNCTION("IMPORTRANGE(""https://docs.google.com/spreadsheets/d/1otQjWHjy3Rq_-7Ie_93jllGR_QbNz_QcBUMPB-NJUP8/edit?gid=902639746#gid=902639746"", ""CHECKING!$K""&amp;ROW(K270))"),"NOT ENCODED")</f>
        <v>NOT ENCODED</v>
      </c>
      <c r="M57" s="19" t="str">
        <f>IFERROR(__xludf.DUMMYFUNCTION("IMPORTRANGE(""https://docs.google.com/spreadsheets/d/1otQjWHjy3Rq_-7Ie_93jllGR_QbNz_QcBUMPB-NJUP8/edit?gid=902639746#gid=902639746"", ""CHECKING!$L""&amp;ROW(L270))"),"NOT ENCODED")</f>
        <v>NOT ENCODED</v>
      </c>
    </row>
    <row r="58">
      <c r="A58" s="14" t="s">
        <v>17</v>
      </c>
      <c r="B58" s="15">
        <f>IFERROR(__xludf.DUMMYFUNCTION("IMPORTRANGE(""https://docs.google.com/spreadsheets/d/1Y6XV19fmLFtsIVuzoWqyA_aEe7Uw6CzWBXWFyT0KpKc/edit?gid=1855472031#gid=1855472031"", ""SUMMARY!$B""&amp;ROW($B57))"),50.0)</f>
        <v>50</v>
      </c>
      <c r="C58" s="16" t="str">
        <f>IFERROR(__xludf.DUMMYFUNCTION("IMPORTRANGE(""https://docs.google.com/spreadsheets/d/1Y6XV19fmLFtsIVuzoWqyA_aEe7Uw6CzWBXWFyT0KpKc/edit?gid=1855472031#gid=1855472031"", ""SUMMARY!$C""&amp;ROW($C57))"),"GUEVARRA")</f>
        <v>GUEVARRA</v>
      </c>
      <c r="D58" s="17" t="str">
        <f>IFERROR(__xludf.DUMMYFUNCTION("IMPORTRANGE(""https://docs.google.com/spreadsheets/d/1Y6XV19fmLFtsIVuzoWqyA_aEe7Uw6CzWBXWFyT0KpKc/edit?gid=1855472031#gid=1855472031"", ""SUMMARY!$F""&amp;ROW($F57))"),"COOKERY")</f>
        <v>COOKERY</v>
      </c>
      <c r="E58" s="18" t="str">
        <f>IFERROR(__xludf.DUMMYFUNCTION("IMPORTRANGE(""https://docs.google.com/spreadsheets/d/1Y6XV19fmLFtsIVuzoWqyA_aEe7Uw6CzWBXWFyT0KpKc/edit?gid=1855472031#gid=1855472031"", ""SUMMARY!$D""&amp;ROW($D57))"),"GEROME VILLANUEVA")</f>
        <v>GEROME VILLANUEVA</v>
      </c>
      <c r="F58" s="18" t="str">
        <f>IFERROR(__xludf.DUMMYFUNCTION("IMPORTRANGE(""https://docs.google.com/spreadsheets/d/1Y6XV19fmLFtsIVuzoWqyA_aEe7Uw6CzWBXWFyT0KpKc/edit?gid=1855472031#gid=1855472031"", ""SUMMARY!$E""&amp;ROW($E57))"),"ENGLISH")</f>
        <v>ENGLISH</v>
      </c>
      <c r="G58" s="19" t="str">
        <f>IFERROR(__xludf.DUMMYFUNCTION("IMPORTRANGE(""https://docs.google.com/spreadsheets/d/1otQjWHjy3Rq_-7Ie_93jllGR_QbNz_QcBUMPB-NJUP8/edit?gid=902639746#gid=902639746"", ""CHECKING!$F""&amp;ROW(F271))"),"ENCODED")</f>
        <v>ENCODED</v>
      </c>
      <c r="H58" s="19" t="str">
        <f>IFERROR(__xludf.DUMMYFUNCTION("IMPORTRANGE(""https://docs.google.com/spreadsheets/d/1otQjWHjy3Rq_-7Ie_93jllGR_QbNz_QcBUMPB-NJUP8/edit?gid=902639746#gid=902639746"", ""CHECKING!$G""&amp;ROW(G271))"),"ENCODED")</f>
        <v>ENCODED</v>
      </c>
      <c r="I58" s="19" t="str">
        <f>IFERROR(__xludf.DUMMYFUNCTION("IMPORTRANGE(""https://docs.google.com/spreadsheets/d/1otQjWHjy3Rq_-7Ie_93jllGR_QbNz_QcBUMPB-NJUP8/edit?gid=902639746#gid=902639746"", ""CHECKING!$H""&amp;ROW(H271))"),"ENCODED")</f>
        <v>ENCODED</v>
      </c>
      <c r="J58" s="19" t="str">
        <f>IFERROR(__xludf.DUMMYFUNCTION("IMPORTRANGE(""https://docs.google.com/spreadsheets/d/1otQjWHjy3Rq_-7Ie_93jllGR_QbNz_QcBUMPB-NJUP8/edit?gid=902639746#gid=902639746"", ""CHECKING!$I""&amp;ROW(I271))"),"ENCODED")</f>
        <v>ENCODED</v>
      </c>
      <c r="K58" s="19" t="str">
        <f>IFERROR(__xludf.DUMMYFUNCTION("IMPORTRANGE(""https://docs.google.com/spreadsheets/d/1otQjWHjy3Rq_-7Ie_93jllGR_QbNz_QcBUMPB-NJUP8/edit?gid=902639746#gid=902639746"", ""CHECKING!$J""&amp;ROW(J271))"),"NOT ENCODED")</f>
        <v>NOT ENCODED</v>
      </c>
      <c r="L58" s="19" t="str">
        <f>IFERROR(__xludf.DUMMYFUNCTION("IMPORTRANGE(""https://docs.google.com/spreadsheets/d/1otQjWHjy3Rq_-7Ie_93jllGR_QbNz_QcBUMPB-NJUP8/edit?gid=902639746#gid=902639746"", ""CHECKING!$K""&amp;ROW(K271))"),"NOT ENCODED")</f>
        <v>NOT ENCODED</v>
      </c>
      <c r="M58" s="19" t="str">
        <f>IFERROR(__xludf.DUMMYFUNCTION("IMPORTRANGE(""https://docs.google.com/spreadsheets/d/1otQjWHjy3Rq_-7Ie_93jllGR_QbNz_QcBUMPB-NJUP8/edit?gid=902639746#gid=902639746"", ""CHECKING!$L""&amp;ROW(L271))"),"NOT ENCODED")</f>
        <v>NOT ENCODED</v>
      </c>
    </row>
    <row r="59">
      <c r="A59" s="14" t="s">
        <v>17</v>
      </c>
      <c r="B59" s="15">
        <f>IFERROR(__xludf.DUMMYFUNCTION("IMPORTRANGE(""https://docs.google.com/spreadsheets/d/1Y6XV19fmLFtsIVuzoWqyA_aEe7Uw6CzWBXWFyT0KpKc/edit?gid=1855472031#gid=1855472031"", ""SUMMARY!$B""&amp;ROW($B58))"),51.0)</f>
        <v>51</v>
      </c>
      <c r="C59" s="16" t="str">
        <f>IFERROR(__xludf.DUMMYFUNCTION("IMPORTRANGE(""https://docs.google.com/spreadsheets/d/1Y6XV19fmLFtsIVuzoWqyA_aEe7Uw6CzWBXWFyT0KpKc/edit?gid=1855472031#gid=1855472031"", ""SUMMARY!$C""&amp;ROW($C58))"),"LAUS")</f>
        <v>LAUS</v>
      </c>
      <c r="D59" s="17" t="str">
        <f>IFERROR(__xludf.DUMMYFUNCTION("IMPORTRANGE(""https://docs.google.com/spreadsheets/d/1Y6XV19fmLFtsIVuzoWqyA_aEe7Uw6CzWBXWFyT0KpKc/edit?gid=1855472031#gid=1855472031"", ""SUMMARY!$F""&amp;ROW($F58))"),"COOKERY")</f>
        <v>COOKERY</v>
      </c>
      <c r="E59" s="18" t="str">
        <f>IFERROR(__xludf.DUMMYFUNCTION("IMPORTRANGE(""https://docs.google.com/spreadsheets/d/1Y6XV19fmLFtsIVuzoWqyA_aEe7Uw6CzWBXWFyT0KpKc/edit?gid=1855472031#gid=1855472031"", ""SUMMARY!$D""&amp;ROW($D58))"),"ARYAN E. RUIZ")</f>
        <v>ARYAN E. RUIZ</v>
      </c>
      <c r="F59" s="18" t="str">
        <f>IFERROR(__xludf.DUMMYFUNCTION("IMPORTRANGE(""https://docs.google.com/spreadsheets/d/1Y6XV19fmLFtsIVuzoWqyA_aEe7Uw6CzWBXWFyT0KpKc/edit?gid=1855472031#gid=1855472031"", ""SUMMARY!$E""&amp;ROW($E58))"),"MATH")</f>
        <v>MATH</v>
      </c>
      <c r="G59" s="19" t="str">
        <f>IFERROR(__xludf.DUMMYFUNCTION("IMPORTRANGE(""https://docs.google.com/spreadsheets/d/1otQjWHjy3Rq_-7Ie_93jllGR_QbNz_QcBUMPB-NJUP8/edit?gid=902639746#gid=902639746"", ""CHECKING!$F""&amp;ROW(F272))"),"ENCODED")</f>
        <v>ENCODED</v>
      </c>
      <c r="H59" s="19" t="str">
        <f>IFERROR(__xludf.DUMMYFUNCTION("IMPORTRANGE(""https://docs.google.com/spreadsheets/d/1otQjWHjy3Rq_-7Ie_93jllGR_QbNz_QcBUMPB-NJUP8/edit?gid=902639746#gid=902639746"", ""CHECKING!$G""&amp;ROW(G272))"),"ENCODED")</f>
        <v>ENCODED</v>
      </c>
      <c r="I59" s="19" t="str">
        <f>IFERROR(__xludf.DUMMYFUNCTION("IMPORTRANGE(""https://docs.google.com/spreadsheets/d/1otQjWHjy3Rq_-7Ie_93jllGR_QbNz_QcBUMPB-NJUP8/edit?gid=902639746#gid=902639746"", ""CHECKING!$H""&amp;ROW(H272))"),"ENCODED")</f>
        <v>ENCODED</v>
      </c>
      <c r="J59" s="19" t="str">
        <f>IFERROR(__xludf.DUMMYFUNCTION("IMPORTRANGE(""https://docs.google.com/spreadsheets/d/1otQjWHjy3Rq_-7Ie_93jllGR_QbNz_QcBUMPB-NJUP8/edit?gid=902639746#gid=902639746"", ""CHECKING!$I""&amp;ROW(I272))"),"ENCODED")</f>
        <v>ENCODED</v>
      </c>
      <c r="K59" s="19" t="str">
        <f>IFERROR(__xludf.DUMMYFUNCTION("IMPORTRANGE(""https://docs.google.com/spreadsheets/d/1otQjWHjy3Rq_-7Ie_93jllGR_QbNz_QcBUMPB-NJUP8/edit?gid=902639746#gid=902639746"", ""CHECKING!$J""&amp;ROW(J272))"),"ENCODED")</f>
        <v>ENCODED</v>
      </c>
      <c r="L59" s="19" t="str">
        <f>IFERROR(__xludf.DUMMYFUNCTION("IMPORTRANGE(""https://docs.google.com/spreadsheets/d/1otQjWHjy3Rq_-7Ie_93jllGR_QbNz_QcBUMPB-NJUP8/edit?gid=902639746#gid=902639746"", ""CHECKING!$K""&amp;ROW(K272))"),"NOT ENCODED")</f>
        <v>NOT ENCODED</v>
      </c>
      <c r="M59" s="19" t="str">
        <f>IFERROR(__xludf.DUMMYFUNCTION("IMPORTRANGE(""https://docs.google.com/spreadsheets/d/1otQjWHjy3Rq_-7Ie_93jllGR_QbNz_QcBUMPB-NJUP8/edit?gid=902639746#gid=902639746"", ""CHECKING!$L""&amp;ROW(L272))"),"NOT ENCODED")</f>
        <v>NOT ENCODED</v>
      </c>
    </row>
    <row r="60">
      <c r="A60" s="14" t="s">
        <v>17</v>
      </c>
      <c r="B60" s="15">
        <f>IFERROR(__xludf.DUMMYFUNCTION("IMPORTRANGE(""https://docs.google.com/spreadsheets/d/1Y6XV19fmLFtsIVuzoWqyA_aEe7Uw6CzWBXWFyT0KpKc/edit?gid=1855472031#gid=1855472031"", ""SUMMARY!$B""&amp;ROW($B59))"),52.0)</f>
        <v>52</v>
      </c>
      <c r="C60" s="16" t="str">
        <f>IFERROR(__xludf.DUMMYFUNCTION("IMPORTRANGE(""https://docs.google.com/spreadsheets/d/1Y6XV19fmLFtsIVuzoWqyA_aEe7Uw6CzWBXWFyT0KpKc/edit?gid=1855472031#gid=1855472031"", ""SUMMARY!$C""&amp;ROW($C59))"),"MANABAT")</f>
        <v>MANABAT</v>
      </c>
      <c r="D60" s="17" t="str">
        <f>IFERROR(__xludf.DUMMYFUNCTION("IMPORTRANGE(""https://docs.google.com/spreadsheets/d/1Y6XV19fmLFtsIVuzoWqyA_aEe7Uw6CzWBXWFyT0KpKc/edit?gid=1855472031#gid=1855472031"", ""SUMMARY!$F""&amp;ROW($F59))"),"COOKERY")</f>
        <v>COOKERY</v>
      </c>
      <c r="E60" s="18" t="str">
        <f>IFERROR(__xludf.DUMMYFUNCTION("IMPORTRANGE(""https://docs.google.com/spreadsheets/d/1Y6XV19fmLFtsIVuzoWqyA_aEe7Uw6CzWBXWFyT0KpKc/edit?gid=1855472031#gid=1855472031"", ""SUMMARY!$D""&amp;ROW($D59))"),"LEA JANE G. BALDIDOMAR")</f>
        <v>LEA JANE G. BALDIDOMAR</v>
      </c>
      <c r="F60" s="18" t="str">
        <f>IFERROR(__xludf.DUMMYFUNCTION("IMPORTRANGE(""https://docs.google.com/spreadsheets/d/1Y6XV19fmLFtsIVuzoWqyA_aEe7Uw6CzWBXWFyT0KpKc/edit?gid=1855472031#gid=1855472031"", ""SUMMARY!$E""&amp;ROW($E59))"),"ENGLISH")</f>
        <v>ENGLISH</v>
      </c>
      <c r="G60" s="19" t="str">
        <f>IFERROR(__xludf.DUMMYFUNCTION("IMPORTRANGE(""https://docs.google.com/spreadsheets/d/1otQjWHjy3Rq_-7Ie_93jllGR_QbNz_QcBUMPB-NJUP8/edit?gid=902639746#gid=902639746"", ""CHECKING!$F""&amp;ROW(F273))"),"ENCODED")</f>
        <v>ENCODED</v>
      </c>
      <c r="H60" s="19" t="str">
        <f>IFERROR(__xludf.DUMMYFUNCTION("IMPORTRANGE(""https://docs.google.com/spreadsheets/d/1otQjWHjy3Rq_-7Ie_93jllGR_QbNz_QcBUMPB-NJUP8/edit?gid=902639746#gid=902639746"", ""CHECKING!$G""&amp;ROW(G273))"),"ENCODED")</f>
        <v>ENCODED</v>
      </c>
      <c r="I60" s="19" t="str">
        <f>IFERROR(__xludf.DUMMYFUNCTION("IMPORTRANGE(""https://docs.google.com/spreadsheets/d/1otQjWHjy3Rq_-7Ie_93jllGR_QbNz_QcBUMPB-NJUP8/edit?gid=902639746#gid=902639746"", ""CHECKING!$H""&amp;ROW(H273))"),"ENCODED")</f>
        <v>ENCODED</v>
      </c>
      <c r="J60" s="19" t="str">
        <f>IFERROR(__xludf.DUMMYFUNCTION("IMPORTRANGE(""https://docs.google.com/spreadsheets/d/1otQjWHjy3Rq_-7Ie_93jllGR_QbNz_QcBUMPB-NJUP8/edit?gid=902639746#gid=902639746"", ""CHECKING!$I""&amp;ROW(I273))"),"ENCODED")</f>
        <v>ENCODED</v>
      </c>
      <c r="K60" s="19" t="str">
        <f>IFERROR(__xludf.DUMMYFUNCTION("IMPORTRANGE(""https://docs.google.com/spreadsheets/d/1otQjWHjy3Rq_-7Ie_93jllGR_QbNz_QcBUMPB-NJUP8/edit?gid=902639746#gid=902639746"", ""CHECKING!$J""&amp;ROW(J273))"),"NOT ENCODED")</f>
        <v>NOT ENCODED</v>
      </c>
      <c r="L60" s="19" t="str">
        <f>IFERROR(__xludf.DUMMYFUNCTION("IMPORTRANGE(""https://docs.google.com/spreadsheets/d/1otQjWHjy3Rq_-7Ie_93jllGR_QbNz_QcBUMPB-NJUP8/edit?gid=902639746#gid=902639746"", ""CHECKING!$K""&amp;ROW(K273))"),"NOT ENCODED")</f>
        <v>NOT ENCODED</v>
      </c>
      <c r="M60" s="19" t="str">
        <f>IFERROR(__xludf.DUMMYFUNCTION("IMPORTRANGE(""https://docs.google.com/spreadsheets/d/1otQjWHjy3Rq_-7Ie_93jllGR_QbNz_QcBUMPB-NJUP8/edit?gid=902639746#gid=902639746"", ""CHECKING!$L""&amp;ROW(L273))"),"NOT ENCODED")</f>
        <v>NOT ENCODED</v>
      </c>
    </row>
    <row r="61">
      <c r="A61" s="14" t="s">
        <v>17</v>
      </c>
      <c r="B61" s="15">
        <f>IFERROR(__xludf.DUMMYFUNCTION("IMPORTRANGE(""https://docs.google.com/spreadsheets/d/1Y6XV19fmLFtsIVuzoWqyA_aEe7Uw6CzWBXWFyT0KpKc/edit?gid=1855472031#gid=1855472031"", ""SUMMARY!$B""&amp;ROW($B60))"),53.0)</f>
        <v>53</v>
      </c>
      <c r="C61" s="16" t="str">
        <f>IFERROR(__xludf.DUMMYFUNCTION("IMPORTRANGE(""https://docs.google.com/spreadsheets/d/1Y6XV19fmLFtsIVuzoWqyA_aEe7Uw6CzWBXWFyT0KpKc/edit?gid=1855472031#gid=1855472031"", ""SUMMARY!$C""&amp;ROW($C60))"),"RALLOS")</f>
        <v>RALLOS</v>
      </c>
      <c r="D61" s="17" t="str">
        <f>IFERROR(__xludf.DUMMYFUNCTION("IMPORTRANGE(""https://docs.google.com/spreadsheets/d/1Y6XV19fmLFtsIVuzoWqyA_aEe7Uw6CzWBXWFyT0KpKc/edit?gid=1855472031#gid=1855472031"", ""SUMMARY!$F""&amp;ROW($F60))"),"COOKERY")</f>
        <v>COOKERY</v>
      </c>
      <c r="E61" s="18" t="str">
        <f>IFERROR(__xludf.DUMMYFUNCTION("IMPORTRANGE(""https://docs.google.com/spreadsheets/d/1Y6XV19fmLFtsIVuzoWqyA_aEe7Uw6CzWBXWFyT0KpKc/edit?gid=1855472031#gid=1855472031"", ""SUMMARY!$D""&amp;ROW($D60))"),"NOEL O. ONGKIATCO")</f>
        <v>NOEL O. ONGKIATCO</v>
      </c>
      <c r="F61" s="18" t="str">
        <f>IFERROR(__xludf.DUMMYFUNCTION("IMPORTRANGE(""https://docs.google.com/spreadsheets/d/1Y6XV19fmLFtsIVuzoWqyA_aEe7Uw6CzWBXWFyT0KpKc/edit?gid=1855472031#gid=1855472031"", ""SUMMARY!$E""&amp;ROW($E60))"),"FILIPINO")</f>
        <v>FILIPINO</v>
      </c>
      <c r="G61" s="19" t="str">
        <f>IFERROR(__xludf.DUMMYFUNCTION("IMPORTRANGE(""https://docs.google.com/spreadsheets/d/1otQjWHjy3Rq_-7Ie_93jllGR_QbNz_QcBUMPB-NJUP8/edit?gid=902639746#gid=902639746"", ""CHECKING!$F""&amp;ROW(F274))"),"ENCODED")</f>
        <v>ENCODED</v>
      </c>
      <c r="H61" s="19" t="str">
        <f>IFERROR(__xludf.DUMMYFUNCTION("IMPORTRANGE(""https://docs.google.com/spreadsheets/d/1otQjWHjy3Rq_-7Ie_93jllGR_QbNz_QcBUMPB-NJUP8/edit?gid=902639746#gid=902639746"", ""CHECKING!$G""&amp;ROW(G274))"),"ENCODED")</f>
        <v>ENCODED</v>
      </c>
      <c r="I61" s="19" t="str">
        <f>IFERROR(__xludf.DUMMYFUNCTION("IMPORTRANGE(""https://docs.google.com/spreadsheets/d/1otQjWHjy3Rq_-7Ie_93jllGR_QbNz_QcBUMPB-NJUP8/edit?gid=902639746#gid=902639746"", ""CHECKING!$H""&amp;ROW(H274))"),"ENCODED")</f>
        <v>ENCODED</v>
      </c>
      <c r="J61" s="19" t="str">
        <f>IFERROR(__xludf.DUMMYFUNCTION("IMPORTRANGE(""https://docs.google.com/spreadsheets/d/1otQjWHjy3Rq_-7Ie_93jllGR_QbNz_QcBUMPB-NJUP8/edit?gid=902639746#gid=902639746"", ""CHECKING!$I""&amp;ROW(I274))"),"ENCODED")</f>
        <v>ENCODED</v>
      </c>
      <c r="K61" s="19" t="str">
        <f>IFERROR(__xludf.DUMMYFUNCTION("IMPORTRANGE(""https://docs.google.com/spreadsheets/d/1otQjWHjy3Rq_-7Ie_93jllGR_QbNz_QcBUMPB-NJUP8/edit?gid=902639746#gid=902639746"", ""CHECKING!$J""&amp;ROW(J274))"),"NOT ENCODED")</f>
        <v>NOT ENCODED</v>
      </c>
      <c r="L61" s="19" t="str">
        <f>IFERROR(__xludf.DUMMYFUNCTION("IMPORTRANGE(""https://docs.google.com/spreadsheets/d/1otQjWHjy3Rq_-7Ie_93jllGR_QbNz_QcBUMPB-NJUP8/edit?gid=902639746#gid=902639746"", ""CHECKING!$K""&amp;ROW(K274))"),"NOT ENCODED")</f>
        <v>NOT ENCODED</v>
      </c>
      <c r="M61" s="19" t="str">
        <f>IFERROR(__xludf.DUMMYFUNCTION("IMPORTRANGE(""https://docs.google.com/spreadsheets/d/1otQjWHjy3Rq_-7Ie_93jllGR_QbNz_QcBUMPB-NJUP8/edit?gid=902639746#gid=902639746"", ""CHECKING!$L""&amp;ROW(L274))"),"NOT ENCODED")</f>
        <v>NOT ENCODED</v>
      </c>
    </row>
    <row r="62">
      <c r="A62" s="14" t="s">
        <v>17</v>
      </c>
      <c r="B62" s="15">
        <f>IFERROR(__xludf.DUMMYFUNCTION("IMPORTRANGE(""https://docs.google.com/spreadsheets/d/1Y6XV19fmLFtsIVuzoWqyA_aEe7Uw6CzWBXWFyT0KpKc/edit?gid=1855472031#gid=1855472031"", ""SUMMARY!$B""&amp;ROW($B61))"),54.0)</f>
        <v>54</v>
      </c>
      <c r="C62" s="16" t="str">
        <f>IFERROR(__xludf.DUMMYFUNCTION("IMPORTRANGE(""https://docs.google.com/spreadsheets/d/1Y6XV19fmLFtsIVuzoWqyA_aEe7Uw6CzWBXWFyT0KpKc/edit?gid=1855472031#gid=1855472031"", ""SUMMARY!$C""&amp;ROW($C61))"),"SUATENGCO")</f>
        <v>SUATENGCO</v>
      </c>
      <c r="D62" s="17" t="str">
        <f>IFERROR(__xludf.DUMMYFUNCTION("IMPORTRANGE(""https://docs.google.com/spreadsheets/d/1Y6XV19fmLFtsIVuzoWqyA_aEe7Uw6CzWBXWFyT0KpKc/edit?gid=1855472031#gid=1855472031"", ""SUMMARY!$F""&amp;ROW($F61))"),"COOKERY")</f>
        <v>COOKERY</v>
      </c>
      <c r="E62" s="18" t="str">
        <f>IFERROR(__xludf.DUMMYFUNCTION("IMPORTRANGE(""https://docs.google.com/spreadsheets/d/1Y6XV19fmLFtsIVuzoWqyA_aEe7Uw6CzWBXWFyT0KpKc/edit?gid=1855472031#gid=1855472031"", ""SUMMARY!$D""&amp;ROW($D61))"),"JOHN BENEDICT FRANCO")</f>
        <v>JOHN BENEDICT FRANCO</v>
      </c>
      <c r="F62" s="18" t="str">
        <f>IFERROR(__xludf.DUMMYFUNCTION("IMPORTRANGE(""https://docs.google.com/spreadsheets/d/1Y6XV19fmLFtsIVuzoWqyA_aEe7Uw6CzWBXWFyT0KpKc/edit?gid=1855472031#gid=1855472031"", ""SUMMARY!$E""&amp;ROW($E61))"),"HUMSS")</f>
        <v>HUMSS</v>
      </c>
      <c r="G62" s="19" t="str">
        <f>IFERROR(__xludf.DUMMYFUNCTION("IMPORTRANGE(""https://docs.google.com/spreadsheets/d/1otQjWHjy3Rq_-7Ie_93jllGR_QbNz_QcBUMPB-NJUP8/edit?gid=902639746#gid=902639746"", ""CHECKING!$F""&amp;ROW(F275))"),"ENCODED")</f>
        <v>ENCODED</v>
      </c>
      <c r="H62" s="19" t="str">
        <f>IFERROR(__xludf.DUMMYFUNCTION("IMPORTRANGE(""https://docs.google.com/spreadsheets/d/1otQjWHjy3Rq_-7Ie_93jllGR_QbNz_QcBUMPB-NJUP8/edit?gid=902639746#gid=902639746"", ""CHECKING!$G""&amp;ROW(G275))"),"ENCODED")</f>
        <v>ENCODED</v>
      </c>
      <c r="I62" s="19" t="str">
        <f>IFERROR(__xludf.DUMMYFUNCTION("IMPORTRANGE(""https://docs.google.com/spreadsheets/d/1otQjWHjy3Rq_-7Ie_93jllGR_QbNz_QcBUMPB-NJUP8/edit?gid=902639746#gid=902639746"", ""CHECKING!$H""&amp;ROW(H275))"),"ENCODED")</f>
        <v>ENCODED</v>
      </c>
      <c r="J62" s="19" t="str">
        <f>IFERROR(__xludf.DUMMYFUNCTION("IMPORTRANGE(""https://docs.google.com/spreadsheets/d/1otQjWHjy3Rq_-7Ie_93jllGR_QbNz_QcBUMPB-NJUP8/edit?gid=902639746#gid=902639746"", ""CHECKING!$I""&amp;ROW(I275))"),"NOT ENCODED")</f>
        <v>NOT ENCODED</v>
      </c>
      <c r="K62" s="19" t="str">
        <f>IFERROR(__xludf.DUMMYFUNCTION("IMPORTRANGE(""https://docs.google.com/spreadsheets/d/1otQjWHjy3Rq_-7Ie_93jllGR_QbNz_QcBUMPB-NJUP8/edit?gid=902639746#gid=902639746"", ""CHECKING!$J""&amp;ROW(J275))"),"NOT ENCODED")</f>
        <v>NOT ENCODED</v>
      </c>
      <c r="L62" s="19" t="str">
        <f>IFERROR(__xludf.DUMMYFUNCTION("IMPORTRANGE(""https://docs.google.com/spreadsheets/d/1otQjWHjy3Rq_-7Ie_93jllGR_QbNz_QcBUMPB-NJUP8/edit?gid=902639746#gid=902639746"", ""CHECKING!$K""&amp;ROW(K275))"),"NOT ENCODED")</f>
        <v>NOT ENCODED</v>
      </c>
      <c r="M62" s="19" t="str">
        <f>IFERROR(__xludf.DUMMYFUNCTION("IMPORTRANGE(""https://docs.google.com/spreadsheets/d/1otQjWHjy3Rq_-7Ie_93jllGR_QbNz_QcBUMPB-NJUP8/edit?gid=902639746#gid=902639746"", ""CHECKING!$L""&amp;ROW(L275))"),"NOT ENCODED")</f>
        <v>NOT ENCODED</v>
      </c>
    </row>
    <row r="63">
      <c r="A63" s="14" t="s">
        <v>17</v>
      </c>
      <c r="B63" s="15">
        <f>IFERROR(__xludf.DUMMYFUNCTION("IMPORTRANGE(""https://docs.google.com/spreadsheets/d/1Y6XV19fmLFtsIVuzoWqyA_aEe7Uw6CzWBXWFyT0KpKc/edit?gid=1855472031#gid=1855472031"", ""SUMMARY!$B""&amp;ROW($B62))"),55.0)</f>
        <v>55</v>
      </c>
      <c r="C63" s="16" t="str">
        <f>IFERROR(__xludf.DUMMYFUNCTION("IMPORTRANGE(""https://docs.google.com/spreadsheets/d/1Y6XV19fmLFtsIVuzoWqyA_aEe7Uw6CzWBXWFyT0KpKc/edit?gid=1855472031#gid=1855472031"", ""SUMMARY!$C""&amp;ROW($C62))"),"SARTE")</f>
        <v>SARTE</v>
      </c>
      <c r="D63" s="17" t="str">
        <f>IFERROR(__xludf.DUMMYFUNCTION("IMPORTRANGE(""https://docs.google.com/spreadsheets/d/1Y6XV19fmLFtsIVuzoWqyA_aEe7Uw6CzWBXWFyT0KpKc/edit?gid=1855472031#gid=1855472031"", ""SUMMARY!$F""&amp;ROW($F62))"),"BEAUTY CARE")</f>
        <v>BEAUTY CARE</v>
      </c>
      <c r="E63" s="18" t="str">
        <f>IFERROR(__xludf.DUMMYFUNCTION("IMPORTRANGE(""https://docs.google.com/spreadsheets/d/1Y6XV19fmLFtsIVuzoWqyA_aEe7Uw6CzWBXWFyT0KpKc/edit?gid=1855472031#gid=1855472031"", ""SUMMARY!$D""&amp;ROW($D62))"),"ELISEA P. LAJO")</f>
        <v>ELISEA P. LAJO</v>
      </c>
      <c r="F63" s="18" t="str">
        <f>IFERROR(__xludf.DUMMYFUNCTION("IMPORTRANGE(""https://docs.google.com/spreadsheets/d/1Y6XV19fmLFtsIVuzoWqyA_aEe7Uw6CzWBXWFyT0KpKc/edit?gid=1855472031#gid=1855472031"", ""SUMMARY!$E""&amp;ROW($E62))"),"ENGLISH")</f>
        <v>ENGLISH</v>
      </c>
      <c r="G63" s="19" t="str">
        <f>IFERROR(__xludf.DUMMYFUNCTION("IMPORTRANGE(""https://docs.google.com/spreadsheets/d/1otQjWHjy3Rq_-7Ie_93jllGR_QbNz_QcBUMPB-NJUP8/edit?gid=902639746#gid=902639746"", ""CHECKING!$F""&amp;ROW(F276))"),"ENCODED")</f>
        <v>ENCODED</v>
      </c>
      <c r="H63" s="19" t="str">
        <f>IFERROR(__xludf.DUMMYFUNCTION("IMPORTRANGE(""https://docs.google.com/spreadsheets/d/1otQjWHjy3Rq_-7Ie_93jllGR_QbNz_QcBUMPB-NJUP8/edit?gid=902639746#gid=902639746"", ""CHECKING!$G""&amp;ROW(G276))"),"ENCODED")</f>
        <v>ENCODED</v>
      </c>
      <c r="I63" s="19" t="str">
        <f>IFERROR(__xludf.DUMMYFUNCTION("IMPORTRANGE(""https://docs.google.com/spreadsheets/d/1otQjWHjy3Rq_-7Ie_93jllGR_QbNz_QcBUMPB-NJUP8/edit?gid=902639746#gid=902639746"", ""CHECKING!$H""&amp;ROW(H276))"),"ENCODED")</f>
        <v>ENCODED</v>
      </c>
      <c r="J63" s="19" t="str">
        <f>IFERROR(__xludf.DUMMYFUNCTION("IMPORTRANGE(""https://docs.google.com/spreadsheets/d/1otQjWHjy3Rq_-7Ie_93jllGR_QbNz_QcBUMPB-NJUP8/edit?gid=902639746#gid=902639746"", ""CHECKING!$I""&amp;ROW(I276))"),"ENCODED")</f>
        <v>ENCODED</v>
      </c>
      <c r="K63" s="19" t="str">
        <f>IFERROR(__xludf.DUMMYFUNCTION("IMPORTRANGE(""https://docs.google.com/spreadsheets/d/1otQjWHjy3Rq_-7Ie_93jllGR_QbNz_QcBUMPB-NJUP8/edit?gid=902639746#gid=902639746"", ""CHECKING!$J""&amp;ROW(J276))"),"NOT ENCODED")</f>
        <v>NOT ENCODED</v>
      </c>
      <c r="L63" s="19" t="str">
        <f>IFERROR(__xludf.DUMMYFUNCTION("IMPORTRANGE(""https://docs.google.com/spreadsheets/d/1otQjWHjy3Rq_-7Ie_93jllGR_QbNz_QcBUMPB-NJUP8/edit?gid=902639746#gid=902639746"", ""CHECKING!$K""&amp;ROW(K276))"),"NOT ENCODED")</f>
        <v>NOT ENCODED</v>
      </c>
      <c r="M63" s="19" t="str">
        <f>IFERROR(__xludf.DUMMYFUNCTION("IMPORTRANGE(""https://docs.google.com/spreadsheets/d/1otQjWHjy3Rq_-7Ie_93jllGR_QbNz_QcBUMPB-NJUP8/edit?gid=902639746#gid=902639746"", ""CHECKING!$L""&amp;ROW(L276))"),"NOT ENCODED")</f>
        <v>NOT ENCODED</v>
      </c>
    </row>
    <row r="64">
      <c r="A64" s="14" t="s">
        <v>17</v>
      </c>
      <c r="B64" s="15">
        <f>IFERROR(__xludf.DUMMYFUNCTION("IMPORTRANGE(""https://docs.google.com/spreadsheets/d/1Y6XV19fmLFtsIVuzoWqyA_aEe7Uw6CzWBXWFyT0KpKc/edit?gid=1855472031#gid=1855472031"", ""SUMMARY!$B""&amp;ROW($B63))"),56.0)</f>
        <v>56</v>
      </c>
      <c r="C64" s="16" t="str">
        <f>IFERROR(__xludf.DUMMYFUNCTION("IMPORTRANGE(""https://docs.google.com/spreadsheets/d/1Y6XV19fmLFtsIVuzoWqyA_aEe7Uw6CzWBXWFyT0KpKc/edit?gid=1855472031#gid=1855472031"", ""SUMMARY!$C""&amp;ROW($C63))"),"AZURIN")</f>
        <v>AZURIN</v>
      </c>
      <c r="D64" s="17" t="str">
        <f>IFERROR(__xludf.DUMMYFUNCTION("IMPORTRANGE(""https://docs.google.com/spreadsheets/d/1Y6XV19fmLFtsIVuzoWqyA_aEe7Uw6CzWBXWFyT0KpKc/edit?gid=1855472031#gid=1855472031"", ""SUMMARY!$F""&amp;ROW($F63))"),"ICT-CSS")</f>
        <v>ICT-CSS</v>
      </c>
      <c r="E64" s="18" t="str">
        <f>IFERROR(__xludf.DUMMYFUNCTION("IMPORTRANGE(""https://docs.google.com/spreadsheets/d/1Y6XV19fmLFtsIVuzoWqyA_aEe7Uw6CzWBXWFyT0KpKc/edit?gid=1855472031#gid=1855472031"", ""SUMMARY!$D""&amp;ROW($D63))"),"LIZZETTE A. BELTRAN")</f>
        <v>LIZZETTE A. BELTRAN</v>
      </c>
      <c r="F64" s="18" t="str">
        <f>IFERROR(__xludf.DUMMYFUNCTION("IMPORTRANGE(""https://docs.google.com/spreadsheets/d/1Y6XV19fmLFtsIVuzoWqyA_aEe7Uw6CzWBXWFyT0KpKc/edit?gid=1855472031#gid=1855472031"", ""SUMMARY!$E""&amp;ROW($E63))"),"FILIPINO")</f>
        <v>FILIPINO</v>
      </c>
      <c r="G64" s="19" t="str">
        <f>IFERROR(__xludf.DUMMYFUNCTION("IMPORTRANGE(""https://docs.google.com/spreadsheets/d/1otQjWHjy3Rq_-7Ie_93jllGR_QbNz_QcBUMPB-NJUP8/edit?gid=902639746#gid=902639746"", ""CHECKING!$F""&amp;ROW(F277))"),"ENCODED")</f>
        <v>ENCODED</v>
      </c>
      <c r="H64" s="19" t="str">
        <f>IFERROR(__xludf.DUMMYFUNCTION("IMPORTRANGE(""https://docs.google.com/spreadsheets/d/1otQjWHjy3Rq_-7Ie_93jllGR_QbNz_QcBUMPB-NJUP8/edit?gid=902639746#gid=902639746"", ""CHECKING!$G""&amp;ROW(G277))"),"ENCODED")</f>
        <v>ENCODED</v>
      </c>
      <c r="I64" s="19" t="str">
        <f>IFERROR(__xludf.DUMMYFUNCTION("IMPORTRANGE(""https://docs.google.com/spreadsheets/d/1otQjWHjy3Rq_-7Ie_93jllGR_QbNz_QcBUMPB-NJUP8/edit?gid=902639746#gid=902639746"", ""CHECKING!$H""&amp;ROW(H277))"),"ENCODED")</f>
        <v>ENCODED</v>
      </c>
      <c r="J64" s="19" t="str">
        <f>IFERROR(__xludf.DUMMYFUNCTION("IMPORTRANGE(""https://docs.google.com/spreadsheets/d/1otQjWHjy3Rq_-7Ie_93jllGR_QbNz_QcBUMPB-NJUP8/edit?gid=902639746#gid=902639746"", ""CHECKING!$I""&amp;ROW(I277))"),"ENCODED")</f>
        <v>ENCODED</v>
      </c>
      <c r="K64" s="19" t="str">
        <f>IFERROR(__xludf.DUMMYFUNCTION("IMPORTRANGE(""https://docs.google.com/spreadsheets/d/1otQjWHjy3Rq_-7Ie_93jllGR_QbNz_QcBUMPB-NJUP8/edit?gid=902639746#gid=902639746"", ""CHECKING!$J""&amp;ROW(J277))"),"NOT ENCODED")</f>
        <v>NOT ENCODED</v>
      </c>
      <c r="L64" s="19" t="str">
        <f>IFERROR(__xludf.DUMMYFUNCTION("IMPORTRANGE(""https://docs.google.com/spreadsheets/d/1otQjWHjy3Rq_-7Ie_93jllGR_QbNz_QcBUMPB-NJUP8/edit?gid=902639746#gid=902639746"", ""CHECKING!$K""&amp;ROW(K277))"),"NOT ENCODED")</f>
        <v>NOT ENCODED</v>
      </c>
      <c r="M64" s="19" t="str">
        <f>IFERROR(__xludf.DUMMYFUNCTION("IMPORTRANGE(""https://docs.google.com/spreadsheets/d/1otQjWHjy3Rq_-7Ie_93jllGR_QbNz_QcBUMPB-NJUP8/edit?gid=902639746#gid=902639746"", ""CHECKING!$L""&amp;ROW(L277))"),"NOT ENCODED")</f>
        <v>NOT ENCODED</v>
      </c>
    </row>
    <row r="65">
      <c r="A65" s="14" t="s">
        <v>17</v>
      </c>
      <c r="B65" s="15">
        <f>IFERROR(__xludf.DUMMYFUNCTION("IMPORTRANGE(""https://docs.google.com/spreadsheets/d/1Y6XV19fmLFtsIVuzoWqyA_aEe7Uw6CzWBXWFyT0KpKc/edit?gid=1855472031#gid=1855472031"", ""SUMMARY!$B""&amp;ROW($B64))"),57.0)</f>
        <v>57</v>
      </c>
      <c r="C65" s="16" t="str">
        <f>IFERROR(__xludf.DUMMYFUNCTION("IMPORTRANGE(""https://docs.google.com/spreadsheets/d/1Y6XV19fmLFtsIVuzoWqyA_aEe7Uw6CzWBXWFyT0KpKc/edit?gid=1855472031#gid=1855472031"", ""SUMMARY!$C""&amp;ROW($C64))"),"BOHOL")</f>
        <v>BOHOL</v>
      </c>
      <c r="D65" s="17" t="str">
        <f>IFERROR(__xludf.DUMMYFUNCTION("IMPORTRANGE(""https://docs.google.com/spreadsheets/d/1Y6XV19fmLFtsIVuzoWqyA_aEe7Uw6CzWBXWFyT0KpKc/edit?gid=1855472031#gid=1855472031"", ""SUMMARY!$F""&amp;ROW($F64))"),"ICT-CSS")</f>
        <v>ICT-CSS</v>
      </c>
      <c r="E65" s="18" t="str">
        <f>IFERROR(__xludf.DUMMYFUNCTION("IMPORTRANGE(""https://docs.google.com/spreadsheets/d/1Y6XV19fmLFtsIVuzoWqyA_aEe7Uw6CzWBXWFyT0KpKc/edit?gid=1855472031#gid=1855472031"", ""SUMMARY!$D""&amp;ROW($D64))"),"JIMROSE D. LACUESTA")</f>
        <v>JIMROSE D. LACUESTA</v>
      </c>
      <c r="F65" s="18" t="str">
        <f>IFERROR(__xludf.DUMMYFUNCTION("IMPORTRANGE(""https://docs.google.com/spreadsheets/d/1Y6XV19fmLFtsIVuzoWqyA_aEe7Uw6CzWBXWFyT0KpKc/edit?gid=1855472031#gid=1855472031"", ""SUMMARY!$E""&amp;ROW($E64))"),"MATH")</f>
        <v>MATH</v>
      </c>
      <c r="G65" s="19" t="str">
        <f>IFERROR(__xludf.DUMMYFUNCTION("IMPORTRANGE(""https://docs.google.com/spreadsheets/d/1otQjWHjy3Rq_-7Ie_93jllGR_QbNz_QcBUMPB-NJUP8/edit?gid=902639746#gid=902639746"", ""CHECKING!$F""&amp;ROW(F278))"),"ENCODED")</f>
        <v>ENCODED</v>
      </c>
      <c r="H65" s="19" t="str">
        <f>IFERROR(__xludf.DUMMYFUNCTION("IMPORTRANGE(""https://docs.google.com/spreadsheets/d/1otQjWHjy3Rq_-7Ie_93jllGR_QbNz_QcBUMPB-NJUP8/edit?gid=902639746#gid=902639746"", ""CHECKING!$G""&amp;ROW(G278))"),"ENCODED")</f>
        <v>ENCODED</v>
      </c>
      <c r="I65" s="19" t="str">
        <f>IFERROR(__xludf.DUMMYFUNCTION("IMPORTRANGE(""https://docs.google.com/spreadsheets/d/1otQjWHjy3Rq_-7Ie_93jllGR_QbNz_QcBUMPB-NJUP8/edit?gid=902639746#gid=902639746"", ""CHECKING!$H""&amp;ROW(H278))"),"ENCODED")</f>
        <v>ENCODED</v>
      </c>
      <c r="J65" s="19" t="str">
        <f>IFERROR(__xludf.DUMMYFUNCTION("IMPORTRANGE(""https://docs.google.com/spreadsheets/d/1otQjWHjy3Rq_-7Ie_93jllGR_QbNz_QcBUMPB-NJUP8/edit?gid=902639746#gid=902639746"", ""CHECKING!$I""&amp;ROW(I278))"),"ENCODED")</f>
        <v>ENCODED</v>
      </c>
      <c r="K65" s="19" t="str">
        <f>IFERROR(__xludf.DUMMYFUNCTION("IMPORTRANGE(""https://docs.google.com/spreadsheets/d/1otQjWHjy3Rq_-7Ie_93jllGR_QbNz_QcBUMPB-NJUP8/edit?gid=902639746#gid=902639746"", ""CHECKING!$J""&amp;ROW(J278))"),"NOT ENCODED")</f>
        <v>NOT ENCODED</v>
      </c>
      <c r="L65" s="19" t="str">
        <f>IFERROR(__xludf.DUMMYFUNCTION("IMPORTRANGE(""https://docs.google.com/spreadsheets/d/1otQjWHjy3Rq_-7Ie_93jllGR_QbNz_QcBUMPB-NJUP8/edit?gid=902639746#gid=902639746"", ""CHECKING!$K""&amp;ROW(K278))"),"NOT ENCODED")</f>
        <v>NOT ENCODED</v>
      </c>
      <c r="M65" s="19" t="str">
        <f>IFERROR(__xludf.DUMMYFUNCTION("IMPORTRANGE(""https://docs.google.com/spreadsheets/d/1otQjWHjy3Rq_-7Ie_93jllGR_QbNz_QcBUMPB-NJUP8/edit?gid=902639746#gid=902639746"", ""CHECKING!$L""&amp;ROW(L278))"),"NOT ENCODED")</f>
        <v>NOT ENCODED</v>
      </c>
    </row>
    <row r="66">
      <c r="A66" s="14" t="s">
        <v>17</v>
      </c>
      <c r="B66" s="15">
        <f>IFERROR(__xludf.DUMMYFUNCTION("IMPORTRANGE(""https://docs.google.com/spreadsheets/d/1Y6XV19fmLFtsIVuzoWqyA_aEe7Uw6CzWBXWFyT0KpKc/edit?gid=1855472031#gid=1855472031"", ""SUMMARY!$B""&amp;ROW($B65))"),58.0)</f>
        <v>58</v>
      </c>
      <c r="C66" s="16" t="str">
        <f>IFERROR(__xludf.DUMMYFUNCTION("IMPORTRANGE(""https://docs.google.com/spreadsheets/d/1Y6XV19fmLFtsIVuzoWqyA_aEe7Uw6CzWBXWFyT0KpKc/edit?gid=1855472031#gid=1855472031"", ""SUMMARY!$C""&amp;ROW($C65))"),"DEL CARMEN")</f>
        <v>DEL CARMEN</v>
      </c>
      <c r="D66" s="17" t="str">
        <f>IFERROR(__xludf.DUMMYFUNCTION("IMPORTRANGE(""https://docs.google.com/spreadsheets/d/1Y6XV19fmLFtsIVuzoWqyA_aEe7Uw6CzWBXWFyT0KpKc/edit?gid=1855472031#gid=1855472031"", ""SUMMARY!$F""&amp;ROW($F65))"),"ICT-CSS")</f>
        <v>ICT-CSS</v>
      </c>
      <c r="E66" s="18" t="str">
        <f>IFERROR(__xludf.DUMMYFUNCTION("IMPORTRANGE(""https://docs.google.com/spreadsheets/d/1Y6XV19fmLFtsIVuzoWqyA_aEe7Uw6CzWBXWFyT0KpKc/edit?gid=1855472031#gid=1855472031"", ""SUMMARY!$D""&amp;ROW($D65))"),"RAIN S. VIBAL")</f>
        <v>RAIN S. VIBAL</v>
      </c>
      <c r="F66" s="18" t="str">
        <f>IFERROR(__xludf.DUMMYFUNCTION("IMPORTRANGE(""https://docs.google.com/spreadsheets/d/1Y6XV19fmLFtsIVuzoWqyA_aEe7Uw6CzWBXWFyT0KpKc/edit?gid=1855472031#gid=1855472031"", ""SUMMARY!$E""&amp;ROW($E65))"),"SCIENCE")</f>
        <v>SCIENCE</v>
      </c>
      <c r="G66" s="19" t="str">
        <f>IFERROR(__xludf.DUMMYFUNCTION("IMPORTRANGE(""https://docs.google.com/spreadsheets/d/1otQjWHjy3Rq_-7Ie_93jllGR_QbNz_QcBUMPB-NJUP8/edit?gid=902639746#gid=902639746"", ""CHECKING!$F""&amp;ROW(F279))"),"ENCODED")</f>
        <v>ENCODED</v>
      </c>
      <c r="H66" s="19" t="str">
        <f>IFERROR(__xludf.DUMMYFUNCTION("IMPORTRANGE(""https://docs.google.com/spreadsheets/d/1otQjWHjy3Rq_-7Ie_93jllGR_QbNz_QcBUMPB-NJUP8/edit?gid=902639746#gid=902639746"", ""CHECKING!$G""&amp;ROW(G279))"),"ENCODED")</f>
        <v>ENCODED</v>
      </c>
      <c r="I66" s="19" t="str">
        <f>IFERROR(__xludf.DUMMYFUNCTION("IMPORTRANGE(""https://docs.google.com/spreadsheets/d/1otQjWHjy3Rq_-7Ie_93jllGR_QbNz_QcBUMPB-NJUP8/edit?gid=902639746#gid=902639746"", ""CHECKING!$H""&amp;ROW(H279))"),"ENCODED")</f>
        <v>ENCODED</v>
      </c>
      <c r="J66" s="19" t="str">
        <f>IFERROR(__xludf.DUMMYFUNCTION("IMPORTRANGE(""https://docs.google.com/spreadsheets/d/1otQjWHjy3Rq_-7Ie_93jllGR_QbNz_QcBUMPB-NJUP8/edit?gid=902639746#gid=902639746"", ""CHECKING!$I""&amp;ROW(I279))"),"ENCODED")</f>
        <v>ENCODED</v>
      </c>
      <c r="K66" s="19" t="str">
        <f>IFERROR(__xludf.DUMMYFUNCTION("IMPORTRANGE(""https://docs.google.com/spreadsheets/d/1otQjWHjy3Rq_-7Ie_93jllGR_QbNz_QcBUMPB-NJUP8/edit?gid=902639746#gid=902639746"", ""CHECKING!$J""&amp;ROW(J279))"),"NOT ENCODED")</f>
        <v>NOT ENCODED</v>
      </c>
      <c r="L66" s="19" t="str">
        <f>IFERROR(__xludf.DUMMYFUNCTION("IMPORTRANGE(""https://docs.google.com/spreadsheets/d/1otQjWHjy3Rq_-7Ie_93jllGR_QbNz_QcBUMPB-NJUP8/edit?gid=902639746#gid=902639746"", ""CHECKING!$K""&amp;ROW(K279))"),"NOT ENCODED")</f>
        <v>NOT ENCODED</v>
      </c>
      <c r="M66" s="19" t="str">
        <f>IFERROR(__xludf.DUMMYFUNCTION("IMPORTRANGE(""https://docs.google.com/spreadsheets/d/1otQjWHjy3Rq_-7Ie_93jllGR_QbNz_QcBUMPB-NJUP8/edit?gid=902639746#gid=902639746"", ""CHECKING!$L""&amp;ROW(L279))"),"NOT ENCODED")</f>
        <v>NOT ENCODED</v>
      </c>
    </row>
    <row r="67">
      <c r="A67" s="14" t="s">
        <v>17</v>
      </c>
      <c r="B67" s="15">
        <f>IFERROR(__xludf.DUMMYFUNCTION("IMPORTRANGE(""https://docs.google.com/spreadsheets/d/1Y6XV19fmLFtsIVuzoWqyA_aEe7Uw6CzWBXWFyT0KpKc/edit?gid=1855472031#gid=1855472031"", ""SUMMARY!$B""&amp;ROW($B66))"),59.0)</f>
        <v>59</v>
      </c>
      <c r="C67" s="16" t="str">
        <f>IFERROR(__xludf.DUMMYFUNCTION("IMPORTRANGE(""https://docs.google.com/spreadsheets/d/1Y6XV19fmLFtsIVuzoWqyA_aEe7Uw6CzWBXWFyT0KpKc/edit?gid=1855472031#gid=1855472031"", ""SUMMARY!$C""&amp;ROW($C66))"),"DIMARUCOT")</f>
        <v>DIMARUCOT</v>
      </c>
      <c r="D67" s="17" t="str">
        <f>IFERROR(__xludf.DUMMYFUNCTION("IMPORTRANGE(""https://docs.google.com/spreadsheets/d/1Y6XV19fmLFtsIVuzoWqyA_aEe7Uw6CzWBXWFyT0KpKc/edit?gid=1855472031#gid=1855472031"", ""SUMMARY!$F""&amp;ROW($F66))"),"ICT-CSS")</f>
        <v>ICT-CSS</v>
      </c>
      <c r="E67" s="18" t="str">
        <f>IFERROR(__xludf.DUMMYFUNCTION("IMPORTRANGE(""https://docs.google.com/spreadsheets/d/1Y6XV19fmLFtsIVuzoWqyA_aEe7Uw6CzWBXWFyT0KpKc/edit?gid=1855472031#gid=1855472031"", ""SUMMARY!$D""&amp;ROW($D66))"),"JUDITH ANN D. LABANON")</f>
        <v>JUDITH ANN D. LABANON</v>
      </c>
      <c r="F67" s="18" t="str">
        <f>IFERROR(__xludf.DUMMYFUNCTION("IMPORTRANGE(""https://docs.google.com/spreadsheets/d/1Y6XV19fmLFtsIVuzoWqyA_aEe7Uw6CzWBXWFyT0KpKc/edit?gid=1855472031#gid=1855472031"", ""SUMMARY!$E""&amp;ROW($E66))"),"ESP")</f>
        <v>ESP</v>
      </c>
      <c r="G67" s="19" t="str">
        <f>IFERROR(__xludf.DUMMYFUNCTION("IMPORTRANGE(""https://docs.google.com/spreadsheets/d/1otQjWHjy3Rq_-7Ie_93jllGR_QbNz_QcBUMPB-NJUP8/edit?gid=902639746#gid=902639746"", ""CHECKING!$F""&amp;ROW(F280))"),"ENCODED")</f>
        <v>ENCODED</v>
      </c>
      <c r="H67" s="19" t="str">
        <f>IFERROR(__xludf.DUMMYFUNCTION("IMPORTRANGE(""https://docs.google.com/spreadsheets/d/1otQjWHjy3Rq_-7Ie_93jllGR_QbNz_QcBUMPB-NJUP8/edit?gid=902639746#gid=902639746"", ""CHECKING!$G""&amp;ROW(G280))"),"ENCODED")</f>
        <v>ENCODED</v>
      </c>
      <c r="I67" s="19" t="str">
        <f>IFERROR(__xludf.DUMMYFUNCTION("IMPORTRANGE(""https://docs.google.com/spreadsheets/d/1otQjWHjy3Rq_-7Ie_93jllGR_QbNz_QcBUMPB-NJUP8/edit?gid=902639746#gid=902639746"", ""CHECKING!$H""&amp;ROW(H280))"),"ENCODED")</f>
        <v>ENCODED</v>
      </c>
      <c r="J67" s="19" t="str">
        <f>IFERROR(__xludf.DUMMYFUNCTION("IMPORTRANGE(""https://docs.google.com/spreadsheets/d/1otQjWHjy3Rq_-7Ie_93jllGR_QbNz_QcBUMPB-NJUP8/edit?gid=902639746#gid=902639746"", ""CHECKING!$I""&amp;ROW(I280))"),"ENCODED")</f>
        <v>ENCODED</v>
      </c>
      <c r="K67" s="19" t="str">
        <f>IFERROR(__xludf.DUMMYFUNCTION("IMPORTRANGE(""https://docs.google.com/spreadsheets/d/1otQjWHjy3Rq_-7Ie_93jllGR_QbNz_QcBUMPB-NJUP8/edit?gid=902639746#gid=902639746"", ""CHECKING!$J""&amp;ROW(J280))"),"NOT ENCODED")</f>
        <v>NOT ENCODED</v>
      </c>
      <c r="L67" s="19" t="str">
        <f>IFERROR(__xludf.DUMMYFUNCTION("IMPORTRANGE(""https://docs.google.com/spreadsheets/d/1otQjWHjy3Rq_-7Ie_93jllGR_QbNz_QcBUMPB-NJUP8/edit?gid=902639746#gid=902639746"", ""CHECKING!$K""&amp;ROW(K280))"),"NOT ENCODED")</f>
        <v>NOT ENCODED</v>
      </c>
      <c r="M67" s="19" t="str">
        <f>IFERROR(__xludf.DUMMYFUNCTION("IMPORTRANGE(""https://docs.google.com/spreadsheets/d/1otQjWHjy3Rq_-7Ie_93jllGR_QbNz_QcBUMPB-NJUP8/edit?gid=902639746#gid=902639746"", ""CHECKING!$L""&amp;ROW(L280))"),"NOT ENCODED")</f>
        <v>NOT ENCODED</v>
      </c>
    </row>
    <row r="68">
      <c r="A68" s="14" t="s">
        <v>17</v>
      </c>
      <c r="B68" s="15">
        <f>IFERROR(__xludf.DUMMYFUNCTION("IMPORTRANGE(""https://docs.google.com/spreadsheets/d/1Y6XV19fmLFtsIVuzoWqyA_aEe7Uw6CzWBXWFyT0KpKc/edit?gid=1855472031#gid=1855472031"", ""SUMMARY!$B""&amp;ROW($B67))"),60.0)</f>
        <v>60</v>
      </c>
      <c r="C68" s="16" t="str">
        <f>IFERROR(__xludf.DUMMYFUNCTION("IMPORTRANGE(""https://docs.google.com/spreadsheets/d/1Y6XV19fmLFtsIVuzoWqyA_aEe7Uw6CzWBXWFyT0KpKc/edit?gid=1855472031#gid=1855472031"", ""SUMMARY!$C""&amp;ROW($C67))"),"FLORES")</f>
        <v>FLORES</v>
      </c>
      <c r="D68" s="17" t="str">
        <f>IFERROR(__xludf.DUMMYFUNCTION("IMPORTRANGE(""https://docs.google.com/spreadsheets/d/1Y6XV19fmLFtsIVuzoWqyA_aEe7Uw6CzWBXWFyT0KpKc/edit?gid=1855472031#gid=1855472031"", ""SUMMARY!$F""&amp;ROW($F67))"),"ICT-CSS")</f>
        <v>ICT-CSS</v>
      </c>
      <c r="E68" s="18" t="str">
        <f>IFERROR(__xludf.DUMMYFUNCTION("IMPORTRANGE(""https://docs.google.com/spreadsheets/d/1Y6XV19fmLFtsIVuzoWqyA_aEe7Uw6CzWBXWFyT0KpKc/edit?gid=1855472031#gid=1855472031"", ""SUMMARY!$D""&amp;ROW($D67))"),"CAMILLE C. DALISAY")</f>
        <v>CAMILLE C. DALISAY</v>
      </c>
      <c r="F68" s="18" t="str">
        <f>IFERROR(__xludf.DUMMYFUNCTION("IMPORTRANGE(""https://docs.google.com/spreadsheets/d/1Y6XV19fmLFtsIVuzoWqyA_aEe7Uw6CzWBXWFyT0KpKc/edit?gid=1855472031#gid=1855472031"", ""SUMMARY!$E""&amp;ROW($E67))"),"ENGLISH")</f>
        <v>ENGLISH</v>
      </c>
      <c r="G68" s="19" t="str">
        <f>IFERROR(__xludf.DUMMYFUNCTION("IMPORTRANGE(""https://docs.google.com/spreadsheets/d/1otQjWHjy3Rq_-7Ie_93jllGR_QbNz_QcBUMPB-NJUP8/edit?gid=902639746#gid=902639746"", ""CHECKING!$F""&amp;ROW(F281))"),"ENCODED")</f>
        <v>ENCODED</v>
      </c>
      <c r="H68" s="19" t="str">
        <f>IFERROR(__xludf.DUMMYFUNCTION("IMPORTRANGE(""https://docs.google.com/spreadsheets/d/1otQjWHjy3Rq_-7Ie_93jllGR_QbNz_QcBUMPB-NJUP8/edit?gid=902639746#gid=902639746"", ""CHECKING!$G""&amp;ROW(G281))"),"ENCODED")</f>
        <v>ENCODED</v>
      </c>
      <c r="I68" s="19" t="str">
        <f>IFERROR(__xludf.DUMMYFUNCTION("IMPORTRANGE(""https://docs.google.com/spreadsheets/d/1otQjWHjy3Rq_-7Ie_93jllGR_QbNz_QcBUMPB-NJUP8/edit?gid=902639746#gid=902639746"", ""CHECKING!$H""&amp;ROW(H281))"),"ENCODED")</f>
        <v>ENCODED</v>
      </c>
      <c r="J68" s="19" t="str">
        <f>IFERROR(__xludf.DUMMYFUNCTION("IMPORTRANGE(""https://docs.google.com/spreadsheets/d/1otQjWHjy3Rq_-7Ie_93jllGR_QbNz_QcBUMPB-NJUP8/edit?gid=902639746#gid=902639746"", ""CHECKING!$I""&amp;ROW(I281))"),"NOT ENCODED")</f>
        <v>NOT ENCODED</v>
      </c>
      <c r="K68" s="19" t="str">
        <f>IFERROR(__xludf.DUMMYFUNCTION("IMPORTRANGE(""https://docs.google.com/spreadsheets/d/1otQjWHjy3Rq_-7Ie_93jllGR_QbNz_QcBUMPB-NJUP8/edit?gid=902639746#gid=902639746"", ""CHECKING!$J""&amp;ROW(J281))"),"NOT ENCODED")</f>
        <v>NOT ENCODED</v>
      </c>
      <c r="L68" s="19" t="str">
        <f>IFERROR(__xludf.DUMMYFUNCTION("IMPORTRANGE(""https://docs.google.com/spreadsheets/d/1otQjWHjy3Rq_-7Ie_93jllGR_QbNz_QcBUMPB-NJUP8/edit?gid=902639746#gid=902639746"", ""CHECKING!$K""&amp;ROW(K281))"),"NOT ENCODED")</f>
        <v>NOT ENCODED</v>
      </c>
      <c r="M68" s="19" t="str">
        <f>IFERROR(__xludf.DUMMYFUNCTION("IMPORTRANGE(""https://docs.google.com/spreadsheets/d/1otQjWHjy3Rq_-7Ie_93jllGR_QbNz_QcBUMPB-NJUP8/edit?gid=902639746#gid=902639746"", ""CHECKING!$L""&amp;ROW(L281))"),"NOT ENCODED")</f>
        <v>NOT ENCODED</v>
      </c>
    </row>
    <row r="69">
      <c r="A69" s="14" t="s">
        <v>17</v>
      </c>
      <c r="B69" s="15">
        <f>IFERROR(__xludf.DUMMYFUNCTION("IMPORTRANGE(""https://docs.google.com/spreadsheets/d/1Y6XV19fmLFtsIVuzoWqyA_aEe7Uw6CzWBXWFyT0KpKc/edit?gid=1855472031#gid=1855472031"", ""SUMMARY!$B""&amp;ROW($B68))"),61.0)</f>
        <v>61</v>
      </c>
      <c r="C69" s="16" t="str">
        <f>IFERROR(__xludf.DUMMYFUNCTION("IMPORTRANGE(""https://docs.google.com/spreadsheets/d/1Y6XV19fmLFtsIVuzoWqyA_aEe7Uw6CzWBXWFyT0KpKc/edit?gid=1855472031#gid=1855472031"", ""SUMMARY!$C""&amp;ROW($C68))"),"IBRAHIM")</f>
        <v>IBRAHIM</v>
      </c>
      <c r="D69" s="17" t="str">
        <f>IFERROR(__xludf.DUMMYFUNCTION("IMPORTRANGE(""https://docs.google.com/spreadsheets/d/1Y6XV19fmLFtsIVuzoWqyA_aEe7Uw6CzWBXWFyT0KpKc/edit?gid=1855472031#gid=1855472031"", ""SUMMARY!$F""&amp;ROW($F68))"),"ICT-CSS")</f>
        <v>ICT-CSS</v>
      </c>
      <c r="E69" s="18" t="str">
        <f>IFERROR(__xludf.DUMMYFUNCTION("IMPORTRANGE(""https://docs.google.com/spreadsheets/d/1Y6XV19fmLFtsIVuzoWqyA_aEe7Uw6CzWBXWFyT0KpKc/edit?gid=1855472031#gid=1855472031"", ""SUMMARY!$D""&amp;ROW($D68))"),"ROSENDO JR. O. ABULOG")</f>
        <v>ROSENDO JR. O. ABULOG</v>
      </c>
      <c r="F69" s="18" t="str">
        <f>IFERROR(__xludf.DUMMYFUNCTION("IMPORTRANGE(""https://docs.google.com/spreadsheets/d/1Y6XV19fmLFtsIVuzoWqyA_aEe7Uw6CzWBXWFyT0KpKc/edit?gid=1855472031#gid=1855472031"", ""SUMMARY!$E""&amp;ROW($E68))"),"MATH")</f>
        <v>MATH</v>
      </c>
      <c r="G69" s="19" t="str">
        <f>IFERROR(__xludf.DUMMYFUNCTION("IMPORTRANGE(""https://docs.google.com/spreadsheets/d/1otQjWHjy3Rq_-7Ie_93jllGR_QbNz_QcBUMPB-NJUP8/edit?gid=902639746#gid=902639746"", ""CHECKING!$F""&amp;ROW(F282))"),"ENCODED")</f>
        <v>ENCODED</v>
      </c>
      <c r="H69" s="19" t="str">
        <f>IFERROR(__xludf.DUMMYFUNCTION("IMPORTRANGE(""https://docs.google.com/spreadsheets/d/1otQjWHjy3Rq_-7Ie_93jllGR_QbNz_QcBUMPB-NJUP8/edit?gid=902639746#gid=902639746"", ""CHECKING!$G""&amp;ROW(G282))"),"ENCODED")</f>
        <v>ENCODED</v>
      </c>
      <c r="I69" s="19" t="str">
        <f>IFERROR(__xludf.DUMMYFUNCTION("IMPORTRANGE(""https://docs.google.com/spreadsheets/d/1otQjWHjy3Rq_-7Ie_93jllGR_QbNz_QcBUMPB-NJUP8/edit?gid=902639746#gid=902639746"", ""CHECKING!$H""&amp;ROW(H282))"),"ENCODED")</f>
        <v>ENCODED</v>
      </c>
      <c r="J69" s="19" t="str">
        <f>IFERROR(__xludf.DUMMYFUNCTION("IMPORTRANGE(""https://docs.google.com/spreadsheets/d/1otQjWHjy3Rq_-7Ie_93jllGR_QbNz_QcBUMPB-NJUP8/edit?gid=902639746#gid=902639746"", ""CHECKING!$I""&amp;ROW(I282))"),"ENCODED")</f>
        <v>ENCODED</v>
      </c>
      <c r="K69" s="19" t="str">
        <f>IFERROR(__xludf.DUMMYFUNCTION("IMPORTRANGE(""https://docs.google.com/spreadsheets/d/1otQjWHjy3Rq_-7Ie_93jllGR_QbNz_QcBUMPB-NJUP8/edit?gid=902639746#gid=902639746"", ""CHECKING!$J""&amp;ROW(J282))"),"NOT ENCODED")</f>
        <v>NOT ENCODED</v>
      </c>
      <c r="L69" s="19" t="str">
        <f>IFERROR(__xludf.DUMMYFUNCTION("IMPORTRANGE(""https://docs.google.com/spreadsheets/d/1otQjWHjy3Rq_-7Ie_93jllGR_QbNz_QcBUMPB-NJUP8/edit?gid=902639746#gid=902639746"", ""CHECKING!$K""&amp;ROW(K282))"),"NOT ENCODED")</f>
        <v>NOT ENCODED</v>
      </c>
      <c r="M69" s="19" t="str">
        <f>IFERROR(__xludf.DUMMYFUNCTION("IMPORTRANGE(""https://docs.google.com/spreadsheets/d/1otQjWHjy3Rq_-7Ie_93jllGR_QbNz_QcBUMPB-NJUP8/edit?gid=902639746#gid=902639746"", ""CHECKING!$L""&amp;ROW(L282))"),"NOT ENCODED")</f>
        <v>NOT ENCODED</v>
      </c>
    </row>
    <row r="70">
      <c r="A70" s="14" t="s">
        <v>17</v>
      </c>
      <c r="B70" s="15">
        <f>IFERROR(__xludf.DUMMYFUNCTION("IMPORTRANGE(""https://docs.google.com/spreadsheets/d/1Y6XV19fmLFtsIVuzoWqyA_aEe7Uw6CzWBXWFyT0KpKc/edit?gid=1855472031#gid=1855472031"", ""SUMMARY!$B""&amp;ROW($B69))"),62.0)</f>
        <v>62</v>
      </c>
      <c r="C70" s="16" t="str">
        <f>IFERROR(__xludf.DUMMYFUNCTION("IMPORTRANGE(""https://docs.google.com/spreadsheets/d/1Y6XV19fmLFtsIVuzoWqyA_aEe7Uw6CzWBXWFyT0KpKc/edit?gid=1855472031#gid=1855472031"", ""SUMMARY!$C""&amp;ROW($C69))"),"MAGSIPOC")</f>
        <v>MAGSIPOC</v>
      </c>
      <c r="D70" s="17" t="str">
        <f>IFERROR(__xludf.DUMMYFUNCTION("IMPORTRANGE(""https://docs.google.com/spreadsheets/d/1Y6XV19fmLFtsIVuzoWqyA_aEe7Uw6CzWBXWFyT0KpKc/edit?gid=1855472031#gid=1855472031"", ""SUMMARY!$F""&amp;ROW($F69))"),"ICT-CSS")</f>
        <v>ICT-CSS</v>
      </c>
      <c r="E70" s="18" t="str">
        <f>IFERROR(__xludf.DUMMYFUNCTION("IMPORTRANGE(""https://docs.google.com/spreadsheets/d/1Y6XV19fmLFtsIVuzoWqyA_aEe7Uw6CzWBXWFyT0KpKc/edit?gid=1855472031#gid=1855472031"", ""SUMMARY!$D""&amp;ROW($D69))"),"ELMERITO JR. B. MELINDO")</f>
        <v>ELMERITO JR. B. MELINDO</v>
      </c>
      <c r="F70" s="18" t="str">
        <f>IFERROR(__xludf.DUMMYFUNCTION("IMPORTRANGE(""https://docs.google.com/spreadsheets/d/1Y6XV19fmLFtsIVuzoWqyA_aEe7Uw6CzWBXWFyT0KpKc/edit?gid=1855472031#gid=1855472031"", ""SUMMARY!$E""&amp;ROW($E69))"),"ENGLISH")</f>
        <v>ENGLISH</v>
      </c>
      <c r="G70" s="19" t="str">
        <f>IFERROR(__xludf.DUMMYFUNCTION("IMPORTRANGE(""https://docs.google.com/spreadsheets/d/1otQjWHjy3Rq_-7Ie_93jllGR_QbNz_QcBUMPB-NJUP8/edit?gid=902639746#gid=902639746"", ""CHECKING!$F""&amp;ROW(F283))"),"ENCODED")</f>
        <v>ENCODED</v>
      </c>
      <c r="H70" s="19" t="str">
        <f>IFERROR(__xludf.DUMMYFUNCTION("IMPORTRANGE(""https://docs.google.com/spreadsheets/d/1otQjWHjy3Rq_-7Ie_93jllGR_QbNz_QcBUMPB-NJUP8/edit?gid=902639746#gid=902639746"", ""CHECKING!$G""&amp;ROW(G283))"),"ENCODED")</f>
        <v>ENCODED</v>
      </c>
      <c r="I70" s="19" t="str">
        <f>IFERROR(__xludf.DUMMYFUNCTION("IMPORTRANGE(""https://docs.google.com/spreadsheets/d/1otQjWHjy3Rq_-7Ie_93jllGR_QbNz_QcBUMPB-NJUP8/edit?gid=902639746#gid=902639746"", ""CHECKING!$H""&amp;ROW(H283))"),"ENCODED")</f>
        <v>ENCODED</v>
      </c>
      <c r="J70" s="19" t="str">
        <f>IFERROR(__xludf.DUMMYFUNCTION("IMPORTRANGE(""https://docs.google.com/spreadsheets/d/1otQjWHjy3Rq_-7Ie_93jllGR_QbNz_QcBUMPB-NJUP8/edit?gid=902639746#gid=902639746"", ""CHECKING!$I""&amp;ROW(I283))"),"NOT ENCODED")</f>
        <v>NOT ENCODED</v>
      </c>
      <c r="K70" s="19" t="str">
        <f>IFERROR(__xludf.DUMMYFUNCTION("IMPORTRANGE(""https://docs.google.com/spreadsheets/d/1otQjWHjy3Rq_-7Ie_93jllGR_QbNz_QcBUMPB-NJUP8/edit?gid=902639746#gid=902639746"", ""CHECKING!$J""&amp;ROW(J283))"),"NOT ENCODED")</f>
        <v>NOT ENCODED</v>
      </c>
      <c r="L70" s="19" t="str">
        <f>IFERROR(__xludf.DUMMYFUNCTION("IMPORTRANGE(""https://docs.google.com/spreadsheets/d/1otQjWHjy3Rq_-7Ie_93jllGR_QbNz_QcBUMPB-NJUP8/edit?gid=902639746#gid=902639746"", ""CHECKING!$K""&amp;ROW(K283))"),"NOT ENCODED")</f>
        <v>NOT ENCODED</v>
      </c>
      <c r="M70" s="19" t="str">
        <f>IFERROR(__xludf.DUMMYFUNCTION("IMPORTRANGE(""https://docs.google.com/spreadsheets/d/1otQjWHjy3Rq_-7Ie_93jllGR_QbNz_QcBUMPB-NJUP8/edit?gid=902639746#gid=902639746"", ""CHECKING!$L""&amp;ROW(L283))"),"NOT ENCODED")</f>
        <v>NOT ENCODED</v>
      </c>
    </row>
    <row r="71">
      <c r="A71" s="14" t="s">
        <v>17</v>
      </c>
      <c r="B71" s="15">
        <f>IFERROR(__xludf.DUMMYFUNCTION("IMPORTRANGE(""https://docs.google.com/spreadsheets/d/1Y6XV19fmLFtsIVuzoWqyA_aEe7Uw6CzWBXWFyT0KpKc/edit?gid=1855472031#gid=1855472031"", ""SUMMARY!$B""&amp;ROW($B70))"),63.0)</f>
        <v>63</v>
      </c>
      <c r="C71" s="16" t="str">
        <f>IFERROR(__xludf.DUMMYFUNCTION("IMPORTRANGE(""https://docs.google.com/spreadsheets/d/1Y6XV19fmLFtsIVuzoWqyA_aEe7Uw6CzWBXWFyT0KpKc/edit?gid=1855472031#gid=1855472031"", ""SUMMARY!$C""&amp;ROW($C70))"),"MATUTINA")</f>
        <v>MATUTINA</v>
      </c>
      <c r="D71" s="17" t="str">
        <f>IFERROR(__xludf.DUMMYFUNCTION("IMPORTRANGE(""https://docs.google.com/spreadsheets/d/1Y6XV19fmLFtsIVuzoWqyA_aEe7Uw6CzWBXWFyT0KpKc/edit?gid=1855472031#gid=1855472031"", ""SUMMARY!$F""&amp;ROW($F70))"),"ICT-CSS")</f>
        <v>ICT-CSS</v>
      </c>
      <c r="E71" s="18" t="str">
        <f>IFERROR(__xludf.DUMMYFUNCTION("IMPORTRANGE(""https://docs.google.com/spreadsheets/d/1Y6XV19fmLFtsIVuzoWqyA_aEe7Uw6CzWBXWFyT0KpKc/edit?gid=1855472031#gid=1855472031"", ""SUMMARY!$D""&amp;ROW($D70))"),"HURRY B. PAUNER")</f>
        <v>HURRY B. PAUNER</v>
      </c>
      <c r="F71" s="18" t="str">
        <f>IFERROR(__xludf.DUMMYFUNCTION("IMPORTRANGE(""https://docs.google.com/spreadsheets/d/1Y6XV19fmLFtsIVuzoWqyA_aEe7Uw6CzWBXWFyT0KpKc/edit?gid=1855472031#gid=1855472031"", ""SUMMARY!$E""&amp;ROW($E70))"),"HUMSS")</f>
        <v>HUMSS</v>
      </c>
      <c r="G71" s="19" t="str">
        <f>IFERROR(__xludf.DUMMYFUNCTION("IMPORTRANGE(""https://docs.google.com/spreadsheets/d/1otQjWHjy3Rq_-7Ie_93jllGR_QbNz_QcBUMPB-NJUP8/edit?gid=902639746#gid=902639746"", ""CHECKING!$F""&amp;ROW(F284))"),"ENCODED")</f>
        <v>ENCODED</v>
      </c>
      <c r="H71" s="19" t="str">
        <f>IFERROR(__xludf.DUMMYFUNCTION("IMPORTRANGE(""https://docs.google.com/spreadsheets/d/1otQjWHjy3Rq_-7Ie_93jllGR_QbNz_QcBUMPB-NJUP8/edit?gid=902639746#gid=902639746"", ""CHECKING!$G""&amp;ROW(G284))"),"ENCODED")</f>
        <v>ENCODED</v>
      </c>
      <c r="I71" s="19" t="str">
        <f>IFERROR(__xludf.DUMMYFUNCTION("IMPORTRANGE(""https://docs.google.com/spreadsheets/d/1otQjWHjy3Rq_-7Ie_93jllGR_QbNz_QcBUMPB-NJUP8/edit?gid=902639746#gid=902639746"", ""CHECKING!$H""&amp;ROW(H284))"),"ENCODED")</f>
        <v>ENCODED</v>
      </c>
      <c r="J71" s="19" t="str">
        <f>IFERROR(__xludf.DUMMYFUNCTION("IMPORTRANGE(""https://docs.google.com/spreadsheets/d/1otQjWHjy3Rq_-7Ie_93jllGR_QbNz_QcBUMPB-NJUP8/edit?gid=902639746#gid=902639746"", ""CHECKING!$I""&amp;ROW(I284))"),"NOT ENCODED")</f>
        <v>NOT ENCODED</v>
      </c>
      <c r="K71" s="19" t="str">
        <f>IFERROR(__xludf.DUMMYFUNCTION("IMPORTRANGE(""https://docs.google.com/spreadsheets/d/1otQjWHjy3Rq_-7Ie_93jllGR_QbNz_QcBUMPB-NJUP8/edit?gid=902639746#gid=902639746"", ""CHECKING!$J""&amp;ROW(J284))"),"NOT ENCODED")</f>
        <v>NOT ENCODED</v>
      </c>
      <c r="L71" s="19" t="str">
        <f>IFERROR(__xludf.DUMMYFUNCTION("IMPORTRANGE(""https://docs.google.com/spreadsheets/d/1otQjWHjy3Rq_-7Ie_93jllGR_QbNz_QcBUMPB-NJUP8/edit?gid=902639746#gid=902639746"", ""CHECKING!$K""&amp;ROW(K284))"),"NOT ENCODED")</f>
        <v>NOT ENCODED</v>
      </c>
      <c r="M71" s="19" t="str">
        <f>IFERROR(__xludf.DUMMYFUNCTION("IMPORTRANGE(""https://docs.google.com/spreadsheets/d/1otQjWHjy3Rq_-7Ie_93jllGR_QbNz_QcBUMPB-NJUP8/edit?gid=902639746#gid=902639746"", ""CHECKING!$L""&amp;ROW(L284))"),"NOT ENCODED")</f>
        <v>NOT ENCODED</v>
      </c>
    </row>
    <row r="72">
      <c r="A72" s="14" t="s">
        <v>17</v>
      </c>
      <c r="B72" s="15">
        <f>IFERROR(__xludf.DUMMYFUNCTION("IMPORTRANGE(""https://docs.google.com/spreadsheets/d/1Y6XV19fmLFtsIVuzoWqyA_aEe7Uw6CzWBXWFyT0KpKc/edit?gid=1855472031#gid=1855472031"", ""SUMMARY!$B""&amp;ROW($B71))"),64.0)</f>
        <v>64</v>
      </c>
      <c r="C72" s="16" t="str">
        <f>IFERROR(__xludf.DUMMYFUNCTION("IMPORTRANGE(""https://docs.google.com/spreadsheets/d/1Y6XV19fmLFtsIVuzoWqyA_aEe7Uw6CzWBXWFyT0KpKc/edit?gid=1855472031#gid=1855472031"", ""SUMMARY!$C""&amp;ROW($C71))"),"REGALADO")</f>
        <v>REGALADO</v>
      </c>
      <c r="D72" s="17" t="str">
        <f>IFERROR(__xludf.DUMMYFUNCTION("IMPORTRANGE(""https://docs.google.com/spreadsheets/d/1Y6XV19fmLFtsIVuzoWqyA_aEe7Uw6CzWBXWFyT0KpKc/edit?gid=1855472031#gid=1855472031"", ""SUMMARY!$F""&amp;ROW($F71))"),"ICT-CSS")</f>
        <v>ICT-CSS</v>
      </c>
      <c r="E72" s="18" t="str">
        <f>IFERROR(__xludf.DUMMYFUNCTION("IMPORTRANGE(""https://docs.google.com/spreadsheets/d/1Y6XV19fmLFtsIVuzoWqyA_aEe7Uw6CzWBXWFyT0KpKc/edit?gid=1855472031#gid=1855472031"", ""SUMMARY!$D""&amp;ROW($D71))"),"MARLON LEWIS S. MONROY")</f>
        <v>MARLON LEWIS S. MONROY</v>
      </c>
      <c r="F72" s="18" t="str">
        <f>IFERROR(__xludf.DUMMYFUNCTION("IMPORTRANGE(""https://docs.google.com/spreadsheets/d/1Y6XV19fmLFtsIVuzoWqyA_aEe7Uw6CzWBXWFyT0KpKc/edit?gid=1855472031#gid=1855472031"", ""SUMMARY!$E""&amp;ROW($E71))"),"SCIENCE")</f>
        <v>SCIENCE</v>
      </c>
      <c r="G72" s="19" t="str">
        <f>IFERROR(__xludf.DUMMYFUNCTION("IMPORTRANGE(""https://docs.google.com/spreadsheets/d/1otQjWHjy3Rq_-7Ie_93jllGR_QbNz_QcBUMPB-NJUP8/edit?gid=902639746#gid=902639746"", ""CHECKING!$F""&amp;ROW(F285))"),"ENCODED")</f>
        <v>ENCODED</v>
      </c>
      <c r="H72" s="19" t="str">
        <f>IFERROR(__xludf.DUMMYFUNCTION("IMPORTRANGE(""https://docs.google.com/spreadsheets/d/1otQjWHjy3Rq_-7Ie_93jllGR_QbNz_QcBUMPB-NJUP8/edit?gid=902639746#gid=902639746"", ""CHECKING!$G""&amp;ROW(G285))"),"ENCODED")</f>
        <v>ENCODED</v>
      </c>
      <c r="I72" s="19" t="str">
        <f>IFERROR(__xludf.DUMMYFUNCTION("IMPORTRANGE(""https://docs.google.com/spreadsheets/d/1otQjWHjy3Rq_-7Ie_93jllGR_QbNz_QcBUMPB-NJUP8/edit?gid=902639746#gid=902639746"", ""CHECKING!$H""&amp;ROW(H285))"),"ENCODED")</f>
        <v>ENCODED</v>
      </c>
      <c r="J72" s="19" t="str">
        <f>IFERROR(__xludf.DUMMYFUNCTION("IMPORTRANGE(""https://docs.google.com/spreadsheets/d/1otQjWHjy3Rq_-7Ie_93jllGR_QbNz_QcBUMPB-NJUP8/edit?gid=902639746#gid=902639746"", ""CHECKING!$I""&amp;ROW(I285))"),"NOT ENCODED")</f>
        <v>NOT ENCODED</v>
      </c>
      <c r="K72" s="19" t="str">
        <f>IFERROR(__xludf.DUMMYFUNCTION("IMPORTRANGE(""https://docs.google.com/spreadsheets/d/1otQjWHjy3Rq_-7Ie_93jllGR_QbNz_QcBUMPB-NJUP8/edit?gid=902639746#gid=902639746"", ""CHECKING!$J""&amp;ROW(J285))"),"NOT ENCODED")</f>
        <v>NOT ENCODED</v>
      </c>
      <c r="L72" s="19" t="str">
        <f>IFERROR(__xludf.DUMMYFUNCTION("IMPORTRANGE(""https://docs.google.com/spreadsheets/d/1otQjWHjy3Rq_-7Ie_93jllGR_QbNz_QcBUMPB-NJUP8/edit?gid=902639746#gid=902639746"", ""CHECKING!$K""&amp;ROW(K285))"),"NOT ENCODED")</f>
        <v>NOT ENCODED</v>
      </c>
      <c r="M72" s="19" t="str">
        <f>IFERROR(__xludf.DUMMYFUNCTION("IMPORTRANGE(""https://docs.google.com/spreadsheets/d/1otQjWHjy3Rq_-7Ie_93jllGR_QbNz_QcBUMPB-NJUP8/edit?gid=902639746#gid=902639746"", ""CHECKING!$L""&amp;ROW(L285))"),"NOT ENCODED")</f>
        <v>NOT ENCODED</v>
      </c>
    </row>
    <row r="73">
      <c r="A73" s="14" t="s">
        <v>17</v>
      </c>
      <c r="B73" s="15">
        <f>IFERROR(__xludf.DUMMYFUNCTION("IMPORTRANGE(""https://docs.google.com/spreadsheets/d/1Y6XV19fmLFtsIVuzoWqyA_aEe7Uw6CzWBXWFyT0KpKc/edit?gid=1855472031#gid=1855472031"", ""SUMMARY!$B""&amp;ROW($B72))"),65.0)</f>
        <v>65</v>
      </c>
      <c r="C73" s="16" t="str">
        <f>IFERROR(__xludf.DUMMYFUNCTION("IMPORTRANGE(""https://docs.google.com/spreadsheets/d/1Y6XV19fmLFtsIVuzoWqyA_aEe7Uw6CzWBXWFyT0KpKc/edit?gid=1855472031#gid=1855472031"", ""SUMMARY!$C""&amp;ROW($C72))"),"SIEH")</f>
        <v>SIEH</v>
      </c>
      <c r="D73" s="17" t="str">
        <f>IFERROR(__xludf.DUMMYFUNCTION("IMPORTRANGE(""https://docs.google.com/spreadsheets/d/1Y6XV19fmLFtsIVuzoWqyA_aEe7Uw6CzWBXWFyT0KpKc/edit?gid=1855472031#gid=1855472031"", ""SUMMARY!$F""&amp;ROW($F72))"),"EPAS")</f>
        <v>EPAS</v>
      </c>
      <c r="E73" s="18" t="str">
        <f>IFERROR(__xludf.DUMMYFUNCTION("IMPORTRANGE(""https://docs.google.com/spreadsheets/d/1Y6XV19fmLFtsIVuzoWqyA_aEe7Uw6CzWBXWFyT0KpKc/edit?gid=1855472031#gid=1855472031"", ""SUMMARY!$D""&amp;ROW($D72))"),"ANGELICA Z. SALVIDAR")</f>
        <v>ANGELICA Z. SALVIDAR</v>
      </c>
      <c r="F73" s="18" t="str">
        <f>IFERROR(__xludf.DUMMYFUNCTION("IMPORTRANGE(""https://docs.google.com/spreadsheets/d/1Y6XV19fmLFtsIVuzoWqyA_aEe7Uw6CzWBXWFyT0KpKc/edit?gid=1855472031#gid=1855472031"", ""SUMMARY!$E""&amp;ROW($E72))"),"ENGLISH")</f>
        <v>ENGLISH</v>
      </c>
      <c r="G73" s="19" t="str">
        <f>IFERROR(__xludf.DUMMYFUNCTION("IMPORTRANGE(""https://docs.google.com/spreadsheets/d/1otQjWHjy3Rq_-7Ie_93jllGR_QbNz_QcBUMPB-NJUP8/edit?gid=902639746#gid=902639746"", ""CHECKING!$F""&amp;ROW(F286))"),"ENCODED")</f>
        <v>ENCODED</v>
      </c>
      <c r="H73" s="19" t="str">
        <f>IFERROR(__xludf.DUMMYFUNCTION("IMPORTRANGE(""https://docs.google.com/spreadsheets/d/1otQjWHjy3Rq_-7Ie_93jllGR_QbNz_QcBUMPB-NJUP8/edit?gid=902639746#gid=902639746"", ""CHECKING!$G""&amp;ROW(G286))"),"ENCODED")</f>
        <v>ENCODED</v>
      </c>
      <c r="I73" s="19" t="str">
        <f>IFERROR(__xludf.DUMMYFUNCTION("IMPORTRANGE(""https://docs.google.com/spreadsheets/d/1otQjWHjy3Rq_-7Ie_93jllGR_QbNz_QcBUMPB-NJUP8/edit?gid=902639746#gid=902639746"", ""CHECKING!$H""&amp;ROW(H286))"),"ENCODED")</f>
        <v>ENCODED</v>
      </c>
      <c r="J73" s="19" t="str">
        <f>IFERROR(__xludf.DUMMYFUNCTION("IMPORTRANGE(""https://docs.google.com/spreadsheets/d/1otQjWHjy3Rq_-7Ie_93jllGR_QbNz_QcBUMPB-NJUP8/edit?gid=902639746#gid=902639746"", ""CHECKING!$I""&amp;ROW(I286))"),"ENCODED")</f>
        <v>ENCODED</v>
      </c>
      <c r="K73" s="19" t="str">
        <f>IFERROR(__xludf.DUMMYFUNCTION("IMPORTRANGE(""https://docs.google.com/spreadsheets/d/1otQjWHjy3Rq_-7Ie_93jllGR_QbNz_QcBUMPB-NJUP8/edit?gid=902639746#gid=902639746"", ""CHECKING!$J""&amp;ROW(J286))"),"NOT ENCODED")</f>
        <v>NOT ENCODED</v>
      </c>
      <c r="L73" s="19" t="str">
        <f>IFERROR(__xludf.DUMMYFUNCTION("IMPORTRANGE(""https://docs.google.com/spreadsheets/d/1otQjWHjy3Rq_-7Ie_93jllGR_QbNz_QcBUMPB-NJUP8/edit?gid=902639746#gid=902639746"", ""CHECKING!$K""&amp;ROW(K286))"),"NOT ENCODED")</f>
        <v>NOT ENCODED</v>
      </c>
      <c r="M73" s="19" t="str">
        <f>IFERROR(__xludf.DUMMYFUNCTION("IMPORTRANGE(""https://docs.google.com/spreadsheets/d/1otQjWHjy3Rq_-7Ie_93jllGR_QbNz_QcBUMPB-NJUP8/edit?gid=902639746#gid=902639746"", ""CHECKING!$L""&amp;ROW(L286))"),"NOT ENCODED")</f>
        <v>NOT ENCODED</v>
      </c>
    </row>
    <row r="74">
      <c r="A74" s="14" t="s">
        <v>17</v>
      </c>
      <c r="B74" s="15">
        <f>IFERROR(__xludf.DUMMYFUNCTION("IMPORTRANGE(""https://docs.google.com/spreadsheets/d/1Y6XV19fmLFtsIVuzoWqyA_aEe7Uw6CzWBXWFyT0KpKc/edit?gid=1855472031#gid=1855472031"", ""SUMMARY!$B""&amp;ROW($B73))"),66.0)</f>
        <v>66</v>
      </c>
      <c r="C74" s="16" t="str">
        <f>IFERROR(__xludf.DUMMYFUNCTION("IMPORTRANGE(""https://docs.google.com/spreadsheets/d/1Y6XV19fmLFtsIVuzoWqyA_aEe7Uw6CzWBXWFyT0KpKc/edit?gid=1855472031#gid=1855472031"", ""SUMMARY!$C""&amp;ROW($C73))"),"AGUDO")</f>
        <v>AGUDO</v>
      </c>
      <c r="D74" s="17" t="str">
        <f>IFERROR(__xludf.DUMMYFUNCTION("IMPORTRANGE(""https://docs.google.com/spreadsheets/d/1Y6XV19fmLFtsIVuzoWqyA_aEe7Uw6CzWBXWFyT0KpKc/edit?gid=1855472031#gid=1855472031"", ""SUMMARY!$F""&amp;ROW($F73))"),"AUTOMOTIVE")</f>
        <v>AUTOMOTIVE</v>
      </c>
      <c r="E74" s="18" t="str">
        <f>IFERROR(__xludf.DUMMYFUNCTION("IMPORTRANGE(""https://docs.google.com/spreadsheets/d/1Y6XV19fmLFtsIVuzoWqyA_aEe7Uw6CzWBXWFyT0KpKc/edit?gid=1855472031#gid=1855472031"", ""SUMMARY!$D""&amp;ROW($D73))"),"JOHN CASIANO C. MAYUGA")</f>
        <v>JOHN CASIANO C. MAYUGA</v>
      </c>
      <c r="F74" s="18" t="str">
        <f>IFERROR(__xludf.DUMMYFUNCTION("IMPORTRANGE(""https://docs.google.com/spreadsheets/d/1Y6XV19fmLFtsIVuzoWqyA_aEe7Uw6CzWBXWFyT0KpKc/edit?gid=1855472031#gid=1855472031"", ""SUMMARY!$E""&amp;ROW($E73))"),"ENGLISH")</f>
        <v>ENGLISH</v>
      </c>
      <c r="G74" s="19" t="str">
        <f>IFERROR(__xludf.DUMMYFUNCTION("IMPORTRANGE(""https://docs.google.com/spreadsheets/d/1otQjWHjy3Rq_-7Ie_93jllGR_QbNz_QcBUMPB-NJUP8/edit?gid=902639746#gid=902639746"", ""CHECKING!$F""&amp;ROW(F287))"),"ENCODED")</f>
        <v>ENCODED</v>
      </c>
      <c r="H74" s="19" t="str">
        <f>IFERROR(__xludf.DUMMYFUNCTION("IMPORTRANGE(""https://docs.google.com/spreadsheets/d/1otQjWHjy3Rq_-7Ie_93jllGR_QbNz_QcBUMPB-NJUP8/edit?gid=902639746#gid=902639746"", ""CHECKING!$G""&amp;ROW(G287))"),"ENCODED")</f>
        <v>ENCODED</v>
      </c>
      <c r="I74" s="19" t="str">
        <f>IFERROR(__xludf.DUMMYFUNCTION("IMPORTRANGE(""https://docs.google.com/spreadsheets/d/1otQjWHjy3Rq_-7Ie_93jllGR_QbNz_QcBUMPB-NJUP8/edit?gid=902639746#gid=902639746"", ""CHECKING!$H""&amp;ROW(H287))"),"ENCODED")</f>
        <v>ENCODED</v>
      </c>
      <c r="J74" s="19" t="str">
        <f>IFERROR(__xludf.DUMMYFUNCTION("IMPORTRANGE(""https://docs.google.com/spreadsheets/d/1otQjWHjy3Rq_-7Ie_93jllGR_QbNz_QcBUMPB-NJUP8/edit?gid=902639746#gid=902639746"", ""CHECKING!$I""&amp;ROW(I287))"),"ENCODED")</f>
        <v>ENCODED</v>
      </c>
      <c r="K74" s="19" t="str">
        <f>IFERROR(__xludf.DUMMYFUNCTION("IMPORTRANGE(""https://docs.google.com/spreadsheets/d/1otQjWHjy3Rq_-7Ie_93jllGR_QbNz_QcBUMPB-NJUP8/edit?gid=902639746#gid=902639746"", ""CHECKING!$J""&amp;ROW(J287))"),"NOT ENCODED")</f>
        <v>NOT ENCODED</v>
      </c>
      <c r="L74" s="19" t="str">
        <f>IFERROR(__xludf.DUMMYFUNCTION("IMPORTRANGE(""https://docs.google.com/spreadsheets/d/1otQjWHjy3Rq_-7Ie_93jllGR_QbNz_QcBUMPB-NJUP8/edit?gid=902639746#gid=902639746"", ""CHECKING!$K""&amp;ROW(K287))"),"NOT ENCODED")</f>
        <v>NOT ENCODED</v>
      </c>
      <c r="M74" s="19" t="str">
        <f>IFERROR(__xludf.DUMMYFUNCTION("IMPORTRANGE(""https://docs.google.com/spreadsheets/d/1otQjWHjy3Rq_-7Ie_93jllGR_QbNz_QcBUMPB-NJUP8/edit?gid=902639746#gid=902639746"", ""CHECKING!$L""&amp;ROW(L287))"),"NOT ENCODED")</f>
        <v>NOT ENCODED</v>
      </c>
    </row>
    <row r="75">
      <c r="A75" s="14" t="s">
        <v>17</v>
      </c>
      <c r="B75" s="15">
        <f>IFERROR(__xludf.DUMMYFUNCTION("IMPORTRANGE(""https://docs.google.com/spreadsheets/d/1Y6XV19fmLFtsIVuzoWqyA_aEe7Uw6CzWBXWFyT0KpKc/edit?gid=1855472031#gid=1855472031"", ""SUMMARY!$B""&amp;ROW($B74))"),67.0)</f>
        <v>67</v>
      </c>
      <c r="C75" s="16" t="str">
        <f>IFERROR(__xludf.DUMMYFUNCTION("IMPORTRANGE(""https://docs.google.com/spreadsheets/d/1Y6XV19fmLFtsIVuzoWqyA_aEe7Uw6CzWBXWFyT0KpKc/edit?gid=1855472031#gid=1855472031"", ""SUMMARY!$C""&amp;ROW($C74))"),"SARAO")</f>
        <v>SARAO</v>
      </c>
      <c r="D75" s="17" t="str">
        <f>IFERROR(__xludf.DUMMYFUNCTION("IMPORTRANGE(""https://docs.google.com/spreadsheets/d/1Y6XV19fmLFtsIVuzoWqyA_aEe7Uw6CzWBXWFyT0KpKc/edit?gid=1855472031#gid=1855472031"", ""SUMMARY!$F""&amp;ROW($F74))"),"AUTOMOTIVE")</f>
        <v>AUTOMOTIVE</v>
      </c>
      <c r="E75" s="18" t="str">
        <f>IFERROR(__xludf.DUMMYFUNCTION("IMPORTRANGE(""https://docs.google.com/spreadsheets/d/1Y6XV19fmLFtsIVuzoWqyA_aEe7Uw6CzWBXWFyT0KpKc/edit?gid=1855472031#gid=1855472031"", ""SUMMARY!$D""&amp;ROW($D74))"),"DANICA ROSE T. OCDE")</f>
        <v>DANICA ROSE T. OCDE</v>
      </c>
      <c r="F75" s="18" t="str">
        <f>IFERROR(__xludf.DUMMYFUNCTION("IMPORTRANGE(""https://docs.google.com/spreadsheets/d/1Y6XV19fmLFtsIVuzoWqyA_aEe7Uw6CzWBXWFyT0KpKc/edit?gid=1855472031#gid=1855472031"", ""SUMMARY!$E""&amp;ROW($E74))"),"FILIPINO")</f>
        <v>FILIPINO</v>
      </c>
      <c r="G75" s="19" t="str">
        <f>IFERROR(__xludf.DUMMYFUNCTION("IMPORTRANGE(""https://docs.google.com/spreadsheets/d/1otQjWHjy3Rq_-7Ie_93jllGR_QbNz_QcBUMPB-NJUP8/edit?gid=902639746#gid=902639746"", ""CHECKING!$F""&amp;ROW(F288))"),"ENCODED")</f>
        <v>ENCODED</v>
      </c>
      <c r="H75" s="19" t="str">
        <f>IFERROR(__xludf.DUMMYFUNCTION("IMPORTRANGE(""https://docs.google.com/spreadsheets/d/1otQjWHjy3Rq_-7Ie_93jllGR_QbNz_QcBUMPB-NJUP8/edit?gid=902639746#gid=902639746"", ""CHECKING!$G""&amp;ROW(G288))"),"ENCODED")</f>
        <v>ENCODED</v>
      </c>
      <c r="I75" s="19" t="str">
        <f>IFERROR(__xludf.DUMMYFUNCTION("IMPORTRANGE(""https://docs.google.com/spreadsheets/d/1otQjWHjy3Rq_-7Ie_93jllGR_QbNz_QcBUMPB-NJUP8/edit?gid=902639746#gid=902639746"", ""CHECKING!$H""&amp;ROW(H288))"),"ENCODED")</f>
        <v>ENCODED</v>
      </c>
      <c r="J75" s="19" t="str">
        <f>IFERROR(__xludf.DUMMYFUNCTION("IMPORTRANGE(""https://docs.google.com/spreadsheets/d/1otQjWHjy3Rq_-7Ie_93jllGR_QbNz_QcBUMPB-NJUP8/edit?gid=902639746#gid=902639746"", ""CHECKING!$I""&amp;ROW(I288))"),"NOT ENCODED")</f>
        <v>NOT ENCODED</v>
      </c>
      <c r="K75" s="19" t="str">
        <f>IFERROR(__xludf.DUMMYFUNCTION("IMPORTRANGE(""https://docs.google.com/spreadsheets/d/1otQjWHjy3Rq_-7Ie_93jllGR_QbNz_QcBUMPB-NJUP8/edit?gid=902639746#gid=902639746"", ""CHECKING!$J""&amp;ROW(J288))"),"NOT ENCODED")</f>
        <v>NOT ENCODED</v>
      </c>
      <c r="L75" s="19" t="str">
        <f>IFERROR(__xludf.DUMMYFUNCTION("IMPORTRANGE(""https://docs.google.com/spreadsheets/d/1otQjWHjy3Rq_-7Ie_93jllGR_QbNz_QcBUMPB-NJUP8/edit?gid=902639746#gid=902639746"", ""CHECKING!$K""&amp;ROW(K288))"),"NOT ENCODED")</f>
        <v>NOT ENCODED</v>
      </c>
      <c r="M75" s="19" t="str">
        <f>IFERROR(__xludf.DUMMYFUNCTION("IMPORTRANGE(""https://docs.google.com/spreadsheets/d/1otQjWHjy3Rq_-7Ie_93jllGR_QbNz_QcBUMPB-NJUP8/edit?gid=902639746#gid=902639746"", ""CHECKING!$L""&amp;ROW(L288))"),"NOT ENCODED")</f>
        <v>NOT ENCODED</v>
      </c>
    </row>
    <row r="76">
      <c r="A76" s="14" t="s">
        <v>17</v>
      </c>
      <c r="B76" s="15">
        <f>IFERROR(__xludf.DUMMYFUNCTION("IMPORTRANGE(""https://docs.google.com/spreadsheets/d/1Y6XV19fmLFtsIVuzoWqyA_aEe7Uw6CzWBXWFyT0KpKc/edit?gid=1855472031#gid=1855472031"", ""SUMMARY!$B""&amp;ROW($B75))"),68.0)</f>
        <v>68</v>
      </c>
      <c r="C76" s="16" t="str">
        <f>IFERROR(__xludf.DUMMYFUNCTION("IMPORTRANGE(""https://docs.google.com/spreadsheets/d/1Y6XV19fmLFtsIVuzoWqyA_aEe7Uw6CzWBXWFyT0KpKc/edit?gid=1855472031#gid=1855472031"", ""SUMMARY!$C""&amp;ROW($C75))"),"SERRANO")</f>
        <v>SERRANO</v>
      </c>
      <c r="D76" s="17" t="str">
        <f>IFERROR(__xludf.DUMMYFUNCTION("IMPORTRANGE(""https://docs.google.com/spreadsheets/d/1Y6XV19fmLFtsIVuzoWqyA_aEe7Uw6CzWBXWFyT0KpKc/edit?gid=1855472031#gid=1855472031"", ""SUMMARY!$F""&amp;ROW($F75))"),"EIM")</f>
        <v>EIM</v>
      </c>
      <c r="E76" s="18" t="str">
        <f>IFERROR(__xludf.DUMMYFUNCTION("IMPORTRANGE(""https://docs.google.com/spreadsheets/d/1Y6XV19fmLFtsIVuzoWqyA_aEe7Uw6CzWBXWFyT0KpKc/edit?gid=1855472031#gid=1855472031"", ""SUMMARY!$D""&amp;ROW($D75))"),"JANICE SALANATIN")</f>
        <v>JANICE SALANATIN</v>
      </c>
      <c r="F76" s="18" t="str">
        <f>IFERROR(__xludf.DUMMYFUNCTION("IMPORTRANGE(""https://docs.google.com/spreadsheets/d/1Y6XV19fmLFtsIVuzoWqyA_aEe7Uw6CzWBXWFyT0KpKc/edit?gid=1855472031#gid=1855472031"", ""SUMMARY!$E""&amp;ROW($E75))"),"ENGLISH")</f>
        <v>ENGLISH</v>
      </c>
      <c r="G76" s="19" t="str">
        <f>IFERROR(__xludf.DUMMYFUNCTION("IMPORTRANGE(""https://docs.google.com/spreadsheets/d/1otQjWHjy3Rq_-7Ie_93jllGR_QbNz_QcBUMPB-NJUP8/edit?gid=902639746#gid=902639746"", ""CHECKING!$F""&amp;ROW(F289))"),"ENCODED")</f>
        <v>ENCODED</v>
      </c>
      <c r="H76" s="19" t="str">
        <f>IFERROR(__xludf.DUMMYFUNCTION("IMPORTRANGE(""https://docs.google.com/spreadsheets/d/1otQjWHjy3Rq_-7Ie_93jllGR_QbNz_QcBUMPB-NJUP8/edit?gid=902639746#gid=902639746"", ""CHECKING!$G""&amp;ROW(G289))"),"ENCODED")</f>
        <v>ENCODED</v>
      </c>
      <c r="I76" s="19" t="str">
        <f>IFERROR(__xludf.DUMMYFUNCTION("IMPORTRANGE(""https://docs.google.com/spreadsheets/d/1otQjWHjy3Rq_-7Ie_93jllGR_QbNz_QcBUMPB-NJUP8/edit?gid=902639746#gid=902639746"", ""CHECKING!$H""&amp;ROW(H289))"),"ENCODED")</f>
        <v>ENCODED</v>
      </c>
      <c r="J76" s="19" t="str">
        <f>IFERROR(__xludf.DUMMYFUNCTION("IMPORTRANGE(""https://docs.google.com/spreadsheets/d/1otQjWHjy3Rq_-7Ie_93jllGR_QbNz_QcBUMPB-NJUP8/edit?gid=902639746#gid=902639746"", ""CHECKING!$I""&amp;ROW(I289))"),"NOT ENCODED")</f>
        <v>NOT ENCODED</v>
      </c>
      <c r="K76" s="19" t="str">
        <f>IFERROR(__xludf.DUMMYFUNCTION("IMPORTRANGE(""https://docs.google.com/spreadsheets/d/1otQjWHjy3Rq_-7Ie_93jllGR_QbNz_QcBUMPB-NJUP8/edit?gid=902639746#gid=902639746"", ""CHECKING!$J""&amp;ROW(J289))"),"NOT ENCODED")</f>
        <v>NOT ENCODED</v>
      </c>
      <c r="L76" s="19" t="str">
        <f>IFERROR(__xludf.DUMMYFUNCTION("IMPORTRANGE(""https://docs.google.com/spreadsheets/d/1otQjWHjy3Rq_-7Ie_93jllGR_QbNz_QcBUMPB-NJUP8/edit?gid=902639746#gid=902639746"", ""CHECKING!$K""&amp;ROW(K289))"),"NOT ENCODED")</f>
        <v>NOT ENCODED</v>
      </c>
      <c r="M76" s="19" t="str">
        <f>IFERROR(__xludf.DUMMYFUNCTION("IMPORTRANGE(""https://docs.google.com/spreadsheets/d/1otQjWHjy3Rq_-7Ie_93jllGR_QbNz_QcBUMPB-NJUP8/edit?gid=902639746#gid=902639746"", ""CHECKING!$L""&amp;ROW(L289))"),"NOT ENCODED")</f>
        <v>NOT ENCODED</v>
      </c>
    </row>
    <row r="77">
      <c r="A77" s="14" t="s">
        <v>17</v>
      </c>
      <c r="B77" s="15">
        <f>IFERROR(__xludf.DUMMYFUNCTION("IMPORTRANGE(""https://docs.google.com/spreadsheets/d/1Y6XV19fmLFtsIVuzoWqyA_aEe7Uw6CzWBXWFyT0KpKc/edit?gid=1855472031#gid=1855472031"", ""SUMMARY!$B""&amp;ROW($B76))"),69.0)</f>
        <v>69</v>
      </c>
      <c r="C77" s="16" t="str">
        <f>IFERROR(__xludf.DUMMYFUNCTION("IMPORTRANGE(""https://docs.google.com/spreadsheets/d/1Y6XV19fmLFtsIVuzoWqyA_aEe7Uw6CzWBXWFyT0KpKc/edit?gid=1855472031#gid=1855472031"", ""SUMMARY!$C""&amp;ROW($C76))"),"CINCO")</f>
        <v>CINCO</v>
      </c>
      <c r="D77" s="17" t="str">
        <f>IFERROR(__xludf.DUMMYFUNCTION("IMPORTRANGE(""https://docs.google.com/spreadsheets/d/1Y6XV19fmLFtsIVuzoWqyA_aEe7Uw6CzWBXWFyT0KpKc/edit?gid=1855472031#gid=1855472031"", ""SUMMARY!$F""&amp;ROW($F76))"),"DRESSMAKING")</f>
        <v>DRESSMAKING</v>
      </c>
      <c r="E77" s="18" t="str">
        <f>IFERROR(__xludf.DUMMYFUNCTION("IMPORTRANGE(""https://docs.google.com/spreadsheets/d/1Y6XV19fmLFtsIVuzoWqyA_aEe7Uw6CzWBXWFyT0KpKc/edit?gid=1855472031#gid=1855472031"", ""SUMMARY!$D""&amp;ROW($D76))"),"NOEL D. LIPA")</f>
        <v>NOEL D. LIPA</v>
      </c>
      <c r="F77" s="18" t="str">
        <f>IFERROR(__xludf.DUMMYFUNCTION("IMPORTRANGE(""https://docs.google.com/spreadsheets/d/1Y6XV19fmLFtsIVuzoWqyA_aEe7Uw6CzWBXWFyT0KpKc/edit?gid=1855472031#gid=1855472031"", ""SUMMARY!$E""&amp;ROW($E76))"),"SCIENCE")</f>
        <v>SCIENCE</v>
      </c>
      <c r="G77" s="19" t="str">
        <f>IFERROR(__xludf.DUMMYFUNCTION("IMPORTRANGE(""https://docs.google.com/spreadsheets/d/1otQjWHjy3Rq_-7Ie_93jllGR_QbNz_QcBUMPB-NJUP8/edit?gid=902639746#gid=902639746"", ""CHECKING!$F""&amp;ROW(F290))"),"ENCODED")</f>
        <v>ENCODED</v>
      </c>
      <c r="H77" s="19" t="str">
        <f>IFERROR(__xludf.DUMMYFUNCTION("IMPORTRANGE(""https://docs.google.com/spreadsheets/d/1otQjWHjy3Rq_-7Ie_93jllGR_QbNz_QcBUMPB-NJUP8/edit?gid=902639746#gid=902639746"", ""CHECKING!$G""&amp;ROW(G290))"),"ENCODED")</f>
        <v>ENCODED</v>
      </c>
      <c r="I77" s="19" t="str">
        <f>IFERROR(__xludf.DUMMYFUNCTION("IMPORTRANGE(""https://docs.google.com/spreadsheets/d/1otQjWHjy3Rq_-7Ie_93jllGR_QbNz_QcBUMPB-NJUP8/edit?gid=902639746#gid=902639746"", ""CHECKING!$H""&amp;ROW(H290))"),"ENCODED")</f>
        <v>ENCODED</v>
      </c>
      <c r="J77" s="19" t="str">
        <f>IFERROR(__xludf.DUMMYFUNCTION("IMPORTRANGE(""https://docs.google.com/spreadsheets/d/1otQjWHjy3Rq_-7Ie_93jllGR_QbNz_QcBUMPB-NJUP8/edit?gid=902639746#gid=902639746"", ""CHECKING!$I""&amp;ROW(I290))"),"ENCODED")</f>
        <v>ENCODED</v>
      </c>
      <c r="K77" s="19" t="str">
        <f>IFERROR(__xludf.DUMMYFUNCTION("IMPORTRANGE(""https://docs.google.com/spreadsheets/d/1otQjWHjy3Rq_-7Ie_93jllGR_QbNz_QcBUMPB-NJUP8/edit?gid=902639746#gid=902639746"", ""CHECKING!$J""&amp;ROW(J290))"),"NOT ENCODED")</f>
        <v>NOT ENCODED</v>
      </c>
      <c r="L77" s="19" t="str">
        <f>IFERROR(__xludf.DUMMYFUNCTION("IMPORTRANGE(""https://docs.google.com/spreadsheets/d/1otQjWHjy3Rq_-7Ie_93jllGR_QbNz_QcBUMPB-NJUP8/edit?gid=902639746#gid=902639746"", ""CHECKING!$K""&amp;ROW(K290))"),"NOT ENCODED")</f>
        <v>NOT ENCODED</v>
      </c>
      <c r="M77" s="19" t="str">
        <f>IFERROR(__xludf.DUMMYFUNCTION("IMPORTRANGE(""https://docs.google.com/spreadsheets/d/1otQjWHjy3Rq_-7Ie_93jllGR_QbNz_QcBUMPB-NJUP8/edit?gid=902639746#gid=902639746"", ""CHECKING!$L""&amp;ROW(L290))"),"NOT ENCODED")</f>
        <v>NOT ENCODED</v>
      </c>
    </row>
    <row r="78">
      <c r="A78" s="14" t="s">
        <v>17</v>
      </c>
      <c r="B78" s="15">
        <f>IFERROR(__xludf.DUMMYFUNCTION("IMPORTRANGE(""https://docs.google.com/spreadsheets/d/1Y6XV19fmLFtsIVuzoWqyA_aEe7Uw6CzWBXWFyT0KpKc/edit?gid=1855472031#gid=1855472031"", ""SUMMARY!$B""&amp;ROW($B77))"),70.0)</f>
        <v>70</v>
      </c>
      <c r="C78" s="16" t="str">
        <f>IFERROR(__xludf.DUMMYFUNCTION("IMPORTRANGE(""https://docs.google.com/spreadsheets/d/1Y6XV19fmLFtsIVuzoWqyA_aEe7Uw6CzWBXWFyT0KpKc/edit?gid=1855472031#gid=1855472031"", ""SUMMARY!$C""&amp;ROW($C77))"),"ALS / OHSP - A")</f>
        <v>ALS / OHSP - A</v>
      </c>
      <c r="D78" s="17" t="str">
        <f>IFERROR(__xludf.DUMMYFUNCTION("IMPORTRANGE(""https://docs.google.com/spreadsheets/d/1Y6XV19fmLFtsIVuzoWqyA_aEe7Uw6CzWBXWFyT0KpKc/edit?gid=1855472031#gid=1855472031"", ""SUMMARY!$F""&amp;ROW($F77))"),"AUTOMOTIVE")</f>
        <v>AUTOMOTIVE</v>
      </c>
      <c r="E78" s="18" t="str">
        <f>IFERROR(__xludf.DUMMYFUNCTION("IMPORTRANGE(""https://docs.google.com/spreadsheets/d/1Y6XV19fmLFtsIVuzoWqyA_aEe7Uw6CzWBXWFyT0KpKc/edit?gid=1855472031#gid=1855472031"", ""SUMMARY!$D""&amp;ROW($D77))"),"JHUN ANTHONY L. ORONAN")</f>
        <v>JHUN ANTHONY L. ORONAN</v>
      </c>
      <c r="F78" s="18" t="str">
        <f>IFERROR(__xludf.DUMMYFUNCTION("IMPORTRANGE(""https://docs.google.com/spreadsheets/d/1Y6XV19fmLFtsIVuzoWqyA_aEe7Uw6CzWBXWFyT0KpKc/edit?gid=1855472031#gid=1855472031"", ""SUMMARY!$E""&amp;ROW($E77))"),"SCIENCE")</f>
        <v>SCIENCE</v>
      </c>
      <c r="G78" s="19" t="str">
        <f>IFERROR(__xludf.DUMMYFUNCTION("IMPORTRANGE(""https://docs.google.com/spreadsheets/d/1otQjWHjy3Rq_-7Ie_93jllGR_QbNz_QcBUMPB-NJUP8/edit?gid=902639746#gid=902639746"", ""CHECKING!$F""&amp;ROW(F291))"),"ENCODED")</f>
        <v>ENCODED</v>
      </c>
      <c r="H78" s="19" t="str">
        <f>IFERROR(__xludf.DUMMYFUNCTION("IMPORTRANGE(""https://docs.google.com/spreadsheets/d/1otQjWHjy3Rq_-7Ie_93jllGR_QbNz_QcBUMPB-NJUP8/edit?gid=902639746#gid=902639746"", ""CHECKING!$G""&amp;ROW(G291))"),"ENCODED")</f>
        <v>ENCODED</v>
      </c>
      <c r="I78" s="19" t="str">
        <f>IFERROR(__xludf.DUMMYFUNCTION("IMPORTRANGE(""https://docs.google.com/spreadsheets/d/1otQjWHjy3Rq_-7Ie_93jllGR_QbNz_QcBUMPB-NJUP8/edit?gid=902639746#gid=902639746"", ""CHECKING!$H""&amp;ROW(H291))"),"ENCODED")</f>
        <v>ENCODED</v>
      </c>
      <c r="J78" s="19" t="str">
        <f>IFERROR(__xludf.DUMMYFUNCTION("IMPORTRANGE(""https://docs.google.com/spreadsheets/d/1otQjWHjy3Rq_-7Ie_93jllGR_QbNz_QcBUMPB-NJUP8/edit?gid=902639746#gid=902639746"", ""CHECKING!$I""&amp;ROW(I291))"),"NOT ENCODED")</f>
        <v>NOT ENCODED</v>
      </c>
      <c r="K78" s="19" t="str">
        <f>IFERROR(__xludf.DUMMYFUNCTION("IMPORTRANGE(""https://docs.google.com/spreadsheets/d/1otQjWHjy3Rq_-7Ie_93jllGR_QbNz_QcBUMPB-NJUP8/edit?gid=902639746#gid=902639746"", ""CHECKING!$J""&amp;ROW(J291))"),"NOT ENCODED")</f>
        <v>NOT ENCODED</v>
      </c>
      <c r="L78" s="19" t="str">
        <f>IFERROR(__xludf.DUMMYFUNCTION("IMPORTRANGE(""https://docs.google.com/spreadsheets/d/1otQjWHjy3Rq_-7Ie_93jllGR_QbNz_QcBUMPB-NJUP8/edit?gid=902639746#gid=902639746"", ""CHECKING!$K""&amp;ROW(K291))"),"NOT ENCODED")</f>
        <v>NOT ENCODED</v>
      </c>
      <c r="M78" s="19" t="str">
        <f>IFERROR(__xludf.DUMMYFUNCTION("IMPORTRANGE(""https://docs.google.com/spreadsheets/d/1otQjWHjy3Rq_-7Ie_93jllGR_QbNz_QcBUMPB-NJUP8/edit?gid=902639746#gid=902639746"", ""CHECKING!$L""&amp;ROW(L291))"),"NOT ENCODED")</f>
        <v>NOT ENCODED</v>
      </c>
    </row>
    <row r="79">
      <c r="A79" s="14" t="s">
        <v>17</v>
      </c>
      <c r="B79" s="15">
        <f>IFERROR(__xludf.DUMMYFUNCTION("IMPORTRANGE(""https://docs.google.com/spreadsheets/d/1Y6XV19fmLFtsIVuzoWqyA_aEe7Uw6CzWBXWFyT0KpKc/edit?gid=1855472031#gid=1855472031"", ""SUMMARY!$B""&amp;ROW($B78))"),71.0)</f>
        <v>71</v>
      </c>
      <c r="C79" s="16" t="str">
        <f>IFERROR(__xludf.DUMMYFUNCTION("IMPORTRANGE(""https://docs.google.com/spreadsheets/d/1Y6XV19fmLFtsIVuzoWqyA_aEe7Uw6CzWBXWFyT0KpKc/edit?gid=1855472031#gid=1855472031"", ""SUMMARY!$C""&amp;ROW($C78))"),"ALS / OHSP - B")</f>
        <v>ALS / OHSP - B</v>
      </c>
      <c r="D79" s="17" t="str">
        <f>IFERROR(__xludf.DUMMYFUNCTION("IMPORTRANGE(""https://docs.google.com/spreadsheets/d/1Y6XV19fmLFtsIVuzoWqyA_aEe7Uw6CzWBXWFyT0KpKc/edit?gid=1855472031#gid=1855472031"", ""SUMMARY!$F""&amp;ROW($F78))"),"COOKERY")</f>
        <v>COOKERY</v>
      </c>
      <c r="E79" s="18" t="str">
        <f>IFERROR(__xludf.DUMMYFUNCTION("IMPORTRANGE(""https://docs.google.com/spreadsheets/d/1Y6XV19fmLFtsIVuzoWqyA_aEe7Uw6CzWBXWFyT0KpKc/edit?gid=1855472031#gid=1855472031"", ""SUMMARY!$D""&amp;ROW($D78))"),"DAISY B. SORIANO")</f>
        <v>DAISY B. SORIANO</v>
      </c>
      <c r="F79" s="18" t="str">
        <f>IFERROR(__xludf.DUMMYFUNCTION("IMPORTRANGE(""https://docs.google.com/spreadsheets/d/1Y6XV19fmLFtsIVuzoWqyA_aEe7Uw6CzWBXWFyT0KpKc/edit?gid=1855472031#gid=1855472031"", ""SUMMARY!$E""&amp;ROW($E78))"),"MATH")</f>
        <v>MATH</v>
      </c>
      <c r="G79" s="19" t="str">
        <f>IFERROR(__xludf.DUMMYFUNCTION("IMPORTRANGE(""https://docs.google.com/spreadsheets/d/1otQjWHjy3Rq_-7Ie_93jllGR_QbNz_QcBUMPB-NJUP8/edit?gid=902639746#gid=902639746"", ""CHECKING!$F""&amp;ROW(F292))"),"ENCODED")</f>
        <v>ENCODED</v>
      </c>
      <c r="H79" s="19" t="str">
        <f>IFERROR(__xludf.DUMMYFUNCTION("IMPORTRANGE(""https://docs.google.com/spreadsheets/d/1otQjWHjy3Rq_-7Ie_93jllGR_QbNz_QcBUMPB-NJUP8/edit?gid=902639746#gid=902639746"", ""CHECKING!$G""&amp;ROW(G292))"),"ENCODED")</f>
        <v>ENCODED</v>
      </c>
      <c r="I79" s="19" t="str">
        <f>IFERROR(__xludf.DUMMYFUNCTION("IMPORTRANGE(""https://docs.google.com/spreadsheets/d/1otQjWHjy3Rq_-7Ie_93jllGR_QbNz_QcBUMPB-NJUP8/edit?gid=902639746#gid=902639746"", ""CHECKING!$H""&amp;ROW(H292))"),"ENCODED")</f>
        <v>ENCODED</v>
      </c>
      <c r="J79" s="19" t="str">
        <f>IFERROR(__xludf.DUMMYFUNCTION("IMPORTRANGE(""https://docs.google.com/spreadsheets/d/1otQjWHjy3Rq_-7Ie_93jllGR_QbNz_QcBUMPB-NJUP8/edit?gid=902639746#gid=902639746"", ""CHECKING!$I""&amp;ROW(I292))"),"NOT ENCODED")</f>
        <v>NOT ENCODED</v>
      </c>
      <c r="K79" s="19" t="str">
        <f>IFERROR(__xludf.DUMMYFUNCTION("IMPORTRANGE(""https://docs.google.com/spreadsheets/d/1otQjWHjy3Rq_-7Ie_93jllGR_QbNz_QcBUMPB-NJUP8/edit?gid=902639746#gid=902639746"", ""CHECKING!$J""&amp;ROW(J292))"),"NOT ENCODED")</f>
        <v>NOT ENCODED</v>
      </c>
      <c r="L79" s="19" t="str">
        <f>IFERROR(__xludf.DUMMYFUNCTION("IMPORTRANGE(""https://docs.google.com/spreadsheets/d/1otQjWHjy3Rq_-7Ie_93jllGR_QbNz_QcBUMPB-NJUP8/edit?gid=902639746#gid=902639746"", ""CHECKING!$K""&amp;ROW(K292))"),"NOT ENCODED")</f>
        <v>NOT ENCODED</v>
      </c>
      <c r="M79" s="19" t="str">
        <f>IFERROR(__xludf.DUMMYFUNCTION("IMPORTRANGE(""https://docs.google.com/spreadsheets/d/1otQjWHjy3Rq_-7Ie_93jllGR_QbNz_QcBUMPB-NJUP8/edit?gid=902639746#gid=902639746"", ""CHECKING!$L""&amp;ROW(L292))"),"NOT ENCODED")</f>
        <v>NOT ENCODED</v>
      </c>
    </row>
    <row r="80">
      <c r="A80" s="20" t="s">
        <v>18</v>
      </c>
      <c r="B80" s="11"/>
      <c r="C80" s="11"/>
      <c r="D80" s="11"/>
      <c r="E80" s="8"/>
      <c r="F80" s="21">
        <f>COUNTA(F9:F79)</f>
        <v>71</v>
      </c>
      <c r="G80" s="22">
        <f t="shared" ref="G80:M80" si="1">COUNTIF(G8:G79,"ENCODED")</f>
        <v>71</v>
      </c>
      <c r="H80" s="22">
        <f t="shared" si="1"/>
        <v>71</v>
      </c>
      <c r="I80" s="22">
        <f t="shared" si="1"/>
        <v>71</v>
      </c>
      <c r="J80" s="22">
        <f t="shared" si="1"/>
        <v>35</v>
      </c>
      <c r="K80" s="22">
        <f t="shared" si="1"/>
        <v>1</v>
      </c>
      <c r="L80" s="22">
        <f t="shared" si="1"/>
        <v>0</v>
      </c>
      <c r="M80" s="22">
        <f t="shared" si="1"/>
        <v>0</v>
      </c>
    </row>
    <row r="81">
      <c r="A81" s="23" t="s">
        <v>19</v>
      </c>
      <c r="B81" s="11"/>
      <c r="C81" s="11"/>
      <c r="D81" s="11"/>
      <c r="E81" s="11"/>
      <c r="F81" s="8"/>
      <c r="G81" s="24"/>
      <c r="H81" s="25"/>
      <c r="I81" s="25"/>
      <c r="J81" s="25"/>
      <c r="K81" s="25"/>
      <c r="L81" s="25"/>
      <c r="M81" s="25"/>
    </row>
    <row r="82">
      <c r="A82" s="26" t="s">
        <v>19</v>
      </c>
      <c r="B82" s="27">
        <f>IFERROR(__xludf.DUMMYFUNCTION("IMPORTRANGE(""https://docs.google.com/spreadsheets/d/1sbaTJIEs8I7XTpGUl1gZ8em-J48uYWx8P9XF_jnHubM/edit?gid=91456061#gid=91456061"", ""SUMMARY!$B""&amp;ROW($B8))"),1.0)</f>
        <v>1</v>
      </c>
      <c r="C82" s="27" t="str">
        <f>IFERROR(__xludf.DUMMYFUNCTION("IMPORTRANGE(""https://docs.google.com/spreadsheets/d/1sbaTJIEs8I7XTpGUl1gZ8em-J48uYWx8P9XF_jnHubM/edit?gid=91456061#gid=91456061"", ""SUMMARY!$C""&amp;ROW($C8))"),"ADELSON")</f>
        <v>ADELSON</v>
      </c>
      <c r="D82" s="28" t="str">
        <f>IFERROR(__xludf.DUMMYFUNCTION("IMPORTRANGE(""https://docs.google.com/spreadsheets/d/1sbaTJIEs8I7XTpGUl1gZ8em-J48uYWx8P9XF_jnHubM/edit?gid=91456061#gid=91456061"", ""SUMMARY!$F""&amp;ROW($F8))"),"ABM")</f>
        <v>ABM</v>
      </c>
      <c r="E82" s="29" t="str">
        <f>IFERROR(__xludf.DUMMYFUNCTION("IMPORTRANGE(""https://docs.google.com/spreadsheets/d/1sbaTJIEs8I7XTpGUl1gZ8em-J48uYWx8P9XF_jnHubM/edit?gid=91456061#gid=91456061"", ""SUMMARY!$D""&amp;ROW($D8))"),"JOHN NORMAN A. BALISTOY")</f>
        <v>JOHN NORMAN A. BALISTOY</v>
      </c>
      <c r="F82" s="29" t="str">
        <f>IFERROR(__xludf.DUMMYFUNCTION("IMPORTRANGE(""https://docs.google.com/spreadsheets/d/1sbaTJIEs8I7XTpGUl1gZ8em-J48uYWx8P9XF_jnHubM/edit?gid=91456061#gid=91456061"", ""SUMMARY!$E""&amp;ROW($E8))"),"ABM")</f>
        <v>ABM</v>
      </c>
      <c r="G82" s="19" t="str">
        <f>IFERROR(__xludf.DUMMYFUNCTION("IMPORTRANGE(""https://docs.google.com/spreadsheets/d/1otQjWHjy3Rq_-7Ie_93jllGR_QbNz_QcBUMPB-NJUP8/edit?gid=902639746#gid=902639746"", ""CHECKING!$F""&amp;COLUMN(F294))"),"ENCODED")</f>
        <v>ENCODED</v>
      </c>
      <c r="H82" s="19" t="str">
        <f>IFERROR(__xludf.DUMMYFUNCTION("IMPORTRANGE(""https://docs.google.com/spreadsheets/d/1otQjWHjy3Rq_-7Ie_93jllGR_QbNz_QcBUMPB-NJUP8/edit?gid=902639746#gid=902639746"", ""CHECKING!$G""&amp;ROW(G294))"),"ENCODED")</f>
        <v>ENCODED</v>
      </c>
      <c r="I82" s="19" t="str">
        <f>IFERROR(__xludf.DUMMYFUNCTION("IMPORTRANGE(""https://docs.google.com/spreadsheets/d/1otQjWHjy3Rq_-7Ie_93jllGR_QbNz_QcBUMPB-NJUP8/edit?gid=902639746#gid=902639746"", ""CHECKING!$H""&amp;ROW(H294))"),"ENCODED")</f>
        <v>ENCODED</v>
      </c>
      <c r="J82" s="19" t="str">
        <f>IFERROR(__xludf.DUMMYFUNCTION("IMPORTRANGE(""https://docs.google.com/spreadsheets/d/1otQjWHjy3Rq_-7Ie_93jllGR_QbNz_QcBUMPB-NJUP8/edit?gid=902639746#gid=902639746"", ""CHECKING!$I""&amp;ROW(I294))"),"ENCODED")</f>
        <v>ENCODED</v>
      </c>
      <c r="K82" s="19" t="str">
        <f>IFERROR(__xludf.DUMMYFUNCTION("IMPORTRANGE(""https://docs.google.com/spreadsheets/d/1otQjWHjy3Rq_-7Ie_93jllGR_QbNz_QcBUMPB-NJUP8/edit?gid=902639746#gid=902639746"", ""CHECKING!$J""&amp;ROW(J294))"),"NOT ENCODED")</f>
        <v>NOT ENCODED</v>
      </c>
      <c r="L82" s="19" t="str">
        <f>IFERROR(__xludf.DUMMYFUNCTION("IMPORTRANGE(""https://docs.google.com/spreadsheets/d/1otQjWHjy3Rq_-7Ie_93jllGR_QbNz_QcBUMPB-NJUP8/edit?gid=902639746#gid=902639746"", ""CHECKING!$K""&amp;ROW(K294))"),"NOT ENCODED")</f>
        <v>NOT ENCODED</v>
      </c>
      <c r="M82" s="19" t="str">
        <f>IFERROR(__xludf.DUMMYFUNCTION("IMPORTRANGE(""https://docs.google.com/spreadsheets/d/1otQjWHjy3Rq_-7Ie_93jllGR_QbNz_QcBUMPB-NJUP8/edit?gid=902639746#gid=902639746"", ""CHECKING!$L""&amp;ROW(L294))"),"NOT ENCODED")</f>
        <v>NOT ENCODED</v>
      </c>
    </row>
    <row r="83">
      <c r="A83" s="26" t="s">
        <v>19</v>
      </c>
      <c r="B83" s="27">
        <f>IFERROR(__xludf.DUMMYFUNCTION("IMPORTRANGE(""https://docs.google.com/spreadsheets/d/1sbaTJIEs8I7XTpGUl1gZ8em-J48uYWx8P9XF_jnHubM/edit?gid=91456061#gid=91456061"", ""SUMMARY!$B""&amp;ROW($B9))"),2.0)</f>
        <v>2</v>
      </c>
      <c r="C83" s="27" t="str">
        <f>IFERROR(__xludf.DUMMYFUNCTION("IMPORTRANGE(""https://docs.google.com/spreadsheets/d/1sbaTJIEs8I7XTpGUl1gZ8em-J48uYWx8P9XF_jnHubM/edit?gid=91456061#gid=91456061"", ""SUMMARY!$C""&amp;ROW($C9))"),"BERKELEY")</f>
        <v>BERKELEY</v>
      </c>
      <c r="D83" s="28" t="str">
        <f>IFERROR(__xludf.DUMMYFUNCTION("IMPORTRANGE(""https://docs.google.com/spreadsheets/d/1sbaTJIEs8I7XTpGUl1gZ8em-J48uYWx8P9XF_jnHubM/edit?gid=91456061#gid=91456061"", ""SUMMARY!$F""&amp;ROW($F9))"),"ABM")</f>
        <v>ABM</v>
      </c>
      <c r="E83" s="29" t="str">
        <f>IFERROR(__xludf.DUMMYFUNCTION("IMPORTRANGE(""https://docs.google.com/spreadsheets/d/1sbaTJIEs8I7XTpGUl1gZ8em-J48uYWx8P9XF_jnHubM/edit?gid=91456061#gid=91456061"", ""SUMMARY!$D""&amp;ROW($D9))"),"ROSALIE T. LUMANDAS")</f>
        <v>ROSALIE T. LUMANDAS</v>
      </c>
      <c r="F83" s="29" t="str">
        <f>IFERROR(__xludf.DUMMYFUNCTION("IMPORTRANGE(""https://docs.google.com/spreadsheets/d/1sbaTJIEs8I7XTpGUl1gZ8em-J48uYWx8P9XF_jnHubM/edit?gid=91456061#gid=91456061"", ""SUMMARY!$E""&amp;ROW($E9))"),"ABM")</f>
        <v>ABM</v>
      </c>
      <c r="G83" s="19" t="str">
        <f>IFERROR(__xludf.DUMMYFUNCTION("IMPORTRANGE(""https://docs.google.com/spreadsheets/d/1otQjWHjy3Rq_-7Ie_93jllGR_QbNz_QcBUMPB-NJUP8/edit?gid=902639746#gid=902639746"", ""CHECKING!$F""&amp;COLUMN(F295))"),"ENCODED")</f>
        <v>ENCODED</v>
      </c>
      <c r="H83" s="19" t="str">
        <f>IFERROR(__xludf.DUMMYFUNCTION("IMPORTRANGE(""https://docs.google.com/spreadsheets/d/1otQjWHjy3Rq_-7Ie_93jllGR_QbNz_QcBUMPB-NJUP8/edit?gid=902639746#gid=902639746"", ""CHECKING!$G""&amp;ROW(G295))"),"ENCODED")</f>
        <v>ENCODED</v>
      </c>
      <c r="I83" s="19" t="str">
        <f>IFERROR(__xludf.DUMMYFUNCTION("IMPORTRANGE(""https://docs.google.com/spreadsheets/d/1otQjWHjy3Rq_-7Ie_93jllGR_QbNz_QcBUMPB-NJUP8/edit?gid=902639746#gid=902639746"", ""CHECKING!$H""&amp;ROW(H295))"),"ENCODED")</f>
        <v>ENCODED</v>
      </c>
      <c r="J83" s="19" t="str">
        <f>IFERROR(__xludf.DUMMYFUNCTION("IMPORTRANGE(""https://docs.google.com/spreadsheets/d/1otQjWHjy3Rq_-7Ie_93jllGR_QbNz_QcBUMPB-NJUP8/edit?gid=902639746#gid=902639746"", ""CHECKING!$I""&amp;ROW(I295))"),"NOT ENCODED")</f>
        <v>NOT ENCODED</v>
      </c>
      <c r="K83" s="19" t="str">
        <f>IFERROR(__xludf.DUMMYFUNCTION("IMPORTRANGE(""https://docs.google.com/spreadsheets/d/1otQjWHjy3Rq_-7Ie_93jllGR_QbNz_QcBUMPB-NJUP8/edit?gid=902639746#gid=902639746"", ""CHECKING!$J""&amp;ROW(J295))"),"NOT ENCODED")</f>
        <v>NOT ENCODED</v>
      </c>
      <c r="L83" s="19" t="str">
        <f>IFERROR(__xludf.DUMMYFUNCTION("IMPORTRANGE(""https://docs.google.com/spreadsheets/d/1otQjWHjy3Rq_-7Ie_93jllGR_QbNz_QcBUMPB-NJUP8/edit?gid=902639746#gid=902639746"", ""CHECKING!$K""&amp;ROW(K295))"),"NOT ENCODED")</f>
        <v>NOT ENCODED</v>
      </c>
      <c r="M83" s="19" t="str">
        <f>IFERROR(__xludf.DUMMYFUNCTION("IMPORTRANGE(""https://docs.google.com/spreadsheets/d/1otQjWHjy3Rq_-7Ie_93jllGR_QbNz_QcBUMPB-NJUP8/edit?gid=902639746#gid=902639746"", ""CHECKING!$L""&amp;ROW(L295))"),"NOT ENCODED")</f>
        <v>NOT ENCODED</v>
      </c>
    </row>
    <row r="84">
      <c r="A84" s="26" t="s">
        <v>19</v>
      </c>
      <c r="B84" s="27">
        <f>IFERROR(__xludf.DUMMYFUNCTION("IMPORTRANGE(""https://docs.google.com/spreadsheets/d/1sbaTJIEs8I7XTpGUl1gZ8em-J48uYWx8P9XF_jnHubM/edit?gid=91456061#gid=91456061"", ""SUMMARY!$B""&amp;ROW($B10))"),3.0)</f>
        <v>3</v>
      </c>
      <c r="C84" s="27" t="str">
        <f>IFERROR(__xludf.DUMMYFUNCTION("IMPORTRANGE(""https://docs.google.com/spreadsheets/d/1sbaTJIEs8I7XTpGUl1gZ8em-J48uYWx8P9XF_jnHubM/edit?gid=91456061#gid=91456061"", ""SUMMARY!$C""&amp;ROW($C10))"),"CARNEGIE")</f>
        <v>CARNEGIE</v>
      </c>
      <c r="D84" s="28" t="str">
        <f>IFERROR(__xludf.DUMMYFUNCTION("IMPORTRANGE(""https://docs.google.com/spreadsheets/d/1sbaTJIEs8I7XTpGUl1gZ8em-J48uYWx8P9XF_jnHubM/edit?gid=91456061#gid=91456061"", ""SUMMARY!$F""&amp;ROW($F10))"),"ABM")</f>
        <v>ABM</v>
      </c>
      <c r="E84" s="29" t="str">
        <f>IFERROR(__xludf.DUMMYFUNCTION("IMPORTRANGE(""https://docs.google.com/spreadsheets/d/1sbaTJIEs8I7XTpGUl1gZ8em-J48uYWx8P9XF_jnHubM/edit?gid=91456061#gid=91456061"", ""SUMMARY!$D""&amp;ROW($D10))"),"DENNIS T. VILLAMOR")</f>
        <v>DENNIS T. VILLAMOR</v>
      </c>
      <c r="F84" s="29" t="str">
        <f>IFERROR(__xludf.DUMMYFUNCTION("IMPORTRANGE(""https://docs.google.com/spreadsheets/d/1sbaTJIEs8I7XTpGUl1gZ8em-J48uYWx8P9XF_jnHubM/edit?gid=91456061#gid=91456061"", ""SUMMARY!$E""&amp;ROW($E10))"),"HUMSS")</f>
        <v>HUMSS</v>
      </c>
      <c r="G84" s="19" t="str">
        <f>IFERROR(__xludf.DUMMYFUNCTION("IMPORTRANGE(""https://docs.google.com/spreadsheets/d/1otQjWHjy3Rq_-7Ie_93jllGR_QbNz_QcBUMPB-NJUP8/edit?gid=902639746#gid=902639746"", ""CHECKING!$F""&amp;COLUMN(F296))"),"ENCODED")</f>
        <v>ENCODED</v>
      </c>
      <c r="H84" s="19" t="str">
        <f>IFERROR(__xludf.DUMMYFUNCTION("IMPORTRANGE(""https://docs.google.com/spreadsheets/d/1otQjWHjy3Rq_-7Ie_93jllGR_QbNz_QcBUMPB-NJUP8/edit?gid=902639746#gid=902639746"", ""CHECKING!$G""&amp;ROW(G296))"),"ENCODED")</f>
        <v>ENCODED</v>
      </c>
      <c r="I84" s="19" t="str">
        <f>IFERROR(__xludf.DUMMYFUNCTION("IMPORTRANGE(""https://docs.google.com/spreadsheets/d/1otQjWHjy3Rq_-7Ie_93jllGR_QbNz_QcBUMPB-NJUP8/edit?gid=902639746#gid=902639746"", ""CHECKING!$H""&amp;ROW(H296))"),"ENCODED")</f>
        <v>ENCODED</v>
      </c>
      <c r="J84" s="19" t="str">
        <f>IFERROR(__xludf.DUMMYFUNCTION("IMPORTRANGE(""https://docs.google.com/spreadsheets/d/1otQjWHjy3Rq_-7Ie_93jllGR_QbNz_QcBUMPB-NJUP8/edit?gid=902639746#gid=902639746"", ""CHECKING!$I""&amp;ROW(I296))"),"ENCODED")</f>
        <v>ENCODED</v>
      </c>
      <c r="K84" s="19" t="str">
        <f>IFERROR(__xludf.DUMMYFUNCTION("IMPORTRANGE(""https://docs.google.com/spreadsheets/d/1otQjWHjy3Rq_-7Ie_93jllGR_QbNz_QcBUMPB-NJUP8/edit?gid=902639746#gid=902639746"", ""CHECKING!$J""&amp;ROW(J296))"),"NOT ENCODED")</f>
        <v>NOT ENCODED</v>
      </c>
      <c r="L84" s="19" t="str">
        <f>IFERROR(__xludf.DUMMYFUNCTION("IMPORTRANGE(""https://docs.google.com/spreadsheets/d/1otQjWHjy3Rq_-7Ie_93jllGR_QbNz_QcBUMPB-NJUP8/edit?gid=902639746#gid=902639746"", ""CHECKING!$K""&amp;ROW(K296))"),"NOT ENCODED")</f>
        <v>NOT ENCODED</v>
      </c>
      <c r="M84" s="19" t="str">
        <f>IFERROR(__xludf.DUMMYFUNCTION("IMPORTRANGE(""https://docs.google.com/spreadsheets/d/1otQjWHjy3Rq_-7Ie_93jllGR_QbNz_QcBUMPB-NJUP8/edit?gid=902639746#gid=902639746"", ""CHECKING!$L""&amp;ROW(L296))"),"NOT ENCODED")</f>
        <v>NOT ENCODED</v>
      </c>
    </row>
    <row r="85">
      <c r="A85" s="26" t="s">
        <v>19</v>
      </c>
      <c r="B85" s="27">
        <f>IFERROR(__xludf.DUMMYFUNCTION("IMPORTRANGE(""https://docs.google.com/spreadsheets/d/1sbaTJIEs8I7XTpGUl1gZ8em-J48uYWx8P9XF_jnHubM/edit?gid=91456061#gid=91456061"", ""SUMMARY!$B""&amp;ROW($B11))"),4.0)</f>
        <v>4</v>
      </c>
      <c r="C85" s="27" t="str">
        <f>IFERROR(__xludf.DUMMYFUNCTION("IMPORTRANGE(""https://docs.google.com/spreadsheets/d/1sbaTJIEs8I7XTpGUl1gZ8em-J48uYWx8P9XF_jnHubM/edit?gid=91456061#gid=91456061"", ""SUMMARY!$C""&amp;ROW($C11))"),"DISNEY")</f>
        <v>DISNEY</v>
      </c>
      <c r="D85" s="28" t="str">
        <f>IFERROR(__xludf.DUMMYFUNCTION("IMPORTRANGE(""https://docs.google.com/spreadsheets/d/1sbaTJIEs8I7XTpGUl1gZ8em-J48uYWx8P9XF_jnHubM/edit?gid=91456061#gid=91456061"", ""SUMMARY!$F""&amp;ROW($F11))"),"ABM")</f>
        <v>ABM</v>
      </c>
      <c r="E85" s="29" t="str">
        <f>IFERROR(__xludf.DUMMYFUNCTION("IMPORTRANGE(""https://docs.google.com/spreadsheets/d/1sbaTJIEs8I7XTpGUl1gZ8em-J48uYWx8P9XF_jnHubM/edit?gid=91456061#gid=91456061"", ""SUMMARY!$D""&amp;ROW($D11))"),"KRIZYL L. NAVALES")</f>
        <v>KRIZYL L. NAVALES</v>
      </c>
      <c r="F85" s="29" t="str">
        <f>IFERROR(__xludf.DUMMYFUNCTION("IMPORTRANGE(""https://docs.google.com/spreadsheets/d/1sbaTJIEs8I7XTpGUl1gZ8em-J48uYWx8P9XF_jnHubM/edit?gid=91456061#gid=91456061"", ""SUMMARY!$E""&amp;ROW($E11))"),"ENGLISH")</f>
        <v>ENGLISH</v>
      </c>
      <c r="G85" s="19" t="str">
        <f>IFERROR(__xludf.DUMMYFUNCTION("IMPORTRANGE(""https://docs.google.com/spreadsheets/d/1otQjWHjy3Rq_-7Ie_93jllGR_QbNz_QcBUMPB-NJUP8/edit?gid=902639746#gid=902639746"", ""CHECKING!$F""&amp;COLUMN(F297))"),"ENCODED")</f>
        <v>ENCODED</v>
      </c>
      <c r="H85" s="19" t="str">
        <f>IFERROR(__xludf.DUMMYFUNCTION("IMPORTRANGE(""https://docs.google.com/spreadsheets/d/1otQjWHjy3Rq_-7Ie_93jllGR_QbNz_QcBUMPB-NJUP8/edit?gid=902639746#gid=902639746"", ""CHECKING!$G""&amp;ROW(G297))"),"ENCODED")</f>
        <v>ENCODED</v>
      </c>
      <c r="I85" s="19" t="str">
        <f>IFERROR(__xludf.DUMMYFUNCTION("IMPORTRANGE(""https://docs.google.com/spreadsheets/d/1otQjWHjy3Rq_-7Ie_93jllGR_QbNz_QcBUMPB-NJUP8/edit?gid=902639746#gid=902639746"", ""CHECKING!$H""&amp;ROW(H297))"),"ENCODED")</f>
        <v>ENCODED</v>
      </c>
      <c r="J85" s="19" t="str">
        <f>IFERROR(__xludf.DUMMYFUNCTION("IMPORTRANGE(""https://docs.google.com/spreadsheets/d/1otQjWHjy3Rq_-7Ie_93jllGR_QbNz_QcBUMPB-NJUP8/edit?gid=902639746#gid=902639746"", ""CHECKING!$I""&amp;ROW(I297))"),"ENCODED")</f>
        <v>ENCODED</v>
      </c>
      <c r="K85" s="19" t="str">
        <f>IFERROR(__xludf.DUMMYFUNCTION("IMPORTRANGE(""https://docs.google.com/spreadsheets/d/1otQjWHjy3Rq_-7Ie_93jllGR_QbNz_QcBUMPB-NJUP8/edit?gid=902639746#gid=902639746"", ""CHECKING!$J""&amp;ROW(J297))"),"NOT ENCODED")</f>
        <v>NOT ENCODED</v>
      </c>
      <c r="L85" s="19" t="str">
        <f>IFERROR(__xludf.DUMMYFUNCTION("IMPORTRANGE(""https://docs.google.com/spreadsheets/d/1otQjWHjy3Rq_-7Ie_93jllGR_QbNz_QcBUMPB-NJUP8/edit?gid=902639746#gid=902639746"", ""CHECKING!$K""&amp;ROW(K297))"),"NOT ENCODED")</f>
        <v>NOT ENCODED</v>
      </c>
      <c r="M85" s="19" t="str">
        <f>IFERROR(__xludf.DUMMYFUNCTION("IMPORTRANGE(""https://docs.google.com/spreadsheets/d/1otQjWHjy3Rq_-7Ie_93jllGR_QbNz_QcBUMPB-NJUP8/edit?gid=902639746#gid=902639746"", ""CHECKING!$L""&amp;ROW(L297))"),"NOT ENCODED")</f>
        <v>NOT ENCODED</v>
      </c>
    </row>
    <row r="86">
      <c r="A86" s="26" t="s">
        <v>19</v>
      </c>
      <c r="B86" s="27">
        <f>IFERROR(__xludf.DUMMYFUNCTION("IMPORTRANGE(""https://docs.google.com/spreadsheets/d/1sbaTJIEs8I7XTpGUl1gZ8em-J48uYWx8P9XF_jnHubM/edit?gid=91456061#gid=91456061"", ""SUMMARY!$B""&amp;ROW($B12))"),5.0)</f>
        <v>5</v>
      </c>
      <c r="C86" s="27" t="str">
        <f>IFERROR(__xludf.DUMMYFUNCTION("IMPORTRANGE(""https://docs.google.com/spreadsheets/d/1sbaTJIEs8I7XTpGUl1gZ8em-J48uYWx8P9XF_jnHubM/edit?gid=91456061#gid=91456061"", ""SUMMARY!$C""&amp;ROW($C12))"),"HERSHEY")</f>
        <v>HERSHEY</v>
      </c>
      <c r="D86" s="28" t="str">
        <f>IFERROR(__xludf.DUMMYFUNCTION("IMPORTRANGE(""https://docs.google.com/spreadsheets/d/1sbaTJIEs8I7XTpGUl1gZ8em-J48uYWx8P9XF_jnHubM/edit?gid=91456061#gid=91456061"", ""SUMMARY!$F""&amp;ROW($F12))"),"ABM")</f>
        <v>ABM</v>
      </c>
      <c r="E86" s="29" t="str">
        <f>IFERROR(__xludf.DUMMYFUNCTION("IMPORTRANGE(""https://docs.google.com/spreadsheets/d/1sbaTJIEs8I7XTpGUl1gZ8em-J48uYWx8P9XF_jnHubM/edit?gid=91456061#gid=91456061"", ""SUMMARY!$D""&amp;ROW($D12))"),"JOANNE R. ABETO")</f>
        <v>JOANNE R. ABETO</v>
      </c>
      <c r="F86" s="29" t="str">
        <f>IFERROR(__xludf.DUMMYFUNCTION("IMPORTRANGE(""https://docs.google.com/spreadsheets/d/1sbaTJIEs8I7XTpGUl1gZ8em-J48uYWx8P9XF_jnHubM/edit?gid=91456061#gid=91456061"", ""SUMMARY!$E""&amp;ROW($E12))"),"FILIPINO")</f>
        <v>FILIPINO</v>
      </c>
      <c r="G86" s="19" t="str">
        <f>IFERROR(__xludf.DUMMYFUNCTION("IMPORTRANGE(""https://docs.google.com/spreadsheets/d/1otQjWHjy3Rq_-7Ie_93jllGR_QbNz_QcBUMPB-NJUP8/edit?gid=902639746#gid=902639746"", ""CHECKING!$F""&amp;COLUMN(F298))"),"ENCODED")</f>
        <v>ENCODED</v>
      </c>
      <c r="H86" s="19" t="str">
        <f>IFERROR(__xludf.DUMMYFUNCTION("IMPORTRANGE(""https://docs.google.com/spreadsheets/d/1otQjWHjy3Rq_-7Ie_93jllGR_QbNz_QcBUMPB-NJUP8/edit?gid=902639746#gid=902639746"", ""CHECKING!$G""&amp;ROW(G298))"),"ENCODED")</f>
        <v>ENCODED</v>
      </c>
      <c r="I86" s="19" t="str">
        <f>IFERROR(__xludf.DUMMYFUNCTION("IMPORTRANGE(""https://docs.google.com/spreadsheets/d/1otQjWHjy3Rq_-7Ie_93jllGR_QbNz_QcBUMPB-NJUP8/edit?gid=902639746#gid=902639746"", ""CHECKING!$H""&amp;ROW(H298))"),"ENCODED")</f>
        <v>ENCODED</v>
      </c>
      <c r="J86" s="19" t="str">
        <f>IFERROR(__xludf.DUMMYFUNCTION("IMPORTRANGE(""https://docs.google.com/spreadsheets/d/1otQjWHjy3Rq_-7Ie_93jllGR_QbNz_QcBUMPB-NJUP8/edit?gid=902639746#gid=902639746"", ""CHECKING!$I""&amp;ROW(I298))"),"NOT ENCODED")</f>
        <v>NOT ENCODED</v>
      </c>
      <c r="K86" s="19" t="str">
        <f>IFERROR(__xludf.DUMMYFUNCTION("IMPORTRANGE(""https://docs.google.com/spreadsheets/d/1otQjWHjy3Rq_-7Ie_93jllGR_QbNz_QcBUMPB-NJUP8/edit?gid=902639746#gid=902639746"", ""CHECKING!$J""&amp;ROW(J298))"),"NOT ENCODED")</f>
        <v>NOT ENCODED</v>
      </c>
      <c r="L86" s="19" t="str">
        <f>IFERROR(__xludf.DUMMYFUNCTION("IMPORTRANGE(""https://docs.google.com/spreadsheets/d/1otQjWHjy3Rq_-7Ie_93jllGR_QbNz_QcBUMPB-NJUP8/edit?gid=902639746#gid=902639746"", ""CHECKING!$K""&amp;ROW(K298))"),"NOT ENCODED")</f>
        <v>NOT ENCODED</v>
      </c>
      <c r="M86" s="19" t="str">
        <f>IFERROR(__xludf.DUMMYFUNCTION("IMPORTRANGE(""https://docs.google.com/spreadsheets/d/1otQjWHjy3Rq_-7Ie_93jllGR_QbNz_QcBUMPB-NJUP8/edit?gid=902639746#gid=902639746"", ""CHECKING!$L""&amp;ROW(L298))"),"NOT ENCODED")</f>
        <v>NOT ENCODED</v>
      </c>
    </row>
    <row r="87">
      <c r="A87" s="26" t="s">
        <v>19</v>
      </c>
      <c r="B87" s="27">
        <f>IFERROR(__xludf.DUMMYFUNCTION("IMPORTRANGE(""https://docs.google.com/spreadsheets/d/1sbaTJIEs8I7XTpGUl1gZ8em-J48uYWx8P9XF_jnHubM/edit?gid=91456061#gid=91456061"", ""SUMMARY!$B""&amp;ROW($B13))"),6.0)</f>
        <v>6</v>
      </c>
      <c r="C87" s="27" t="str">
        <f>IFERROR(__xludf.DUMMYFUNCTION("IMPORTRANGE(""https://docs.google.com/spreadsheets/d/1sbaTJIEs8I7XTpGUl1gZ8em-J48uYWx8P9XF_jnHubM/edit?gid=91456061#gid=91456061"", ""SUMMARY!$C""&amp;ROW($C13))"),"JONES")</f>
        <v>JONES</v>
      </c>
      <c r="D87" s="28" t="str">
        <f>IFERROR(__xludf.DUMMYFUNCTION("IMPORTRANGE(""https://docs.google.com/spreadsheets/d/1sbaTJIEs8I7XTpGUl1gZ8em-J48uYWx8P9XF_jnHubM/edit?gid=91456061#gid=91456061"", ""SUMMARY!$F""&amp;ROW($F13))"),"ABM")</f>
        <v>ABM</v>
      </c>
      <c r="E87" s="29" t="str">
        <f>IFERROR(__xludf.DUMMYFUNCTION("IMPORTRANGE(""https://docs.google.com/spreadsheets/d/1sbaTJIEs8I7XTpGUl1gZ8em-J48uYWx8P9XF_jnHubM/edit?gid=91456061#gid=91456061"", ""SUMMARY!$D""&amp;ROW($D13))"),"JANDROLEM N. DAMAS")</f>
        <v>JANDROLEM N. DAMAS</v>
      </c>
      <c r="F87" s="29" t="str">
        <f>IFERROR(__xludf.DUMMYFUNCTION("IMPORTRANGE(""https://docs.google.com/spreadsheets/d/1sbaTJIEs8I7XTpGUl1gZ8em-J48uYWx8P9XF_jnHubM/edit?gid=91456061#gid=91456061"", ""SUMMARY!$E""&amp;ROW($E13))"),"ENGLISH")</f>
        <v>ENGLISH</v>
      </c>
      <c r="G87" s="19" t="str">
        <f>IFERROR(__xludf.DUMMYFUNCTION("IMPORTRANGE(""https://docs.google.com/spreadsheets/d/1otQjWHjy3Rq_-7Ie_93jllGR_QbNz_QcBUMPB-NJUP8/edit?gid=902639746#gid=902639746"", ""CHECKING!$F""&amp;COLUMN(F299))"),"ENCODED")</f>
        <v>ENCODED</v>
      </c>
      <c r="H87" s="19" t="str">
        <f>IFERROR(__xludf.DUMMYFUNCTION("IMPORTRANGE(""https://docs.google.com/spreadsheets/d/1otQjWHjy3Rq_-7Ie_93jllGR_QbNz_QcBUMPB-NJUP8/edit?gid=902639746#gid=902639746"", ""CHECKING!$G""&amp;ROW(G299))"),"ENCODED")</f>
        <v>ENCODED</v>
      </c>
      <c r="I87" s="19" t="str">
        <f>IFERROR(__xludf.DUMMYFUNCTION("IMPORTRANGE(""https://docs.google.com/spreadsheets/d/1otQjWHjy3Rq_-7Ie_93jllGR_QbNz_QcBUMPB-NJUP8/edit?gid=902639746#gid=902639746"", ""CHECKING!$H""&amp;ROW(H299))"),"ENCODED")</f>
        <v>ENCODED</v>
      </c>
      <c r="J87" s="19" t="str">
        <f>IFERROR(__xludf.DUMMYFUNCTION("IMPORTRANGE(""https://docs.google.com/spreadsheets/d/1otQjWHjy3Rq_-7Ie_93jllGR_QbNz_QcBUMPB-NJUP8/edit?gid=902639746#gid=902639746"", ""CHECKING!$I""&amp;ROW(I299))"),"NOT ENCODED")</f>
        <v>NOT ENCODED</v>
      </c>
      <c r="K87" s="19" t="str">
        <f>IFERROR(__xludf.DUMMYFUNCTION("IMPORTRANGE(""https://docs.google.com/spreadsheets/d/1otQjWHjy3Rq_-7Ie_93jllGR_QbNz_QcBUMPB-NJUP8/edit?gid=902639746#gid=902639746"", ""CHECKING!$J""&amp;ROW(J299))"),"NOT ENCODED")</f>
        <v>NOT ENCODED</v>
      </c>
      <c r="L87" s="19" t="str">
        <f>IFERROR(__xludf.DUMMYFUNCTION("IMPORTRANGE(""https://docs.google.com/spreadsheets/d/1otQjWHjy3Rq_-7Ie_93jllGR_QbNz_QcBUMPB-NJUP8/edit?gid=902639746#gid=902639746"", ""CHECKING!$K""&amp;ROW(K299))"),"NOT ENCODED")</f>
        <v>NOT ENCODED</v>
      </c>
      <c r="M87" s="19" t="str">
        <f>IFERROR(__xludf.DUMMYFUNCTION("IMPORTRANGE(""https://docs.google.com/spreadsheets/d/1otQjWHjy3Rq_-7Ie_93jllGR_QbNz_QcBUMPB-NJUP8/edit?gid=902639746#gid=902639746"", ""CHECKING!$L""&amp;ROW(L299))"),"NOT ENCODED")</f>
        <v>NOT ENCODED</v>
      </c>
    </row>
    <row r="88">
      <c r="A88" s="26" t="s">
        <v>19</v>
      </c>
      <c r="B88" s="27">
        <f>IFERROR(__xludf.DUMMYFUNCTION("IMPORTRANGE(""https://docs.google.com/spreadsheets/d/1sbaTJIEs8I7XTpGUl1gZ8em-J48uYWx8P9XF_jnHubM/edit?gid=91456061#gid=91456061"", ""SUMMARY!$B""&amp;ROW($B14))"),7.0)</f>
        <v>7</v>
      </c>
      <c r="C88" s="27" t="str">
        <f>IFERROR(__xludf.DUMMYFUNCTION("IMPORTRANGE(""https://docs.google.com/spreadsheets/d/1sbaTJIEs8I7XTpGUl1gZ8em-J48uYWx8P9XF_jnHubM/edit?gid=91456061#gid=91456061"", ""SUMMARY!$C""&amp;ROW($C14))"),"LAUDER")</f>
        <v>LAUDER</v>
      </c>
      <c r="D88" s="28" t="str">
        <f>IFERROR(__xludf.DUMMYFUNCTION("IMPORTRANGE(""https://docs.google.com/spreadsheets/d/1sbaTJIEs8I7XTpGUl1gZ8em-J48uYWx8P9XF_jnHubM/edit?gid=91456061#gid=91456061"", ""SUMMARY!$F""&amp;ROW($F14))"),"ABM")</f>
        <v>ABM</v>
      </c>
      <c r="E88" s="29" t="str">
        <f>IFERROR(__xludf.DUMMYFUNCTION("IMPORTRANGE(""https://docs.google.com/spreadsheets/d/1sbaTJIEs8I7XTpGUl1gZ8em-J48uYWx8P9XF_jnHubM/edit?gid=91456061#gid=91456061"", ""SUMMARY!$D""&amp;ROW($D14))"),"MARIE ANTONETTE L. LERUM")</f>
        <v>MARIE ANTONETTE L. LERUM</v>
      </c>
      <c r="F88" s="29" t="str">
        <f>IFERROR(__xludf.DUMMYFUNCTION("IMPORTRANGE(""https://docs.google.com/spreadsheets/d/1sbaTJIEs8I7XTpGUl1gZ8em-J48uYWx8P9XF_jnHubM/edit?gid=91456061#gid=91456061"", ""SUMMARY!$E""&amp;ROW($E14))"),"ABM")</f>
        <v>ABM</v>
      </c>
      <c r="G88" s="19" t="str">
        <f>IFERROR(__xludf.DUMMYFUNCTION("IMPORTRANGE(""https://docs.google.com/spreadsheets/d/1otQjWHjy3Rq_-7Ie_93jllGR_QbNz_QcBUMPB-NJUP8/edit?gid=902639746#gid=902639746"", ""CHECKING!$F""&amp;COLUMN(F300))"),"ENCODED")</f>
        <v>ENCODED</v>
      </c>
      <c r="H88" s="19" t="str">
        <f>IFERROR(__xludf.DUMMYFUNCTION("IMPORTRANGE(""https://docs.google.com/spreadsheets/d/1otQjWHjy3Rq_-7Ie_93jllGR_QbNz_QcBUMPB-NJUP8/edit?gid=902639746#gid=902639746"", ""CHECKING!$G""&amp;ROW(G300))"),"ENCODED")</f>
        <v>ENCODED</v>
      </c>
      <c r="I88" s="19" t="str">
        <f>IFERROR(__xludf.DUMMYFUNCTION("IMPORTRANGE(""https://docs.google.com/spreadsheets/d/1otQjWHjy3Rq_-7Ie_93jllGR_QbNz_QcBUMPB-NJUP8/edit?gid=902639746#gid=902639746"", ""CHECKING!$H""&amp;ROW(H300))"),"ENCODED")</f>
        <v>ENCODED</v>
      </c>
      <c r="J88" s="19" t="str">
        <f>IFERROR(__xludf.DUMMYFUNCTION("IMPORTRANGE(""https://docs.google.com/spreadsheets/d/1otQjWHjy3Rq_-7Ie_93jllGR_QbNz_QcBUMPB-NJUP8/edit?gid=902639746#gid=902639746"", ""CHECKING!$I""&amp;ROW(I300))"),"ENCODED")</f>
        <v>ENCODED</v>
      </c>
      <c r="K88" s="19" t="str">
        <f>IFERROR(__xludf.DUMMYFUNCTION("IMPORTRANGE(""https://docs.google.com/spreadsheets/d/1otQjWHjy3Rq_-7Ie_93jllGR_QbNz_QcBUMPB-NJUP8/edit?gid=902639746#gid=902639746"", ""CHECKING!$J""&amp;ROW(J300))"),"NOT ENCODED")</f>
        <v>NOT ENCODED</v>
      </c>
      <c r="L88" s="19" t="str">
        <f>IFERROR(__xludf.DUMMYFUNCTION("IMPORTRANGE(""https://docs.google.com/spreadsheets/d/1otQjWHjy3Rq_-7Ie_93jllGR_QbNz_QcBUMPB-NJUP8/edit?gid=902639746#gid=902639746"", ""CHECKING!$K""&amp;ROW(K300))"),"NOT ENCODED")</f>
        <v>NOT ENCODED</v>
      </c>
      <c r="M88" s="19" t="str">
        <f>IFERROR(__xludf.DUMMYFUNCTION("IMPORTRANGE(""https://docs.google.com/spreadsheets/d/1otQjWHjy3Rq_-7Ie_93jllGR_QbNz_QcBUMPB-NJUP8/edit?gid=902639746#gid=902639746"", ""CHECKING!$L""&amp;ROW(L300))"),"NOT ENCODED")</f>
        <v>NOT ENCODED</v>
      </c>
    </row>
    <row r="89">
      <c r="A89" s="26" t="s">
        <v>19</v>
      </c>
      <c r="B89" s="27">
        <f>IFERROR(__xludf.DUMMYFUNCTION("IMPORTRANGE(""https://docs.google.com/spreadsheets/d/1sbaTJIEs8I7XTpGUl1gZ8em-J48uYWx8P9XF_jnHubM/edit?gid=91456061#gid=91456061"", ""SUMMARY!$B""&amp;ROW($B15))"),8.0)</f>
        <v>8</v>
      </c>
      <c r="C89" s="27" t="str">
        <f>IFERROR(__xludf.DUMMYFUNCTION("IMPORTRANGE(""https://docs.google.com/spreadsheets/d/1sbaTJIEs8I7XTpGUl1gZ8em-J48uYWx8P9XF_jnHubM/edit?gid=91456061#gid=91456061"", ""SUMMARY!$C""&amp;ROW($C15))"),"MORGAN")</f>
        <v>MORGAN</v>
      </c>
      <c r="D89" s="28" t="str">
        <f>IFERROR(__xludf.DUMMYFUNCTION("IMPORTRANGE(""https://docs.google.com/spreadsheets/d/1sbaTJIEs8I7XTpGUl1gZ8em-J48uYWx8P9XF_jnHubM/edit?gid=91456061#gid=91456061"", ""SUMMARY!$F""&amp;ROW($F15))"),"ABM")</f>
        <v>ABM</v>
      </c>
      <c r="E89" s="29" t="str">
        <f>IFERROR(__xludf.DUMMYFUNCTION("IMPORTRANGE(""https://docs.google.com/spreadsheets/d/1sbaTJIEs8I7XTpGUl1gZ8em-J48uYWx8P9XF_jnHubM/edit?gid=91456061#gid=91456061"", ""SUMMARY!$D""&amp;ROW($D15))"),"CHRISTIAN JOY G. CALAZAN")</f>
        <v>CHRISTIAN JOY G. CALAZAN</v>
      </c>
      <c r="F89" s="29" t="str">
        <f>IFERROR(__xludf.DUMMYFUNCTION("IMPORTRANGE(""https://docs.google.com/spreadsheets/d/1sbaTJIEs8I7XTpGUl1gZ8em-J48uYWx8P9XF_jnHubM/edit?gid=91456061#gid=91456061"", ""SUMMARY!$E""&amp;ROW($E15))"),"FILIPINO")</f>
        <v>FILIPINO</v>
      </c>
      <c r="G89" s="19" t="str">
        <f>IFERROR(__xludf.DUMMYFUNCTION("IMPORTRANGE(""https://docs.google.com/spreadsheets/d/1otQjWHjy3Rq_-7Ie_93jllGR_QbNz_QcBUMPB-NJUP8/edit?gid=902639746#gid=902639746"", ""CHECKING!$F""&amp;COLUMN(F301))"),"ENCODED")</f>
        <v>ENCODED</v>
      </c>
      <c r="H89" s="19" t="str">
        <f>IFERROR(__xludf.DUMMYFUNCTION("IMPORTRANGE(""https://docs.google.com/spreadsheets/d/1otQjWHjy3Rq_-7Ie_93jllGR_QbNz_QcBUMPB-NJUP8/edit?gid=902639746#gid=902639746"", ""CHECKING!$G""&amp;ROW(G301))"),"ENCODED")</f>
        <v>ENCODED</v>
      </c>
      <c r="I89" s="19" t="str">
        <f>IFERROR(__xludf.DUMMYFUNCTION("IMPORTRANGE(""https://docs.google.com/spreadsheets/d/1otQjWHjy3Rq_-7Ie_93jllGR_QbNz_QcBUMPB-NJUP8/edit?gid=902639746#gid=902639746"", ""CHECKING!$H""&amp;ROW(H301))"),"ENCODED")</f>
        <v>ENCODED</v>
      </c>
      <c r="J89" s="19" t="str">
        <f>IFERROR(__xludf.DUMMYFUNCTION("IMPORTRANGE(""https://docs.google.com/spreadsheets/d/1otQjWHjy3Rq_-7Ie_93jllGR_QbNz_QcBUMPB-NJUP8/edit?gid=902639746#gid=902639746"", ""CHECKING!$I""&amp;ROW(I301))"),"NOT ENCODED")</f>
        <v>NOT ENCODED</v>
      </c>
      <c r="K89" s="19" t="str">
        <f>IFERROR(__xludf.DUMMYFUNCTION("IMPORTRANGE(""https://docs.google.com/spreadsheets/d/1otQjWHjy3Rq_-7Ie_93jllGR_QbNz_QcBUMPB-NJUP8/edit?gid=902639746#gid=902639746"", ""CHECKING!$J""&amp;ROW(J301))"),"NOT ENCODED")</f>
        <v>NOT ENCODED</v>
      </c>
      <c r="L89" s="19" t="str">
        <f>IFERROR(__xludf.DUMMYFUNCTION("IMPORTRANGE(""https://docs.google.com/spreadsheets/d/1otQjWHjy3Rq_-7Ie_93jllGR_QbNz_QcBUMPB-NJUP8/edit?gid=902639746#gid=902639746"", ""CHECKING!$K""&amp;ROW(K301))"),"NOT ENCODED")</f>
        <v>NOT ENCODED</v>
      </c>
      <c r="M89" s="19" t="str">
        <f>IFERROR(__xludf.DUMMYFUNCTION("IMPORTRANGE(""https://docs.google.com/spreadsheets/d/1otQjWHjy3Rq_-7Ie_93jllGR_QbNz_QcBUMPB-NJUP8/edit?gid=902639746#gid=902639746"", ""CHECKING!$L""&amp;ROW(L301))"),"NOT ENCODED")</f>
        <v>NOT ENCODED</v>
      </c>
    </row>
    <row r="90">
      <c r="A90" s="26" t="s">
        <v>19</v>
      </c>
      <c r="B90" s="27">
        <f>IFERROR(__xludf.DUMMYFUNCTION("IMPORTRANGE(""https://docs.google.com/spreadsheets/d/1sbaTJIEs8I7XTpGUl1gZ8em-J48uYWx8P9XF_jnHubM/edit?gid=91456061#gid=91456061"", ""SUMMARY!$B""&amp;ROW($B16))"),9.0)</f>
        <v>9</v>
      </c>
      <c r="C90" s="27" t="str">
        <f>IFERROR(__xludf.DUMMYFUNCTION("IMPORTRANGE(""https://docs.google.com/spreadsheets/d/1sbaTJIEs8I7XTpGUl1gZ8em-J48uYWx8P9XF_jnHubM/edit?gid=91456061#gid=91456061"", ""SUMMARY!$C""&amp;ROW($C16))"),"NIXON")</f>
        <v>NIXON</v>
      </c>
      <c r="D90" s="28" t="str">
        <f>IFERROR(__xludf.DUMMYFUNCTION("IMPORTRANGE(""https://docs.google.com/spreadsheets/d/1sbaTJIEs8I7XTpGUl1gZ8em-J48uYWx8P9XF_jnHubM/edit?gid=91456061#gid=91456061"", ""SUMMARY!$F""&amp;ROW($F16))"),"ABM")</f>
        <v>ABM</v>
      </c>
      <c r="E90" s="29" t="str">
        <f>IFERROR(__xludf.DUMMYFUNCTION("IMPORTRANGE(""https://docs.google.com/spreadsheets/d/1sbaTJIEs8I7XTpGUl1gZ8em-J48uYWx8P9XF_jnHubM/edit?gid=91456061#gid=91456061"", ""SUMMARY!$D""&amp;ROW($D16))"),"EMMANUEL B. ELPIDES")</f>
        <v>EMMANUEL B. ELPIDES</v>
      </c>
      <c r="F90" s="29" t="str">
        <f>IFERROR(__xludf.DUMMYFUNCTION("IMPORTRANGE(""https://docs.google.com/spreadsheets/d/1sbaTJIEs8I7XTpGUl1gZ8em-J48uYWx8P9XF_jnHubM/edit?gid=91456061#gid=91456061"", ""SUMMARY!$E""&amp;ROW($E16))"),"ENGLISH")</f>
        <v>ENGLISH</v>
      </c>
      <c r="G90" s="19" t="str">
        <f>IFERROR(__xludf.DUMMYFUNCTION("IMPORTRANGE(""https://docs.google.com/spreadsheets/d/1otQjWHjy3Rq_-7Ie_93jllGR_QbNz_QcBUMPB-NJUP8/edit?gid=902639746#gid=902639746"", ""CHECKING!$F""&amp;COLUMN(F302))"),"ENCODED")</f>
        <v>ENCODED</v>
      </c>
      <c r="H90" s="19" t="str">
        <f>IFERROR(__xludf.DUMMYFUNCTION("IMPORTRANGE(""https://docs.google.com/spreadsheets/d/1otQjWHjy3Rq_-7Ie_93jllGR_QbNz_QcBUMPB-NJUP8/edit?gid=902639746#gid=902639746"", ""CHECKING!$G""&amp;ROW(G302))"),"ENCODED")</f>
        <v>ENCODED</v>
      </c>
      <c r="I90" s="19" t="str">
        <f>IFERROR(__xludf.DUMMYFUNCTION("IMPORTRANGE(""https://docs.google.com/spreadsheets/d/1otQjWHjy3Rq_-7Ie_93jllGR_QbNz_QcBUMPB-NJUP8/edit?gid=902639746#gid=902639746"", ""CHECKING!$H""&amp;ROW(H302))"),"ENCODED")</f>
        <v>ENCODED</v>
      </c>
      <c r="J90" s="19" t="str">
        <f>IFERROR(__xludf.DUMMYFUNCTION("IMPORTRANGE(""https://docs.google.com/spreadsheets/d/1otQjWHjy3Rq_-7Ie_93jllGR_QbNz_QcBUMPB-NJUP8/edit?gid=902639746#gid=902639746"", ""CHECKING!$I""&amp;ROW(I302))"),"ENCODED")</f>
        <v>ENCODED</v>
      </c>
      <c r="K90" s="19" t="str">
        <f>IFERROR(__xludf.DUMMYFUNCTION("IMPORTRANGE(""https://docs.google.com/spreadsheets/d/1otQjWHjy3Rq_-7Ie_93jllGR_QbNz_QcBUMPB-NJUP8/edit?gid=902639746#gid=902639746"", ""CHECKING!$J""&amp;ROW(J302))"),"NOT ENCODED")</f>
        <v>NOT ENCODED</v>
      </c>
      <c r="L90" s="19" t="str">
        <f>IFERROR(__xludf.DUMMYFUNCTION("IMPORTRANGE(""https://docs.google.com/spreadsheets/d/1otQjWHjy3Rq_-7Ie_93jllGR_QbNz_QcBUMPB-NJUP8/edit?gid=902639746#gid=902639746"", ""CHECKING!$K""&amp;ROW(K302))"),"NOT ENCODED")</f>
        <v>NOT ENCODED</v>
      </c>
      <c r="M90" s="19" t="str">
        <f>IFERROR(__xludf.DUMMYFUNCTION("IMPORTRANGE(""https://docs.google.com/spreadsheets/d/1otQjWHjy3Rq_-7Ie_93jllGR_QbNz_QcBUMPB-NJUP8/edit?gid=902639746#gid=902639746"", ""CHECKING!$L""&amp;ROW(L302))"),"NOT ENCODED")</f>
        <v>NOT ENCODED</v>
      </c>
    </row>
    <row r="91">
      <c r="A91" s="26" t="s">
        <v>19</v>
      </c>
      <c r="B91" s="27">
        <f>IFERROR(__xludf.DUMMYFUNCTION("IMPORTRANGE(""https://docs.google.com/spreadsheets/d/1sbaTJIEs8I7XTpGUl1gZ8em-J48uYWx8P9XF_jnHubM/edit?gid=91456061#gid=91456061"", ""SUMMARY!$B""&amp;ROW($B17))"),10.0)</f>
        <v>10</v>
      </c>
      <c r="C91" s="27" t="str">
        <f>IFERROR(__xludf.DUMMYFUNCTION("IMPORTRANGE(""https://docs.google.com/spreadsheets/d/1sbaTJIEs8I7XTpGUl1gZ8em-J48uYWx8P9XF_jnHubM/edit?gid=91456061#gid=91456061"", ""SUMMARY!$C""&amp;ROW($C17))"),"ROCKEFELLER")</f>
        <v>ROCKEFELLER</v>
      </c>
      <c r="D91" s="28" t="str">
        <f>IFERROR(__xludf.DUMMYFUNCTION("IMPORTRANGE(""https://docs.google.com/spreadsheets/d/1sbaTJIEs8I7XTpGUl1gZ8em-J48uYWx8P9XF_jnHubM/edit?gid=91456061#gid=91456061"", ""SUMMARY!$F""&amp;ROW($F17))"),"ABM")</f>
        <v>ABM</v>
      </c>
      <c r="E91" s="29" t="str">
        <f>IFERROR(__xludf.DUMMYFUNCTION("IMPORTRANGE(""https://docs.google.com/spreadsheets/d/1sbaTJIEs8I7XTpGUl1gZ8em-J48uYWx8P9XF_jnHubM/edit?gid=91456061#gid=91456061"", ""SUMMARY!$D""&amp;ROW($D17))"),"CHARISSA D. MENDOZA")</f>
        <v>CHARISSA D. MENDOZA</v>
      </c>
      <c r="F91" s="29" t="str">
        <f>IFERROR(__xludf.DUMMYFUNCTION("IMPORTRANGE(""https://docs.google.com/spreadsheets/d/1sbaTJIEs8I7XTpGUl1gZ8em-J48uYWx8P9XF_jnHubM/edit?gid=91456061#gid=91456061"", ""SUMMARY!$E""&amp;ROW($E17))"),"ABM")</f>
        <v>ABM</v>
      </c>
      <c r="G91" s="19" t="str">
        <f>IFERROR(__xludf.DUMMYFUNCTION("IMPORTRANGE(""https://docs.google.com/spreadsheets/d/1otQjWHjy3Rq_-7Ie_93jllGR_QbNz_QcBUMPB-NJUP8/edit?gid=902639746#gid=902639746"", ""CHECKING!$F""&amp;COLUMN(F303))"),"ENCODED")</f>
        <v>ENCODED</v>
      </c>
      <c r="H91" s="19" t="str">
        <f>IFERROR(__xludf.DUMMYFUNCTION("IMPORTRANGE(""https://docs.google.com/spreadsheets/d/1otQjWHjy3Rq_-7Ie_93jllGR_QbNz_QcBUMPB-NJUP8/edit?gid=902639746#gid=902639746"", ""CHECKING!$G""&amp;ROW(G303))"),"ENCODED")</f>
        <v>ENCODED</v>
      </c>
      <c r="I91" s="19" t="str">
        <f>IFERROR(__xludf.DUMMYFUNCTION("IMPORTRANGE(""https://docs.google.com/spreadsheets/d/1otQjWHjy3Rq_-7Ie_93jllGR_QbNz_QcBUMPB-NJUP8/edit?gid=902639746#gid=902639746"", ""CHECKING!$H""&amp;ROW(H303))"),"ENCODED")</f>
        <v>ENCODED</v>
      </c>
      <c r="J91" s="19" t="str">
        <f>IFERROR(__xludf.DUMMYFUNCTION("IMPORTRANGE(""https://docs.google.com/spreadsheets/d/1otQjWHjy3Rq_-7Ie_93jllGR_QbNz_QcBUMPB-NJUP8/edit?gid=902639746#gid=902639746"", ""CHECKING!$I""&amp;ROW(I303))"),"NOT ENCODED")</f>
        <v>NOT ENCODED</v>
      </c>
      <c r="K91" s="19" t="str">
        <f>IFERROR(__xludf.DUMMYFUNCTION("IMPORTRANGE(""https://docs.google.com/spreadsheets/d/1otQjWHjy3Rq_-7Ie_93jllGR_QbNz_QcBUMPB-NJUP8/edit?gid=902639746#gid=902639746"", ""CHECKING!$J""&amp;ROW(J303))"),"NOT ENCODED")</f>
        <v>NOT ENCODED</v>
      </c>
      <c r="L91" s="19" t="str">
        <f>IFERROR(__xludf.DUMMYFUNCTION("IMPORTRANGE(""https://docs.google.com/spreadsheets/d/1otQjWHjy3Rq_-7Ie_93jllGR_QbNz_QcBUMPB-NJUP8/edit?gid=902639746#gid=902639746"", ""CHECKING!$K""&amp;ROW(K303))"),"NOT ENCODED")</f>
        <v>NOT ENCODED</v>
      </c>
      <c r="M91" s="19" t="str">
        <f>IFERROR(__xludf.DUMMYFUNCTION("IMPORTRANGE(""https://docs.google.com/spreadsheets/d/1otQjWHjy3Rq_-7Ie_93jllGR_QbNz_QcBUMPB-NJUP8/edit?gid=902639746#gid=902639746"", ""CHECKING!$L""&amp;ROW(L303))"),"NOT ENCODED")</f>
        <v>NOT ENCODED</v>
      </c>
    </row>
    <row r="92">
      <c r="A92" s="26" t="s">
        <v>19</v>
      </c>
      <c r="B92" s="27">
        <f>IFERROR(__xludf.DUMMYFUNCTION("IMPORTRANGE(""https://docs.google.com/spreadsheets/d/1sbaTJIEs8I7XTpGUl1gZ8em-J48uYWx8P9XF_jnHubM/edit?gid=91456061#gid=91456061"", ""SUMMARY!$B""&amp;ROW($B18))"),11.0)</f>
        <v>11</v>
      </c>
      <c r="C92" s="27" t="str">
        <f>IFERROR(__xludf.DUMMYFUNCTION("IMPORTRANGE(""https://docs.google.com/spreadsheets/d/1sbaTJIEs8I7XTpGUl1gZ8em-J48uYWx8P9XF_jnHubM/edit?gid=91456061#gid=91456061"", ""SUMMARY!$C""&amp;ROW($C18))"),"TURNER")</f>
        <v>TURNER</v>
      </c>
      <c r="D92" s="28" t="str">
        <f>IFERROR(__xludf.DUMMYFUNCTION("IMPORTRANGE(""https://docs.google.com/spreadsheets/d/1sbaTJIEs8I7XTpGUl1gZ8em-J48uYWx8P9XF_jnHubM/edit?gid=91456061#gid=91456061"", ""SUMMARY!$F""&amp;ROW($F18))"),"ABM")</f>
        <v>ABM</v>
      </c>
      <c r="E92" s="29" t="str">
        <f>IFERROR(__xludf.DUMMYFUNCTION("IMPORTRANGE(""https://docs.google.com/spreadsheets/d/1sbaTJIEs8I7XTpGUl1gZ8em-J48uYWx8P9XF_jnHubM/edit?gid=91456061#gid=91456061"", ""SUMMARY!$D""&amp;ROW($D18))"),"MA. CRISTINA B. SILVANO")</f>
        <v>MA. CRISTINA B. SILVANO</v>
      </c>
      <c r="F92" s="29" t="str">
        <f>IFERROR(__xludf.DUMMYFUNCTION("IMPORTRANGE(""https://docs.google.com/spreadsheets/d/1sbaTJIEs8I7XTpGUl1gZ8em-J48uYWx8P9XF_jnHubM/edit?gid=91456061#gid=91456061"", ""SUMMARY!$E""&amp;ROW($E18))"),"ENGLISH")</f>
        <v>ENGLISH</v>
      </c>
      <c r="G92" s="19" t="str">
        <f>IFERROR(__xludf.DUMMYFUNCTION("IMPORTRANGE(""https://docs.google.com/spreadsheets/d/1otQjWHjy3Rq_-7Ie_93jllGR_QbNz_QcBUMPB-NJUP8/edit?gid=902639746#gid=902639746"", ""CHECKING!$F""&amp;COLUMN(F304))"),"ENCODED")</f>
        <v>ENCODED</v>
      </c>
      <c r="H92" s="19" t="str">
        <f>IFERROR(__xludf.DUMMYFUNCTION("IMPORTRANGE(""https://docs.google.com/spreadsheets/d/1otQjWHjy3Rq_-7Ie_93jllGR_QbNz_QcBUMPB-NJUP8/edit?gid=902639746#gid=902639746"", ""CHECKING!$G""&amp;ROW(G304))"),"ENCODED")</f>
        <v>ENCODED</v>
      </c>
      <c r="I92" s="19" t="str">
        <f>IFERROR(__xludf.DUMMYFUNCTION("IMPORTRANGE(""https://docs.google.com/spreadsheets/d/1otQjWHjy3Rq_-7Ie_93jllGR_QbNz_QcBUMPB-NJUP8/edit?gid=902639746#gid=902639746"", ""CHECKING!$H""&amp;ROW(H304))"),"ENCODED")</f>
        <v>ENCODED</v>
      </c>
      <c r="J92" s="19" t="str">
        <f>IFERROR(__xludf.DUMMYFUNCTION("IMPORTRANGE(""https://docs.google.com/spreadsheets/d/1otQjWHjy3Rq_-7Ie_93jllGR_QbNz_QcBUMPB-NJUP8/edit?gid=902639746#gid=902639746"", ""CHECKING!$I""&amp;ROW(I304))"),"NOT ENCODED")</f>
        <v>NOT ENCODED</v>
      </c>
      <c r="K92" s="19" t="str">
        <f>IFERROR(__xludf.DUMMYFUNCTION("IMPORTRANGE(""https://docs.google.com/spreadsheets/d/1otQjWHjy3Rq_-7Ie_93jllGR_QbNz_QcBUMPB-NJUP8/edit?gid=902639746#gid=902639746"", ""CHECKING!$J""&amp;ROW(J304))"),"NOT ENCODED")</f>
        <v>NOT ENCODED</v>
      </c>
      <c r="L92" s="19" t="str">
        <f>IFERROR(__xludf.DUMMYFUNCTION("IMPORTRANGE(""https://docs.google.com/spreadsheets/d/1otQjWHjy3Rq_-7Ie_93jllGR_QbNz_QcBUMPB-NJUP8/edit?gid=902639746#gid=902639746"", ""CHECKING!$K""&amp;ROW(K304))"),"NOT ENCODED")</f>
        <v>NOT ENCODED</v>
      </c>
      <c r="M92" s="19" t="str">
        <f>IFERROR(__xludf.DUMMYFUNCTION("IMPORTRANGE(""https://docs.google.com/spreadsheets/d/1otQjWHjy3Rq_-7Ie_93jllGR_QbNz_QcBUMPB-NJUP8/edit?gid=902639746#gid=902639746"", ""CHECKING!$L""&amp;ROW(L304))"),"NOT ENCODED")</f>
        <v>NOT ENCODED</v>
      </c>
    </row>
    <row r="93">
      <c r="A93" s="26" t="s">
        <v>19</v>
      </c>
      <c r="B93" s="27">
        <f>IFERROR(__xludf.DUMMYFUNCTION("IMPORTRANGE(""https://docs.google.com/spreadsheets/d/1sbaTJIEs8I7XTpGUl1gZ8em-J48uYWx8P9XF_jnHubM/edit?gid=91456061#gid=91456061"", ""SUMMARY!$B""&amp;ROW($B19))"),12.0)</f>
        <v>12</v>
      </c>
      <c r="C93" s="27" t="str">
        <f>IFERROR(__xludf.DUMMYFUNCTION("IMPORTRANGE(""https://docs.google.com/spreadsheets/d/1sbaTJIEs8I7XTpGUl1gZ8em-J48uYWx8P9XF_jnHubM/edit?gid=91456061#gid=91456061"", ""SUMMARY!$C""&amp;ROW($C19))"),"VANDERBILT")</f>
        <v>VANDERBILT</v>
      </c>
      <c r="D93" s="28" t="str">
        <f>IFERROR(__xludf.DUMMYFUNCTION("IMPORTRANGE(""https://docs.google.com/spreadsheets/d/1sbaTJIEs8I7XTpGUl1gZ8em-J48uYWx8P9XF_jnHubM/edit?gid=91456061#gid=91456061"", ""SUMMARY!$F""&amp;ROW($F19))"),"ABM")</f>
        <v>ABM</v>
      </c>
      <c r="E93" s="29" t="str">
        <f>IFERROR(__xludf.DUMMYFUNCTION("IMPORTRANGE(""https://docs.google.com/spreadsheets/d/1sbaTJIEs8I7XTpGUl1gZ8em-J48uYWx8P9XF_jnHubM/edit?gid=91456061#gid=91456061"", ""SUMMARY!$D""&amp;ROW($D19))"),"CRISLYN A. DEL CASTILLO")</f>
        <v>CRISLYN A. DEL CASTILLO</v>
      </c>
      <c r="F93" s="29" t="str">
        <f>IFERROR(__xludf.DUMMYFUNCTION("IMPORTRANGE(""https://docs.google.com/spreadsheets/d/1sbaTJIEs8I7XTpGUl1gZ8em-J48uYWx8P9XF_jnHubM/edit?gid=91456061#gid=91456061"", ""SUMMARY!$E""&amp;ROW($E19))"),"ENGLISH")</f>
        <v>ENGLISH</v>
      </c>
      <c r="G93" s="19" t="str">
        <f>IFERROR(__xludf.DUMMYFUNCTION("IMPORTRANGE(""https://docs.google.com/spreadsheets/d/1otQjWHjy3Rq_-7Ie_93jllGR_QbNz_QcBUMPB-NJUP8/edit?gid=902639746#gid=902639746"", ""CHECKING!$F""&amp;COLUMN(F305))"),"ENCODED")</f>
        <v>ENCODED</v>
      </c>
      <c r="H93" s="19" t="str">
        <f>IFERROR(__xludf.DUMMYFUNCTION("IMPORTRANGE(""https://docs.google.com/spreadsheets/d/1otQjWHjy3Rq_-7Ie_93jllGR_QbNz_QcBUMPB-NJUP8/edit?gid=902639746#gid=902639746"", ""CHECKING!$G""&amp;ROW(G305))"),"ENCODED")</f>
        <v>ENCODED</v>
      </c>
      <c r="I93" s="19" t="str">
        <f>IFERROR(__xludf.DUMMYFUNCTION("IMPORTRANGE(""https://docs.google.com/spreadsheets/d/1otQjWHjy3Rq_-7Ie_93jllGR_QbNz_QcBUMPB-NJUP8/edit?gid=902639746#gid=902639746"", ""CHECKING!$H""&amp;ROW(H305))"),"ENCODED")</f>
        <v>ENCODED</v>
      </c>
      <c r="J93" s="19" t="str">
        <f>IFERROR(__xludf.DUMMYFUNCTION("IMPORTRANGE(""https://docs.google.com/spreadsheets/d/1otQjWHjy3Rq_-7Ie_93jllGR_QbNz_QcBUMPB-NJUP8/edit?gid=902639746#gid=902639746"", ""CHECKING!$I""&amp;ROW(I305))"),"NOT ENCODED")</f>
        <v>NOT ENCODED</v>
      </c>
      <c r="K93" s="19" t="str">
        <f>IFERROR(__xludf.DUMMYFUNCTION("IMPORTRANGE(""https://docs.google.com/spreadsheets/d/1otQjWHjy3Rq_-7Ie_93jllGR_QbNz_QcBUMPB-NJUP8/edit?gid=902639746#gid=902639746"", ""CHECKING!$J""&amp;ROW(J305))"),"NOT ENCODED")</f>
        <v>NOT ENCODED</v>
      </c>
      <c r="L93" s="19" t="str">
        <f>IFERROR(__xludf.DUMMYFUNCTION("IMPORTRANGE(""https://docs.google.com/spreadsheets/d/1otQjWHjy3Rq_-7Ie_93jllGR_QbNz_QcBUMPB-NJUP8/edit?gid=902639746#gid=902639746"", ""CHECKING!$K""&amp;ROW(K305))"),"NOT ENCODED")</f>
        <v>NOT ENCODED</v>
      </c>
      <c r="M93" s="19" t="str">
        <f>IFERROR(__xludf.DUMMYFUNCTION("IMPORTRANGE(""https://docs.google.com/spreadsheets/d/1otQjWHjy3Rq_-7Ie_93jllGR_QbNz_QcBUMPB-NJUP8/edit?gid=902639746#gid=902639746"", ""CHECKING!$L""&amp;ROW(L305))"),"NOT ENCODED")</f>
        <v>NOT ENCODED</v>
      </c>
    </row>
    <row r="94">
      <c r="A94" s="26" t="s">
        <v>19</v>
      </c>
      <c r="B94" s="27">
        <f>IFERROR(__xludf.DUMMYFUNCTION("IMPORTRANGE(""https://docs.google.com/spreadsheets/d/1sbaTJIEs8I7XTpGUl1gZ8em-J48uYWx8P9XF_jnHubM/edit?gid=91456061#gid=91456061"", ""SUMMARY!$B""&amp;ROW($B20))"),13.0)</f>
        <v>13</v>
      </c>
      <c r="C94" s="27" t="str">
        <f>IFERROR(__xludf.DUMMYFUNCTION("IMPORTRANGE(""https://docs.google.com/spreadsheets/d/1sbaTJIEs8I7XTpGUl1gZ8em-J48uYWx8P9XF_jnHubM/edit?gid=91456061#gid=91456061"", ""SUMMARY!$C""&amp;ROW($C20))"),"WARNER")</f>
        <v>WARNER</v>
      </c>
      <c r="D94" s="28" t="str">
        <f>IFERROR(__xludf.DUMMYFUNCTION("IMPORTRANGE(""https://docs.google.com/spreadsheets/d/1sbaTJIEs8I7XTpGUl1gZ8em-J48uYWx8P9XF_jnHubM/edit?gid=91456061#gid=91456061"", ""SUMMARY!$F""&amp;ROW($F20))"),"ABM")</f>
        <v>ABM</v>
      </c>
      <c r="E94" s="29" t="str">
        <f>IFERROR(__xludf.DUMMYFUNCTION("IMPORTRANGE(""https://docs.google.com/spreadsheets/d/1sbaTJIEs8I7XTpGUl1gZ8em-J48uYWx8P9XF_jnHubM/edit?gid=91456061#gid=91456061"", ""SUMMARY!$D""&amp;ROW($D20))"),"RHEA A. LUPOS")</f>
        <v>RHEA A. LUPOS</v>
      </c>
      <c r="F94" s="29" t="str">
        <f>IFERROR(__xludf.DUMMYFUNCTION("IMPORTRANGE(""https://docs.google.com/spreadsheets/d/1sbaTJIEs8I7XTpGUl1gZ8em-J48uYWx8P9XF_jnHubM/edit?gid=91456061#gid=91456061"", ""SUMMARY!$E""&amp;ROW($E20))"),"ABM")</f>
        <v>ABM</v>
      </c>
      <c r="G94" s="19" t="str">
        <f>IFERROR(__xludf.DUMMYFUNCTION("IMPORTRANGE(""https://docs.google.com/spreadsheets/d/1otQjWHjy3Rq_-7Ie_93jllGR_QbNz_QcBUMPB-NJUP8/edit?gid=902639746#gid=902639746"", ""CHECKING!$F""&amp;COLUMN(F306))"),"ENCODED")</f>
        <v>ENCODED</v>
      </c>
      <c r="H94" s="19" t="str">
        <f>IFERROR(__xludf.DUMMYFUNCTION("IMPORTRANGE(""https://docs.google.com/spreadsheets/d/1otQjWHjy3Rq_-7Ie_93jllGR_QbNz_QcBUMPB-NJUP8/edit?gid=902639746#gid=902639746"", ""CHECKING!$G""&amp;ROW(G306))"),"ENCODED")</f>
        <v>ENCODED</v>
      </c>
      <c r="I94" s="19" t="str">
        <f>IFERROR(__xludf.DUMMYFUNCTION("IMPORTRANGE(""https://docs.google.com/spreadsheets/d/1otQjWHjy3Rq_-7Ie_93jllGR_QbNz_QcBUMPB-NJUP8/edit?gid=902639746#gid=902639746"", ""CHECKING!$H""&amp;ROW(H306))"),"ENCODED")</f>
        <v>ENCODED</v>
      </c>
      <c r="J94" s="19" t="str">
        <f>IFERROR(__xludf.DUMMYFUNCTION("IMPORTRANGE(""https://docs.google.com/spreadsheets/d/1otQjWHjy3Rq_-7Ie_93jllGR_QbNz_QcBUMPB-NJUP8/edit?gid=902639746#gid=902639746"", ""CHECKING!$I""&amp;ROW(I306))"),"ENCODED")</f>
        <v>ENCODED</v>
      </c>
      <c r="K94" s="19" t="str">
        <f>IFERROR(__xludf.DUMMYFUNCTION("IMPORTRANGE(""https://docs.google.com/spreadsheets/d/1otQjWHjy3Rq_-7Ie_93jllGR_QbNz_QcBUMPB-NJUP8/edit?gid=902639746#gid=902639746"", ""CHECKING!$J""&amp;ROW(J306))"),"ENCODED")</f>
        <v>ENCODED</v>
      </c>
      <c r="L94" s="19" t="str">
        <f>IFERROR(__xludf.DUMMYFUNCTION("IMPORTRANGE(""https://docs.google.com/spreadsheets/d/1otQjWHjy3Rq_-7Ie_93jllGR_QbNz_QcBUMPB-NJUP8/edit?gid=902639746#gid=902639746"", ""CHECKING!$K""&amp;ROW(K306))"),"NOT ENCODED")</f>
        <v>NOT ENCODED</v>
      </c>
      <c r="M94" s="19" t="str">
        <f>IFERROR(__xludf.DUMMYFUNCTION("IMPORTRANGE(""https://docs.google.com/spreadsheets/d/1otQjWHjy3Rq_-7Ie_93jllGR_QbNz_QcBUMPB-NJUP8/edit?gid=902639746#gid=902639746"", ""CHECKING!$L""&amp;ROW(L306))"),"NOT ENCODED")</f>
        <v>NOT ENCODED</v>
      </c>
    </row>
    <row r="95">
      <c r="A95" s="26" t="s">
        <v>19</v>
      </c>
      <c r="B95" s="27">
        <f>IFERROR(__xludf.DUMMYFUNCTION("IMPORTRANGE(""https://docs.google.com/spreadsheets/d/1sbaTJIEs8I7XTpGUl1gZ8em-J48uYWx8P9XF_jnHubM/edit?gid=91456061#gid=91456061"", ""SUMMARY!$B""&amp;ROW($B21))"),14.0)</f>
        <v>14</v>
      </c>
      <c r="C95" s="27" t="str">
        <f>IFERROR(__xludf.DUMMYFUNCTION("IMPORTRANGE(""https://docs.google.com/spreadsheets/d/1sbaTJIEs8I7XTpGUl1gZ8em-J48uYWx8P9XF_jnHubM/edit?gid=91456061#gid=91456061"", ""SUMMARY!$C""&amp;ROW($C21))"),"YANAI")</f>
        <v>YANAI</v>
      </c>
      <c r="D95" s="28" t="str">
        <f>IFERROR(__xludf.DUMMYFUNCTION("IMPORTRANGE(""https://docs.google.com/spreadsheets/d/1sbaTJIEs8I7XTpGUl1gZ8em-J48uYWx8P9XF_jnHubM/edit?gid=91456061#gid=91456061"", ""SUMMARY!$F""&amp;ROW($F21))"),"ABM")</f>
        <v>ABM</v>
      </c>
      <c r="E95" s="29" t="str">
        <f>IFERROR(__xludf.DUMMYFUNCTION("IMPORTRANGE(""https://docs.google.com/spreadsheets/d/1sbaTJIEs8I7XTpGUl1gZ8em-J48uYWx8P9XF_jnHubM/edit?gid=91456061#gid=91456061"", ""SUMMARY!$D""&amp;ROW($D21))"),"ARGIE A. NAVARRO")</f>
        <v>ARGIE A. NAVARRO</v>
      </c>
      <c r="F95" s="29" t="str">
        <f>IFERROR(__xludf.DUMMYFUNCTION("IMPORTRANGE(""https://docs.google.com/spreadsheets/d/1sbaTJIEs8I7XTpGUl1gZ8em-J48uYWx8P9XF_jnHubM/edit?gid=91456061#gid=91456061"", ""SUMMARY!$E""&amp;ROW($E21))"),"ABM")</f>
        <v>ABM</v>
      </c>
      <c r="G95" s="19" t="str">
        <f>IFERROR(__xludf.DUMMYFUNCTION("IMPORTRANGE(""https://docs.google.com/spreadsheets/d/1otQjWHjy3Rq_-7Ie_93jllGR_QbNz_QcBUMPB-NJUP8/edit?gid=902639746#gid=902639746"", ""CHECKING!$F""&amp;COLUMN(F307))"),"ENCODED")</f>
        <v>ENCODED</v>
      </c>
      <c r="H95" s="19" t="str">
        <f>IFERROR(__xludf.DUMMYFUNCTION("IMPORTRANGE(""https://docs.google.com/spreadsheets/d/1otQjWHjy3Rq_-7Ie_93jllGR_QbNz_QcBUMPB-NJUP8/edit?gid=902639746#gid=902639746"", ""CHECKING!$G""&amp;ROW(G307))"),"ENCODED")</f>
        <v>ENCODED</v>
      </c>
      <c r="I95" s="19" t="str">
        <f>IFERROR(__xludf.DUMMYFUNCTION("IMPORTRANGE(""https://docs.google.com/spreadsheets/d/1otQjWHjy3Rq_-7Ie_93jllGR_QbNz_QcBUMPB-NJUP8/edit?gid=902639746#gid=902639746"", ""CHECKING!$H""&amp;ROW(H307))"),"ENCODED")</f>
        <v>ENCODED</v>
      </c>
      <c r="J95" s="19" t="str">
        <f>IFERROR(__xludf.DUMMYFUNCTION("IMPORTRANGE(""https://docs.google.com/spreadsheets/d/1otQjWHjy3Rq_-7Ie_93jllGR_QbNz_QcBUMPB-NJUP8/edit?gid=902639746#gid=902639746"", ""CHECKING!$I""&amp;ROW(I307))"),"NOT ENCODED")</f>
        <v>NOT ENCODED</v>
      </c>
      <c r="K95" s="19" t="str">
        <f>IFERROR(__xludf.DUMMYFUNCTION("IMPORTRANGE(""https://docs.google.com/spreadsheets/d/1otQjWHjy3Rq_-7Ie_93jllGR_QbNz_QcBUMPB-NJUP8/edit?gid=902639746#gid=902639746"", ""CHECKING!$J""&amp;ROW(J307))"),"NOT ENCODED")</f>
        <v>NOT ENCODED</v>
      </c>
      <c r="L95" s="19" t="str">
        <f>IFERROR(__xludf.DUMMYFUNCTION("IMPORTRANGE(""https://docs.google.com/spreadsheets/d/1otQjWHjy3Rq_-7Ie_93jllGR_QbNz_QcBUMPB-NJUP8/edit?gid=902639746#gid=902639746"", ""CHECKING!$K""&amp;ROW(K307))"),"NOT ENCODED")</f>
        <v>NOT ENCODED</v>
      </c>
      <c r="M95" s="19" t="str">
        <f>IFERROR(__xludf.DUMMYFUNCTION("IMPORTRANGE(""https://docs.google.com/spreadsheets/d/1otQjWHjy3Rq_-7Ie_93jllGR_QbNz_QcBUMPB-NJUP8/edit?gid=902639746#gid=902639746"", ""CHECKING!$L""&amp;ROW(L307))"),"NOT ENCODED")</f>
        <v>NOT ENCODED</v>
      </c>
    </row>
    <row r="96">
      <c r="A96" s="26" t="s">
        <v>19</v>
      </c>
      <c r="B96" s="27">
        <f>IFERROR(__xludf.DUMMYFUNCTION("IMPORTRANGE(""https://docs.google.com/spreadsheets/d/1sbaTJIEs8I7XTpGUl1gZ8em-J48uYWx8P9XF_jnHubM/edit?gid=91456061#gid=91456061"", ""SUMMARY!$B""&amp;ROW($B22))"),15.0)</f>
        <v>15</v>
      </c>
      <c r="C96" s="27" t="str">
        <f>IFERROR(__xludf.DUMMYFUNCTION("IMPORTRANGE(""https://docs.google.com/spreadsheets/d/1sbaTJIEs8I7XTpGUl1gZ8em-J48uYWx8P9XF_jnHubM/edit?gid=91456061#gid=91456061"", ""SUMMARY!$C""&amp;ROW($C22))"),"ARISTOTLE")</f>
        <v>ARISTOTLE</v>
      </c>
      <c r="D96" s="28" t="str">
        <f>IFERROR(__xludf.DUMMYFUNCTION("IMPORTRANGE(""https://docs.google.com/spreadsheets/d/1sbaTJIEs8I7XTpGUl1gZ8em-J48uYWx8P9XF_jnHubM/edit?gid=91456061#gid=91456061"", ""SUMMARY!$F""&amp;ROW($F22))"),"HUMSS")</f>
        <v>HUMSS</v>
      </c>
      <c r="E96" s="29" t="str">
        <f>IFERROR(__xludf.DUMMYFUNCTION("IMPORTRANGE(""https://docs.google.com/spreadsheets/d/1sbaTJIEs8I7XTpGUl1gZ8em-J48uYWx8P9XF_jnHubM/edit?gid=91456061#gid=91456061"", ""SUMMARY!$D""&amp;ROW($D22))"),"DIVINA D. BARROS")</f>
        <v>DIVINA D. BARROS</v>
      </c>
      <c r="F96" s="29" t="str">
        <f>IFERROR(__xludf.DUMMYFUNCTION("IMPORTRANGE(""https://docs.google.com/spreadsheets/d/1sbaTJIEs8I7XTpGUl1gZ8em-J48uYWx8P9XF_jnHubM/edit?gid=91456061#gid=91456061"", ""SUMMARY!$E""&amp;ROW($E22))"),"FILIPINO")</f>
        <v>FILIPINO</v>
      </c>
      <c r="G96" s="19" t="str">
        <f>IFERROR(__xludf.DUMMYFUNCTION("IMPORTRANGE(""https://docs.google.com/spreadsheets/d/1otQjWHjy3Rq_-7Ie_93jllGR_QbNz_QcBUMPB-NJUP8/edit?gid=902639746#gid=902639746"", ""CHECKING!$F""&amp;COLUMN(F308))"),"ENCODED")</f>
        <v>ENCODED</v>
      </c>
      <c r="H96" s="19" t="str">
        <f>IFERROR(__xludf.DUMMYFUNCTION("IMPORTRANGE(""https://docs.google.com/spreadsheets/d/1otQjWHjy3Rq_-7Ie_93jllGR_QbNz_QcBUMPB-NJUP8/edit?gid=902639746#gid=902639746"", ""CHECKING!$G""&amp;ROW(G308))"),"ENCODED")</f>
        <v>ENCODED</v>
      </c>
      <c r="I96" s="19" t="str">
        <f>IFERROR(__xludf.DUMMYFUNCTION("IMPORTRANGE(""https://docs.google.com/spreadsheets/d/1otQjWHjy3Rq_-7Ie_93jllGR_QbNz_QcBUMPB-NJUP8/edit?gid=902639746#gid=902639746"", ""CHECKING!$H""&amp;ROW(H308))"),"ENCODED")</f>
        <v>ENCODED</v>
      </c>
      <c r="J96" s="19" t="str">
        <f>IFERROR(__xludf.DUMMYFUNCTION("IMPORTRANGE(""https://docs.google.com/spreadsheets/d/1otQjWHjy3Rq_-7Ie_93jllGR_QbNz_QcBUMPB-NJUP8/edit?gid=902639746#gid=902639746"", ""CHECKING!$I""&amp;ROW(I308))"),"ENCODED")</f>
        <v>ENCODED</v>
      </c>
      <c r="K96" s="19" t="str">
        <f>IFERROR(__xludf.DUMMYFUNCTION("IMPORTRANGE(""https://docs.google.com/spreadsheets/d/1otQjWHjy3Rq_-7Ie_93jllGR_QbNz_QcBUMPB-NJUP8/edit?gid=902639746#gid=902639746"", ""CHECKING!$J""&amp;ROW(J308))"),"NOT ENCODED")</f>
        <v>NOT ENCODED</v>
      </c>
      <c r="L96" s="19" t="str">
        <f>IFERROR(__xludf.DUMMYFUNCTION("IMPORTRANGE(""https://docs.google.com/spreadsheets/d/1otQjWHjy3Rq_-7Ie_93jllGR_QbNz_QcBUMPB-NJUP8/edit?gid=902639746#gid=902639746"", ""CHECKING!$K""&amp;ROW(K308))"),"NOT ENCODED")</f>
        <v>NOT ENCODED</v>
      </c>
      <c r="M96" s="19" t="str">
        <f>IFERROR(__xludf.DUMMYFUNCTION("IMPORTRANGE(""https://docs.google.com/spreadsheets/d/1otQjWHjy3Rq_-7Ie_93jllGR_QbNz_QcBUMPB-NJUP8/edit?gid=902639746#gid=902639746"", ""CHECKING!$L""&amp;ROW(L308))"),"NOT ENCODED")</f>
        <v>NOT ENCODED</v>
      </c>
    </row>
    <row r="97">
      <c r="A97" s="26" t="s">
        <v>19</v>
      </c>
      <c r="B97" s="27">
        <f>IFERROR(__xludf.DUMMYFUNCTION("IMPORTRANGE(""https://docs.google.com/spreadsheets/d/1sbaTJIEs8I7XTpGUl1gZ8em-J48uYWx8P9XF_jnHubM/edit?gid=91456061#gid=91456061"", ""SUMMARY!$B""&amp;ROW($B23))"),16.0)</f>
        <v>16</v>
      </c>
      <c r="C97" s="27" t="str">
        <f>IFERROR(__xludf.DUMMYFUNCTION("IMPORTRANGE(""https://docs.google.com/spreadsheets/d/1sbaTJIEs8I7XTpGUl1gZ8em-J48uYWx8P9XF_jnHubM/edit?gid=91456061#gid=91456061"", ""SUMMARY!$C""&amp;ROW($C23))"),"BASSI")</f>
        <v>BASSI</v>
      </c>
      <c r="D97" s="28" t="str">
        <f>IFERROR(__xludf.DUMMYFUNCTION("IMPORTRANGE(""https://docs.google.com/spreadsheets/d/1sbaTJIEs8I7XTpGUl1gZ8em-J48uYWx8P9XF_jnHubM/edit?gid=91456061#gid=91456061"", ""SUMMARY!$F""&amp;ROW($F23))"),"HUMSS")</f>
        <v>HUMSS</v>
      </c>
      <c r="E97" s="29" t="str">
        <f>IFERROR(__xludf.DUMMYFUNCTION("IMPORTRANGE(""https://docs.google.com/spreadsheets/d/1sbaTJIEs8I7XTpGUl1gZ8em-J48uYWx8P9XF_jnHubM/edit?gid=91456061#gid=91456061"", ""SUMMARY!$D""&amp;ROW($D23))"),"RONNEL O. ABULOG")</f>
        <v>RONNEL O. ABULOG</v>
      </c>
      <c r="F97" s="29" t="str">
        <f>IFERROR(__xludf.DUMMYFUNCTION("IMPORTRANGE(""https://docs.google.com/spreadsheets/d/1sbaTJIEs8I7XTpGUl1gZ8em-J48uYWx8P9XF_jnHubM/edit?gid=91456061#gid=91456061"", ""SUMMARY!$E""&amp;ROW($E23))"),"ABM")</f>
        <v>ABM</v>
      </c>
      <c r="G97" s="19" t="str">
        <f>IFERROR(__xludf.DUMMYFUNCTION("IMPORTRANGE(""https://docs.google.com/spreadsheets/d/1otQjWHjy3Rq_-7Ie_93jllGR_QbNz_QcBUMPB-NJUP8/edit?gid=902639746#gid=902639746"", ""CHECKING!$F""&amp;COLUMN(F309))"),"ENCODED")</f>
        <v>ENCODED</v>
      </c>
      <c r="H97" s="19" t="str">
        <f>IFERROR(__xludf.DUMMYFUNCTION("IMPORTRANGE(""https://docs.google.com/spreadsheets/d/1otQjWHjy3Rq_-7Ie_93jllGR_QbNz_QcBUMPB-NJUP8/edit?gid=902639746#gid=902639746"", ""CHECKING!$G""&amp;ROW(G309))"),"ENCODED")</f>
        <v>ENCODED</v>
      </c>
      <c r="I97" s="19" t="str">
        <f>IFERROR(__xludf.DUMMYFUNCTION("IMPORTRANGE(""https://docs.google.com/spreadsheets/d/1otQjWHjy3Rq_-7Ie_93jllGR_QbNz_QcBUMPB-NJUP8/edit?gid=902639746#gid=902639746"", ""CHECKING!$H""&amp;ROW(H309))"),"ENCODED")</f>
        <v>ENCODED</v>
      </c>
      <c r="J97" s="19" t="str">
        <f>IFERROR(__xludf.DUMMYFUNCTION("IMPORTRANGE(""https://docs.google.com/spreadsheets/d/1otQjWHjy3Rq_-7Ie_93jllGR_QbNz_QcBUMPB-NJUP8/edit?gid=902639746#gid=902639746"", ""CHECKING!$I""&amp;ROW(I309))"),"NOT ENCODED")</f>
        <v>NOT ENCODED</v>
      </c>
      <c r="K97" s="19" t="str">
        <f>IFERROR(__xludf.DUMMYFUNCTION("IMPORTRANGE(""https://docs.google.com/spreadsheets/d/1otQjWHjy3Rq_-7Ie_93jllGR_QbNz_QcBUMPB-NJUP8/edit?gid=902639746#gid=902639746"", ""CHECKING!$J""&amp;ROW(J309))"),"NOT ENCODED")</f>
        <v>NOT ENCODED</v>
      </c>
      <c r="L97" s="19" t="str">
        <f>IFERROR(__xludf.DUMMYFUNCTION("IMPORTRANGE(""https://docs.google.com/spreadsheets/d/1otQjWHjy3Rq_-7Ie_93jllGR_QbNz_QcBUMPB-NJUP8/edit?gid=902639746#gid=902639746"", ""CHECKING!$K""&amp;ROW(K309))"),"NOT ENCODED")</f>
        <v>NOT ENCODED</v>
      </c>
      <c r="M97" s="19" t="str">
        <f>IFERROR(__xludf.DUMMYFUNCTION("IMPORTRANGE(""https://docs.google.com/spreadsheets/d/1otQjWHjy3Rq_-7Ie_93jllGR_QbNz_QcBUMPB-NJUP8/edit?gid=902639746#gid=902639746"", ""CHECKING!$L""&amp;ROW(L309))"),"NOT ENCODED")</f>
        <v>NOT ENCODED</v>
      </c>
    </row>
    <row r="98">
      <c r="A98" s="26" t="s">
        <v>19</v>
      </c>
      <c r="B98" s="27">
        <f>IFERROR(__xludf.DUMMYFUNCTION("IMPORTRANGE(""https://docs.google.com/spreadsheets/d/1sbaTJIEs8I7XTpGUl1gZ8em-J48uYWx8P9XF_jnHubM/edit?gid=91456061#gid=91456061"", ""SUMMARY!$B""&amp;ROW($B24))"),17.0)</f>
        <v>17</v>
      </c>
      <c r="C98" s="27" t="str">
        <f>IFERROR(__xludf.DUMMYFUNCTION("IMPORTRANGE(""https://docs.google.com/spreadsheets/d/1sbaTJIEs8I7XTpGUl1gZ8em-J48uYWx8P9XF_jnHubM/edit?gid=91456061#gid=91456061"", ""SUMMARY!$C""&amp;ROW($C24))"),"CHOMSKY")</f>
        <v>CHOMSKY</v>
      </c>
      <c r="D98" s="28" t="str">
        <f>IFERROR(__xludf.DUMMYFUNCTION("IMPORTRANGE(""https://docs.google.com/spreadsheets/d/1sbaTJIEs8I7XTpGUl1gZ8em-J48uYWx8P9XF_jnHubM/edit?gid=91456061#gid=91456061"", ""SUMMARY!$F""&amp;ROW($F24))"),"HUMSS")</f>
        <v>HUMSS</v>
      </c>
      <c r="E98" s="29" t="str">
        <f>IFERROR(__xludf.DUMMYFUNCTION("IMPORTRANGE(""https://docs.google.com/spreadsheets/d/1sbaTJIEs8I7XTpGUl1gZ8em-J48uYWx8P9XF_jnHubM/edit?gid=91456061#gid=91456061"", ""SUMMARY!$D""&amp;ROW($D24))"),"ALLAN C. CABALTERA")</f>
        <v>ALLAN C. CABALTERA</v>
      </c>
      <c r="F98" s="29" t="str">
        <f>IFERROR(__xludf.DUMMYFUNCTION("IMPORTRANGE(""https://docs.google.com/spreadsheets/d/1sbaTJIEs8I7XTpGUl1gZ8em-J48uYWx8P9XF_jnHubM/edit?gid=91456061#gid=91456061"", ""SUMMARY!$E""&amp;ROW($E24))"),"ENGLISH")</f>
        <v>ENGLISH</v>
      </c>
      <c r="G98" s="19" t="str">
        <f>IFERROR(__xludf.DUMMYFUNCTION("IMPORTRANGE(""https://docs.google.com/spreadsheets/d/1otQjWHjy3Rq_-7Ie_93jllGR_QbNz_QcBUMPB-NJUP8/edit?gid=902639746#gid=902639746"", ""CHECKING!$F""&amp;COLUMN(F310))"),"ENCODED")</f>
        <v>ENCODED</v>
      </c>
      <c r="H98" s="19" t="str">
        <f>IFERROR(__xludf.DUMMYFUNCTION("IMPORTRANGE(""https://docs.google.com/spreadsheets/d/1otQjWHjy3Rq_-7Ie_93jllGR_QbNz_QcBUMPB-NJUP8/edit?gid=902639746#gid=902639746"", ""CHECKING!$G""&amp;ROW(G310))"),"ENCODED")</f>
        <v>ENCODED</v>
      </c>
      <c r="I98" s="19" t="str">
        <f>IFERROR(__xludf.DUMMYFUNCTION("IMPORTRANGE(""https://docs.google.com/spreadsheets/d/1otQjWHjy3Rq_-7Ie_93jllGR_QbNz_QcBUMPB-NJUP8/edit?gid=902639746#gid=902639746"", ""CHECKING!$H""&amp;ROW(H310))"),"ENCODED")</f>
        <v>ENCODED</v>
      </c>
      <c r="J98" s="19" t="str">
        <f>IFERROR(__xludf.DUMMYFUNCTION("IMPORTRANGE(""https://docs.google.com/spreadsheets/d/1otQjWHjy3Rq_-7Ie_93jllGR_QbNz_QcBUMPB-NJUP8/edit?gid=902639746#gid=902639746"", ""CHECKING!$I""&amp;ROW(I310))"),"ENCODED")</f>
        <v>ENCODED</v>
      </c>
      <c r="K98" s="19" t="str">
        <f>IFERROR(__xludf.DUMMYFUNCTION("IMPORTRANGE(""https://docs.google.com/spreadsheets/d/1otQjWHjy3Rq_-7Ie_93jllGR_QbNz_QcBUMPB-NJUP8/edit?gid=902639746#gid=902639746"", ""CHECKING!$J""&amp;ROW(J310))"),"NOT ENCODED")</f>
        <v>NOT ENCODED</v>
      </c>
      <c r="L98" s="19" t="str">
        <f>IFERROR(__xludf.DUMMYFUNCTION("IMPORTRANGE(""https://docs.google.com/spreadsheets/d/1otQjWHjy3Rq_-7Ie_93jllGR_QbNz_QcBUMPB-NJUP8/edit?gid=902639746#gid=902639746"", ""CHECKING!$K""&amp;ROW(K310))"),"NOT ENCODED")</f>
        <v>NOT ENCODED</v>
      </c>
      <c r="M98" s="19" t="str">
        <f>IFERROR(__xludf.DUMMYFUNCTION("IMPORTRANGE(""https://docs.google.com/spreadsheets/d/1otQjWHjy3Rq_-7Ie_93jllGR_QbNz_QcBUMPB-NJUP8/edit?gid=902639746#gid=902639746"", ""CHECKING!$L""&amp;ROW(L310))"),"NOT ENCODED")</f>
        <v>NOT ENCODED</v>
      </c>
    </row>
    <row r="99">
      <c r="A99" s="26" t="s">
        <v>19</v>
      </c>
      <c r="B99" s="27">
        <f>IFERROR(__xludf.DUMMYFUNCTION("IMPORTRANGE(""https://docs.google.com/spreadsheets/d/1sbaTJIEs8I7XTpGUl1gZ8em-J48uYWx8P9XF_jnHubM/edit?gid=91456061#gid=91456061"", ""SUMMARY!$B""&amp;ROW($B25))"),18.0)</f>
        <v>18</v>
      </c>
      <c r="C99" s="27" t="str">
        <f>IFERROR(__xludf.DUMMYFUNCTION("IMPORTRANGE(""https://docs.google.com/spreadsheets/d/1sbaTJIEs8I7XTpGUl1gZ8em-J48uYWx8P9XF_jnHubM/edit?gid=91456061#gid=91456061"", ""SUMMARY!$C""&amp;ROW($C25))"),"DESCARTES")</f>
        <v>DESCARTES</v>
      </c>
      <c r="D99" s="28" t="str">
        <f>IFERROR(__xludf.DUMMYFUNCTION("IMPORTRANGE(""https://docs.google.com/spreadsheets/d/1sbaTJIEs8I7XTpGUl1gZ8em-J48uYWx8P9XF_jnHubM/edit?gid=91456061#gid=91456061"", ""SUMMARY!$F""&amp;ROW($F25))"),"HUMSS")</f>
        <v>HUMSS</v>
      </c>
      <c r="E99" s="29" t="str">
        <f>IFERROR(__xludf.DUMMYFUNCTION("IMPORTRANGE(""https://docs.google.com/spreadsheets/d/1sbaTJIEs8I7XTpGUl1gZ8em-J48uYWx8P9XF_jnHubM/edit?gid=91456061#gid=91456061"", ""SUMMARY!$D""&amp;ROW($D25))"),"AMYTHEL A. FRANCISCO")</f>
        <v>AMYTHEL A. FRANCISCO</v>
      </c>
      <c r="F99" s="29" t="str">
        <f>IFERROR(__xludf.DUMMYFUNCTION("IMPORTRANGE(""https://docs.google.com/spreadsheets/d/1sbaTJIEs8I7XTpGUl1gZ8em-J48uYWx8P9XF_jnHubM/edit?gid=91456061#gid=91456061"", ""SUMMARY!$E""&amp;ROW($E25))"),"ENGLISH")</f>
        <v>ENGLISH</v>
      </c>
      <c r="G99" s="19" t="str">
        <f>IFERROR(__xludf.DUMMYFUNCTION("IMPORTRANGE(""https://docs.google.com/spreadsheets/d/1otQjWHjy3Rq_-7Ie_93jllGR_QbNz_QcBUMPB-NJUP8/edit?gid=902639746#gid=902639746"", ""CHECKING!$F""&amp;COLUMN(F311))"),"ENCODED")</f>
        <v>ENCODED</v>
      </c>
      <c r="H99" s="19" t="str">
        <f>IFERROR(__xludf.DUMMYFUNCTION("IMPORTRANGE(""https://docs.google.com/spreadsheets/d/1otQjWHjy3Rq_-7Ie_93jllGR_QbNz_QcBUMPB-NJUP8/edit?gid=902639746#gid=902639746"", ""CHECKING!$G""&amp;ROW(G311))"),"ENCODED")</f>
        <v>ENCODED</v>
      </c>
      <c r="I99" s="19" t="str">
        <f>IFERROR(__xludf.DUMMYFUNCTION("IMPORTRANGE(""https://docs.google.com/spreadsheets/d/1otQjWHjy3Rq_-7Ie_93jllGR_QbNz_QcBUMPB-NJUP8/edit?gid=902639746#gid=902639746"", ""CHECKING!$H""&amp;ROW(H311))"),"ENCODED")</f>
        <v>ENCODED</v>
      </c>
      <c r="J99" s="19" t="str">
        <f>IFERROR(__xludf.DUMMYFUNCTION("IMPORTRANGE(""https://docs.google.com/spreadsheets/d/1otQjWHjy3Rq_-7Ie_93jllGR_QbNz_QcBUMPB-NJUP8/edit?gid=902639746#gid=902639746"", ""CHECKING!$I""&amp;ROW(I311))"),"NOT ENCODED")</f>
        <v>NOT ENCODED</v>
      </c>
      <c r="K99" s="19" t="str">
        <f>IFERROR(__xludf.DUMMYFUNCTION("IMPORTRANGE(""https://docs.google.com/spreadsheets/d/1otQjWHjy3Rq_-7Ie_93jllGR_QbNz_QcBUMPB-NJUP8/edit?gid=902639746#gid=902639746"", ""CHECKING!$J""&amp;ROW(J311))"),"NOT ENCODED")</f>
        <v>NOT ENCODED</v>
      </c>
      <c r="L99" s="19" t="str">
        <f>IFERROR(__xludf.DUMMYFUNCTION("IMPORTRANGE(""https://docs.google.com/spreadsheets/d/1otQjWHjy3Rq_-7Ie_93jllGR_QbNz_QcBUMPB-NJUP8/edit?gid=902639746#gid=902639746"", ""CHECKING!$K""&amp;ROW(K311))"),"NOT ENCODED")</f>
        <v>NOT ENCODED</v>
      </c>
      <c r="M99" s="19" t="str">
        <f>IFERROR(__xludf.DUMMYFUNCTION("IMPORTRANGE(""https://docs.google.com/spreadsheets/d/1otQjWHjy3Rq_-7Ie_93jllGR_QbNz_QcBUMPB-NJUP8/edit?gid=902639746#gid=902639746"", ""CHECKING!$L""&amp;ROW(L311))"),"NOT ENCODED")</f>
        <v>NOT ENCODED</v>
      </c>
    </row>
    <row r="100">
      <c r="A100" s="26" t="s">
        <v>19</v>
      </c>
      <c r="B100" s="27">
        <f>IFERROR(__xludf.DUMMYFUNCTION("IMPORTRANGE(""https://docs.google.com/spreadsheets/d/1sbaTJIEs8I7XTpGUl1gZ8em-J48uYWx8P9XF_jnHubM/edit?gid=91456061#gid=91456061"", ""SUMMARY!$B""&amp;ROW($B26))"),19.0)</f>
        <v>19</v>
      </c>
      <c r="C100" s="27" t="str">
        <f>IFERROR(__xludf.DUMMYFUNCTION("IMPORTRANGE(""https://docs.google.com/spreadsheets/d/1sbaTJIEs8I7XTpGUl1gZ8em-J48uYWx8P9XF_jnHubM/edit?gid=91456061#gid=91456061"", ""SUMMARY!$C""&amp;ROW($C26))"),"ERIKSON")</f>
        <v>ERIKSON</v>
      </c>
      <c r="D100" s="28" t="str">
        <f>IFERROR(__xludf.DUMMYFUNCTION("IMPORTRANGE(""https://docs.google.com/spreadsheets/d/1sbaTJIEs8I7XTpGUl1gZ8em-J48uYWx8P9XF_jnHubM/edit?gid=91456061#gid=91456061"", ""SUMMARY!$F""&amp;ROW($F26))"),"HUMSS")</f>
        <v>HUMSS</v>
      </c>
      <c r="E100" s="29" t="str">
        <f>IFERROR(__xludf.DUMMYFUNCTION("IMPORTRANGE(""https://docs.google.com/spreadsheets/d/1sbaTJIEs8I7XTpGUl1gZ8em-J48uYWx8P9XF_jnHubM/edit?gid=91456061#gid=91456061"", ""SUMMARY!$D""&amp;ROW($D26))"),"MA. CHRISTINA V. GENANDA")</f>
        <v>MA. CHRISTINA V. GENANDA</v>
      </c>
      <c r="F100" s="29" t="str">
        <f>IFERROR(__xludf.DUMMYFUNCTION("IMPORTRANGE(""https://docs.google.com/spreadsheets/d/1sbaTJIEs8I7XTpGUl1gZ8em-J48uYWx8P9XF_jnHubM/edit?gid=91456061#gid=91456061"", ""SUMMARY!$E""&amp;ROW($E26))"),"HUMSS")</f>
        <v>HUMSS</v>
      </c>
      <c r="G100" s="19" t="str">
        <f>IFERROR(__xludf.DUMMYFUNCTION("IMPORTRANGE(""https://docs.google.com/spreadsheets/d/1otQjWHjy3Rq_-7Ie_93jllGR_QbNz_QcBUMPB-NJUP8/edit?gid=902639746#gid=902639746"", ""CHECKING!$F""&amp;COLUMN(F312))"),"ENCODED")</f>
        <v>ENCODED</v>
      </c>
      <c r="H100" s="19" t="str">
        <f>IFERROR(__xludf.DUMMYFUNCTION("IMPORTRANGE(""https://docs.google.com/spreadsheets/d/1otQjWHjy3Rq_-7Ie_93jllGR_QbNz_QcBUMPB-NJUP8/edit?gid=902639746#gid=902639746"", ""CHECKING!$G""&amp;ROW(G312))"),"ENCODED")</f>
        <v>ENCODED</v>
      </c>
      <c r="I100" s="19" t="str">
        <f>IFERROR(__xludf.DUMMYFUNCTION("IMPORTRANGE(""https://docs.google.com/spreadsheets/d/1otQjWHjy3Rq_-7Ie_93jllGR_QbNz_QcBUMPB-NJUP8/edit?gid=902639746#gid=902639746"", ""CHECKING!$H""&amp;ROW(H312))"),"ENCODED")</f>
        <v>ENCODED</v>
      </c>
      <c r="J100" s="19" t="str">
        <f>IFERROR(__xludf.DUMMYFUNCTION("IMPORTRANGE(""https://docs.google.com/spreadsheets/d/1otQjWHjy3Rq_-7Ie_93jllGR_QbNz_QcBUMPB-NJUP8/edit?gid=902639746#gid=902639746"", ""CHECKING!$I""&amp;ROW(I312))"),"ENCODED")</f>
        <v>ENCODED</v>
      </c>
      <c r="K100" s="19" t="str">
        <f>IFERROR(__xludf.DUMMYFUNCTION("IMPORTRANGE(""https://docs.google.com/spreadsheets/d/1otQjWHjy3Rq_-7Ie_93jllGR_QbNz_QcBUMPB-NJUP8/edit?gid=902639746#gid=902639746"", ""CHECKING!$J""&amp;ROW(J312))"),"NOT ENCODED")</f>
        <v>NOT ENCODED</v>
      </c>
      <c r="L100" s="19" t="str">
        <f>IFERROR(__xludf.DUMMYFUNCTION("IMPORTRANGE(""https://docs.google.com/spreadsheets/d/1otQjWHjy3Rq_-7Ie_93jllGR_QbNz_QcBUMPB-NJUP8/edit?gid=902639746#gid=902639746"", ""CHECKING!$K""&amp;ROW(K312))"),"NOT ENCODED")</f>
        <v>NOT ENCODED</v>
      </c>
      <c r="M100" s="19" t="str">
        <f>IFERROR(__xludf.DUMMYFUNCTION("IMPORTRANGE(""https://docs.google.com/spreadsheets/d/1otQjWHjy3Rq_-7Ie_93jllGR_QbNz_QcBUMPB-NJUP8/edit?gid=902639746#gid=902639746"", ""CHECKING!$L""&amp;ROW(L312))"),"NOT ENCODED")</f>
        <v>NOT ENCODED</v>
      </c>
    </row>
    <row r="101">
      <c r="A101" s="26" t="s">
        <v>19</v>
      </c>
      <c r="B101" s="27">
        <f>IFERROR(__xludf.DUMMYFUNCTION("IMPORTRANGE(""https://docs.google.com/spreadsheets/d/1sbaTJIEs8I7XTpGUl1gZ8em-J48uYWx8P9XF_jnHubM/edit?gid=91456061#gid=91456061"", ""SUMMARY!$B""&amp;ROW($B27))"),20.0)</f>
        <v>20</v>
      </c>
      <c r="C101" s="27" t="str">
        <f>IFERROR(__xludf.DUMMYFUNCTION("IMPORTRANGE(""https://docs.google.com/spreadsheets/d/1sbaTJIEs8I7XTpGUl1gZ8em-J48uYWx8P9XF_jnHubM/edit?gid=91456061#gid=91456061"", ""SUMMARY!$C""&amp;ROW($C27))"),"FREUD")</f>
        <v>FREUD</v>
      </c>
      <c r="D101" s="28" t="str">
        <f>IFERROR(__xludf.DUMMYFUNCTION("IMPORTRANGE(""https://docs.google.com/spreadsheets/d/1sbaTJIEs8I7XTpGUl1gZ8em-J48uYWx8P9XF_jnHubM/edit?gid=91456061#gid=91456061"", ""SUMMARY!$F""&amp;ROW($F27))"),"HUMSS")</f>
        <v>HUMSS</v>
      </c>
      <c r="E101" s="29" t="str">
        <f>IFERROR(__xludf.DUMMYFUNCTION("IMPORTRANGE(""https://docs.google.com/spreadsheets/d/1sbaTJIEs8I7XTpGUl1gZ8em-J48uYWx8P9XF_jnHubM/edit?gid=91456061#gid=91456061"", ""SUMMARY!$D""&amp;ROW($D27))"),"JOREM L. POMOY")</f>
        <v>JOREM L. POMOY</v>
      </c>
      <c r="F101" s="29" t="str">
        <f>IFERROR(__xludf.DUMMYFUNCTION("IMPORTRANGE(""https://docs.google.com/spreadsheets/d/1sbaTJIEs8I7XTpGUl1gZ8em-J48uYWx8P9XF_jnHubM/edit?gid=91456061#gid=91456061"", ""SUMMARY!$E""&amp;ROW($E27))"),"ENGLISH")</f>
        <v>ENGLISH</v>
      </c>
      <c r="G101" s="19" t="str">
        <f>IFERROR(__xludf.DUMMYFUNCTION("IMPORTRANGE(""https://docs.google.com/spreadsheets/d/1otQjWHjy3Rq_-7Ie_93jllGR_QbNz_QcBUMPB-NJUP8/edit?gid=902639746#gid=902639746"", ""CHECKING!$F""&amp;COLUMN(F313))"),"ENCODED")</f>
        <v>ENCODED</v>
      </c>
      <c r="H101" s="19" t="str">
        <f>IFERROR(__xludf.DUMMYFUNCTION("IMPORTRANGE(""https://docs.google.com/spreadsheets/d/1otQjWHjy3Rq_-7Ie_93jllGR_QbNz_QcBUMPB-NJUP8/edit?gid=902639746#gid=902639746"", ""CHECKING!$G""&amp;ROW(G313))"),"ENCODED")</f>
        <v>ENCODED</v>
      </c>
      <c r="I101" s="19" t="str">
        <f>IFERROR(__xludf.DUMMYFUNCTION("IMPORTRANGE(""https://docs.google.com/spreadsheets/d/1otQjWHjy3Rq_-7Ie_93jllGR_QbNz_QcBUMPB-NJUP8/edit?gid=902639746#gid=902639746"", ""CHECKING!$H""&amp;ROW(H313))"),"ENCODED")</f>
        <v>ENCODED</v>
      </c>
      <c r="J101" s="19" t="str">
        <f>IFERROR(__xludf.DUMMYFUNCTION("IMPORTRANGE(""https://docs.google.com/spreadsheets/d/1otQjWHjy3Rq_-7Ie_93jllGR_QbNz_QcBUMPB-NJUP8/edit?gid=902639746#gid=902639746"", ""CHECKING!$I""&amp;ROW(I313))"),"NOT ENCODED")</f>
        <v>NOT ENCODED</v>
      </c>
      <c r="K101" s="19" t="str">
        <f>IFERROR(__xludf.DUMMYFUNCTION("IMPORTRANGE(""https://docs.google.com/spreadsheets/d/1otQjWHjy3Rq_-7Ie_93jllGR_QbNz_QcBUMPB-NJUP8/edit?gid=902639746#gid=902639746"", ""CHECKING!$J""&amp;ROW(J313))"),"NOT ENCODED")</f>
        <v>NOT ENCODED</v>
      </c>
      <c r="L101" s="19" t="str">
        <f>IFERROR(__xludf.DUMMYFUNCTION("IMPORTRANGE(""https://docs.google.com/spreadsheets/d/1otQjWHjy3Rq_-7Ie_93jllGR_QbNz_QcBUMPB-NJUP8/edit?gid=902639746#gid=902639746"", ""CHECKING!$K""&amp;ROW(K313))"),"NOT ENCODED")</f>
        <v>NOT ENCODED</v>
      </c>
      <c r="M101" s="19" t="str">
        <f>IFERROR(__xludf.DUMMYFUNCTION("IMPORTRANGE(""https://docs.google.com/spreadsheets/d/1otQjWHjy3Rq_-7Ie_93jllGR_QbNz_QcBUMPB-NJUP8/edit?gid=902639746#gid=902639746"", ""CHECKING!$L""&amp;ROW(L313))"),"NOT ENCODED")</f>
        <v>NOT ENCODED</v>
      </c>
    </row>
    <row r="102">
      <c r="A102" s="26" t="s">
        <v>19</v>
      </c>
      <c r="B102" s="27">
        <f>IFERROR(__xludf.DUMMYFUNCTION("IMPORTRANGE(""https://docs.google.com/spreadsheets/d/1sbaTJIEs8I7XTpGUl1gZ8em-J48uYWx8P9XF_jnHubM/edit?gid=91456061#gid=91456061"", ""SUMMARY!$B""&amp;ROW($B28))"),21.0)</f>
        <v>21</v>
      </c>
      <c r="C102" s="27" t="str">
        <f>IFERROR(__xludf.DUMMYFUNCTION("IMPORTRANGE(""https://docs.google.com/spreadsheets/d/1sbaTJIEs8I7XTpGUl1gZ8em-J48uYWx8P9XF_jnHubM/edit?gid=91456061#gid=91456061"", ""SUMMARY!$C""&amp;ROW($C28))"),"HERODOTUS")</f>
        <v>HERODOTUS</v>
      </c>
      <c r="D102" s="28" t="str">
        <f>IFERROR(__xludf.DUMMYFUNCTION("IMPORTRANGE(""https://docs.google.com/spreadsheets/d/1sbaTJIEs8I7XTpGUl1gZ8em-J48uYWx8P9XF_jnHubM/edit?gid=91456061#gid=91456061"", ""SUMMARY!$F""&amp;ROW($F28))"),"HUMSS")</f>
        <v>HUMSS</v>
      </c>
      <c r="E102" s="29" t="str">
        <f>IFERROR(__xludf.DUMMYFUNCTION("IMPORTRANGE(""https://docs.google.com/spreadsheets/d/1sbaTJIEs8I7XTpGUl1gZ8em-J48uYWx8P9XF_jnHubM/edit?gid=91456061#gid=91456061"", ""SUMMARY!$D""&amp;ROW($D28))"),"IL YUNG V. HAN")</f>
        <v>IL YUNG V. HAN</v>
      </c>
      <c r="F102" s="29" t="str">
        <f>IFERROR(__xludf.DUMMYFUNCTION("IMPORTRANGE(""https://docs.google.com/spreadsheets/d/1sbaTJIEs8I7XTpGUl1gZ8em-J48uYWx8P9XF_jnHubM/edit?gid=91456061#gid=91456061"", ""SUMMARY!$E""&amp;ROW($E28))"),"HUMSS")</f>
        <v>HUMSS</v>
      </c>
      <c r="G102" s="19" t="str">
        <f>IFERROR(__xludf.DUMMYFUNCTION("IMPORTRANGE(""https://docs.google.com/spreadsheets/d/1otQjWHjy3Rq_-7Ie_93jllGR_QbNz_QcBUMPB-NJUP8/edit?gid=902639746#gid=902639746"", ""CHECKING!$F""&amp;COLUMN(F314))"),"ENCODED")</f>
        <v>ENCODED</v>
      </c>
      <c r="H102" s="19" t="str">
        <f>IFERROR(__xludf.DUMMYFUNCTION("IMPORTRANGE(""https://docs.google.com/spreadsheets/d/1otQjWHjy3Rq_-7Ie_93jllGR_QbNz_QcBUMPB-NJUP8/edit?gid=902639746#gid=902639746"", ""CHECKING!$G""&amp;ROW(G314))"),"ENCODED")</f>
        <v>ENCODED</v>
      </c>
      <c r="I102" s="19" t="str">
        <f>IFERROR(__xludf.DUMMYFUNCTION("IMPORTRANGE(""https://docs.google.com/spreadsheets/d/1otQjWHjy3Rq_-7Ie_93jllGR_QbNz_QcBUMPB-NJUP8/edit?gid=902639746#gid=902639746"", ""CHECKING!$H""&amp;ROW(H314))"),"ENCODED")</f>
        <v>ENCODED</v>
      </c>
      <c r="J102" s="19" t="str">
        <f>IFERROR(__xludf.DUMMYFUNCTION("IMPORTRANGE(""https://docs.google.com/spreadsheets/d/1otQjWHjy3Rq_-7Ie_93jllGR_QbNz_QcBUMPB-NJUP8/edit?gid=902639746#gid=902639746"", ""CHECKING!$I""&amp;ROW(I314))"),"NOT ENCODED")</f>
        <v>NOT ENCODED</v>
      </c>
      <c r="K102" s="19" t="str">
        <f>IFERROR(__xludf.DUMMYFUNCTION("IMPORTRANGE(""https://docs.google.com/spreadsheets/d/1otQjWHjy3Rq_-7Ie_93jllGR_QbNz_QcBUMPB-NJUP8/edit?gid=902639746#gid=902639746"", ""CHECKING!$J""&amp;ROW(J314))"),"NOT ENCODED")</f>
        <v>NOT ENCODED</v>
      </c>
      <c r="L102" s="19" t="str">
        <f>IFERROR(__xludf.DUMMYFUNCTION("IMPORTRANGE(""https://docs.google.com/spreadsheets/d/1otQjWHjy3Rq_-7Ie_93jllGR_QbNz_QcBUMPB-NJUP8/edit?gid=902639746#gid=902639746"", ""CHECKING!$K""&amp;ROW(K314))"),"NOT ENCODED")</f>
        <v>NOT ENCODED</v>
      </c>
      <c r="M102" s="19" t="str">
        <f>IFERROR(__xludf.DUMMYFUNCTION("IMPORTRANGE(""https://docs.google.com/spreadsheets/d/1otQjWHjy3Rq_-7Ie_93jllGR_QbNz_QcBUMPB-NJUP8/edit?gid=902639746#gid=902639746"", ""CHECKING!$L""&amp;ROW(L314))"),"NOT ENCODED")</f>
        <v>NOT ENCODED</v>
      </c>
    </row>
    <row r="103">
      <c r="A103" s="26" t="s">
        <v>19</v>
      </c>
      <c r="B103" s="27">
        <f>IFERROR(__xludf.DUMMYFUNCTION("IMPORTRANGE(""https://docs.google.com/spreadsheets/d/1sbaTJIEs8I7XTpGUl1gZ8em-J48uYWx8P9XF_jnHubM/edit?gid=91456061#gid=91456061"", ""SUMMARY!$B""&amp;ROW($B29))"),22.0)</f>
        <v>22</v>
      </c>
      <c r="C103" s="27" t="str">
        <f>IFERROR(__xludf.DUMMYFUNCTION("IMPORTRANGE(""https://docs.google.com/spreadsheets/d/1sbaTJIEs8I7XTpGUl1gZ8em-J48uYWx8P9XF_jnHubM/edit?gid=91456061#gid=91456061"", ""SUMMARY!$C""&amp;ROW($C29))"),"KHALDUN")</f>
        <v>KHALDUN</v>
      </c>
      <c r="D103" s="28" t="str">
        <f>IFERROR(__xludf.DUMMYFUNCTION("IMPORTRANGE(""https://docs.google.com/spreadsheets/d/1sbaTJIEs8I7XTpGUl1gZ8em-J48uYWx8P9XF_jnHubM/edit?gid=91456061#gid=91456061"", ""SUMMARY!$F""&amp;ROW($F29))"),"HUMSS")</f>
        <v>HUMSS</v>
      </c>
      <c r="E103" s="29" t="str">
        <f>IFERROR(__xludf.DUMMYFUNCTION("IMPORTRANGE(""https://docs.google.com/spreadsheets/d/1sbaTJIEs8I7XTpGUl1gZ8em-J48uYWx8P9XF_jnHubM/edit?gid=91456061#gid=91456061"", ""SUMMARY!$D""&amp;ROW($D29))"),"EDEN R. DE JESUS")</f>
        <v>EDEN R. DE JESUS</v>
      </c>
      <c r="F103" s="29" t="str">
        <f>IFERROR(__xludf.DUMMYFUNCTION("IMPORTRANGE(""https://docs.google.com/spreadsheets/d/1sbaTJIEs8I7XTpGUl1gZ8em-J48uYWx8P9XF_jnHubM/edit?gid=91456061#gid=91456061"", ""SUMMARY!$E""&amp;ROW($E29))"),"ENGLISH")</f>
        <v>ENGLISH</v>
      </c>
      <c r="G103" s="19" t="str">
        <f>IFERROR(__xludf.DUMMYFUNCTION("IMPORTRANGE(""https://docs.google.com/spreadsheets/d/1otQjWHjy3Rq_-7Ie_93jllGR_QbNz_QcBUMPB-NJUP8/edit?gid=902639746#gid=902639746"", ""CHECKING!$F""&amp;COLUMN(F315))"),"ENCODED")</f>
        <v>ENCODED</v>
      </c>
      <c r="H103" s="19" t="str">
        <f>IFERROR(__xludf.DUMMYFUNCTION("IMPORTRANGE(""https://docs.google.com/spreadsheets/d/1otQjWHjy3Rq_-7Ie_93jllGR_QbNz_QcBUMPB-NJUP8/edit?gid=902639746#gid=902639746"", ""CHECKING!$G""&amp;ROW(G315))"),"ENCODED")</f>
        <v>ENCODED</v>
      </c>
      <c r="I103" s="19" t="str">
        <f>IFERROR(__xludf.DUMMYFUNCTION("IMPORTRANGE(""https://docs.google.com/spreadsheets/d/1otQjWHjy3Rq_-7Ie_93jllGR_QbNz_QcBUMPB-NJUP8/edit?gid=902639746#gid=902639746"", ""CHECKING!$H""&amp;ROW(H315))"),"ENCODED")</f>
        <v>ENCODED</v>
      </c>
      <c r="J103" s="19" t="str">
        <f>IFERROR(__xludf.DUMMYFUNCTION("IMPORTRANGE(""https://docs.google.com/spreadsheets/d/1otQjWHjy3Rq_-7Ie_93jllGR_QbNz_QcBUMPB-NJUP8/edit?gid=902639746#gid=902639746"", ""CHECKING!$I""&amp;ROW(I315))"),"NOT ENCODED")</f>
        <v>NOT ENCODED</v>
      </c>
      <c r="K103" s="19" t="str">
        <f>IFERROR(__xludf.DUMMYFUNCTION("IMPORTRANGE(""https://docs.google.com/spreadsheets/d/1otQjWHjy3Rq_-7Ie_93jllGR_QbNz_QcBUMPB-NJUP8/edit?gid=902639746#gid=902639746"", ""CHECKING!$J""&amp;ROW(J315))"),"NOT ENCODED")</f>
        <v>NOT ENCODED</v>
      </c>
      <c r="L103" s="19" t="str">
        <f>IFERROR(__xludf.DUMMYFUNCTION("IMPORTRANGE(""https://docs.google.com/spreadsheets/d/1otQjWHjy3Rq_-7Ie_93jllGR_QbNz_QcBUMPB-NJUP8/edit?gid=902639746#gid=902639746"", ""CHECKING!$K""&amp;ROW(K315))"),"NOT ENCODED")</f>
        <v>NOT ENCODED</v>
      </c>
      <c r="M103" s="19" t="str">
        <f>IFERROR(__xludf.DUMMYFUNCTION("IMPORTRANGE(""https://docs.google.com/spreadsheets/d/1otQjWHjy3Rq_-7Ie_93jllGR_QbNz_QcBUMPB-NJUP8/edit?gid=902639746#gid=902639746"", ""CHECKING!$L""&amp;ROW(L315))"),"NOT ENCODED")</f>
        <v>NOT ENCODED</v>
      </c>
    </row>
    <row r="104">
      <c r="A104" s="26" t="s">
        <v>19</v>
      </c>
      <c r="B104" s="27">
        <f>IFERROR(__xludf.DUMMYFUNCTION("IMPORTRANGE(""https://docs.google.com/spreadsheets/d/1sbaTJIEs8I7XTpGUl1gZ8em-J48uYWx8P9XF_jnHubM/edit?gid=91456061#gid=91456061"", ""SUMMARY!$B""&amp;ROW($B30))"),23.0)</f>
        <v>23</v>
      </c>
      <c r="C104" s="27" t="str">
        <f>IFERROR(__xludf.DUMMYFUNCTION("IMPORTRANGE(""https://docs.google.com/spreadsheets/d/1sbaTJIEs8I7XTpGUl1gZ8em-J48uYWx8P9XF_jnHubM/edit?gid=91456061#gid=91456061"", ""SUMMARY!$C""&amp;ROW($C30))"),"LOCKE")</f>
        <v>LOCKE</v>
      </c>
      <c r="D104" s="28" t="str">
        <f>IFERROR(__xludf.DUMMYFUNCTION("IMPORTRANGE(""https://docs.google.com/spreadsheets/d/1sbaTJIEs8I7XTpGUl1gZ8em-J48uYWx8P9XF_jnHubM/edit?gid=91456061#gid=91456061"", ""SUMMARY!$F""&amp;ROW($F30))"),"HUMSS")</f>
        <v>HUMSS</v>
      </c>
      <c r="E104" s="29" t="str">
        <f>IFERROR(__xludf.DUMMYFUNCTION("IMPORTRANGE(""https://docs.google.com/spreadsheets/d/1sbaTJIEs8I7XTpGUl1gZ8em-J48uYWx8P9XF_jnHubM/edit?gid=91456061#gid=91456061"", ""SUMMARY!$D""&amp;ROW($D30))"),"MARIA LEILA S. BALLARAN")</f>
        <v>MARIA LEILA S. BALLARAN</v>
      </c>
      <c r="F104" s="29" t="str">
        <f>IFERROR(__xludf.DUMMYFUNCTION("IMPORTRANGE(""https://docs.google.com/spreadsheets/d/1sbaTJIEs8I7XTpGUl1gZ8em-J48uYWx8P9XF_jnHubM/edit?gid=91456061#gid=91456061"", ""SUMMARY!$E""&amp;ROW($E30))"),"HUMSS")</f>
        <v>HUMSS</v>
      </c>
      <c r="G104" s="19" t="str">
        <f>IFERROR(__xludf.DUMMYFUNCTION("IMPORTRANGE(""https://docs.google.com/spreadsheets/d/1otQjWHjy3Rq_-7Ie_93jllGR_QbNz_QcBUMPB-NJUP8/edit?gid=902639746#gid=902639746"", ""CHECKING!$F""&amp;COLUMN(F316))"),"ENCODED")</f>
        <v>ENCODED</v>
      </c>
      <c r="H104" s="19" t="str">
        <f>IFERROR(__xludf.DUMMYFUNCTION("IMPORTRANGE(""https://docs.google.com/spreadsheets/d/1otQjWHjy3Rq_-7Ie_93jllGR_QbNz_QcBUMPB-NJUP8/edit?gid=902639746#gid=902639746"", ""CHECKING!$G""&amp;ROW(G316))"),"ENCODED")</f>
        <v>ENCODED</v>
      </c>
      <c r="I104" s="19" t="str">
        <f>IFERROR(__xludf.DUMMYFUNCTION("IMPORTRANGE(""https://docs.google.com/spreadsheets/d/1otQjWHjy3Rq_-7Ie_93jllGR_QbNz_QcBUMPB-NJUP8/edit?gid=902639746#gid=902639746"", ""CHECKING!$H""&amp;ROW(H316))"),"ENCODED")</f>
        <v>ENCODED</v>
      </c>
      <c r="J104" s="19" t="str">
        <f>IFERROR(__xludf.DUMMYFUNCTION("IMPORTRANGE(""https://docs.google.com/spreadsheets/d/1otQjWHjy3Rq_-7Ie_93jllGR_QbNz_QcBUMPB-NJUP8/edit?gid=902639746#gid=902639746"", ""CHECKING!$I""&amp;ROW(I316))"),"NOT ENCODED")</f>
        <v>NOT ENCODED</v>
      </c>
      <c r="K104" s="19" t="str">
        <f>IFERROR(__xludf.DUMMYFUNCTION("IMPORTRANGE(""https://docs.google.com/spreadsheets/d/1otQjWHjy3Rq_-7Ie_93jllGR_QbNz_QcBUMPB-NJUP8/edit?gid=902639746#gid=902639746"", ""CHECKING!$J""&amp;ROW(J316))"),"NOT ENCODED")</f>
        <v>NOT ENCODED</v>
      </c>
      <c r="L104" s="19" t="str">
        <f>IFERROR(__xludf.DUMMYFUNCTION("IMPORTRANGE(""https://docs.google.com/spreadsheets/d/1otQjWHjy3Rq_-7Ie_93jllGR_QbNz_QcBUMPB-NJUP8/edit?gid=902639746#gid=902639746"", ""CHECKING!$K""&amp;ROW(K316))"),"NOT ENCODED")</f>
        <v>NOT ENCODED</v>
      </c>
      <c r="M104" s="19" t="str">
        <f>IFERROR(__xludf.DUMMYFUNCTION("IMPORTRANGE(""https://docs.google.com/spreadsheets/d/1otQjWHjy3Rq_-7Ie_93jllGR_QbNz_QcBUMPB-NJUP8/edit?gid=902639746#gid=902639746"", ""CHECKING!$L""&amp;ROW(L316))"),"NOT ENCODED")</f>
        <v>NOT ENCODED</v>
      </c>
    </row>
    <row r="105">
      <c r="A105" s="26" t="s">
        <v>19</v>
      </c>
      <c r="B105" s="27">
        <f>IFERROR(__xludf.DUMMYFUNCTION("IMPORTRANGE(""https://docs.google.com/spreadsheets/d/1sbaTJIEs8I7XTpGUl1gZ8em-J48uYWx8P9XF_jnHubM/edit?gid=91456061#gid=91456061"", ""SUMMARY!$B""&amp;ROW($B31))"),24.0)</f>
        <v>24</v>
      </c>
      <c r="C105" s="27" t="str">
        <f>IFERROR(__xludf.DUMMYFUNCTION("IMPORTRANGE(""https://docs.google.com/spreadsheets/d/1sbaTJIEs8I7XTpGUl1gZ8em-J48uYWx8P9XF_jnHubM/edit?gid=91456061#gid=91456061"", ""SUMMARY!$C""&amp;ROW($C31))"),"MARX")</f>
        <v>MARX</v>
      </c>
      <c r="D105" s="28" t="str">
        <f>IFERROR(__xludf.DUMMYFUNCTION("IMPORTRANGE(""https://docs.google.com/spreadsheets/d/1sbaTJIEs8I7XTpGUl1gZ8em-J48uYWx8P9XF_jnHubM/edit?gid=91456061#gid=91456061"", ""SUMMARY!$F""&amp;ROW($F31))"),"HUMSS")</f>
        <v>HUMSS</v>
      </c>
      <c r="E105" s="29" t="str">
        <f>IFERROR(__xludf.DUMMYFUNCTION("IMPORTRANGE(""https://docs.google.com/spreadsheets/d/1sbaTJIEs8I7XTpGUl1gZ8em-J48uYWx8P9XF_jnHubM/edit?gid=91456061#gid=91456061"", ""SUMMARY!$D""&amp;ROW($D31))"),"MARLON L. BERZALDO")</f>
        <v>MARLON L. BERZALDO</v>
      </c>
      <c r="F105" s="29" t="str">
        <f>IFERROR(__xludf.DUMMYFUNCTION("IMPORTRANGE(""https://docs.google.com/spreadsheets/d/1sbaTJIEs8I7XTpGUl1gZ8em-J48uYWx8P9XF_jnHubM/edit?gid=91456061#gid=91456061"", ""SUMMARY!$E""&amp;ROW($E31))"),"HUMSS")</f>
        <v>HUMSS</v>
      </c>
      <c r="G105" s="19" t="str">
        <f>IFERROR(__xludf.DUMMYFUNCTION("IMPORTRANGE(""https://docs.google.com/spreadsheets/d/1otQjWHjy3Rq_-7Ie_93jllGR_QbNz_QcBUMPB-NJUP8/edit?gid=902639746#gid=902639746"", ""CHECKING!$F""&amp;COLUMN(F317))"),"ENCODED")</f>
        <v>ENCODED</v>
      </c>
      <c r="H105" s="19" t="str">
        <f>IFERROR(__xludf.DUMMYFUNCTION("IMPORTRANGE(""https://docs.google.com/spreadsheets/d/1otQjWHjy3Rq_-7Ie_93jllGR_QbNz_QcBUMPB-NJUP8/edit?gid=902639746#gid=902639746"", ""CHECKING!$G""&amp;ROW(G317))"),"ENCODED")</f>
        <v>ENCODED</v>
      </c>
      <c r="I105" s="19" t="str">
        <f>IFERROR(__xludf.DUMMYFUNCTION("IMPORTRANGE(""https://docs.google.com/spreadsheets/d/1otQjWHjy3Rq_-7Ie_93jllGR_QbNz_QcBUMPB-NJUP8/edit?gid=902639746#gid=902639746"", ""CHECKING!$H""&amp;ROW(H317))"),"ENCODED")</f>
        <v>ENCODED</v>
      </c>
      <c r="J105" s="19" t="str">
        <f>IFERROR(__xludf.DUMMYFUNCTION("IMPORTRANGE(""https://docs.google.com/spreadsheets/d/1otQjWHjy3Rq_-7Ie_93jllGR_QbNz_QcBUMPB-NJUP8/edit?gid=902639746#gid=902639746"", ""CHECKING!$I""&amp;ROW(I317))"),"NOT ENCODED")</f>
        <v>NOT ENCODED</v>
      </c>
      <c r="K105" s="19" t="str">
        <f>IFERROR(__xludf.DUMMYFUNCTION("IMPORTRANGE(""https://docs.google.com/spreadsheets/d/1otQjWHjy3Rq_-7Ie_93jllGR_QbNz_QcBUMPB-NJUP8/edit?gid=902639746#gid=902639746"", ""CHECKING!$J""&amp;ROW(J317))"),"NOT ENCODED")</f>
        <v>NOT ENCODED</v>
      </c>
      <c r="L105" s="19" t="str">
        <f>IFERROR(__xludf.DUMMYFUNCTION("IMPORTRANGE(""https://docs.google.com/spreadsheets/d/1otQjWHjy3Rq_-7Ie_93jllGR_QbNz_QcBUMPB-NJUP8/edit?gid=902639746#gid=902639746"", ""CHECKING!$K""&amp;ROW(K317))"),"NOT ENCODED")</f>
        <v>NOT ENCODED</v>
      </c>
      <c r="M105" s="19" t="str">
        <f>IFERROR(__xludf.DUMMYFUNCTION("IMPORTRANGE(""https://docs.google.com/spreadsheets/d/1otQjWHjy3Rq_-7Ie_93jllGR_QbNz_QcBUMPB-NJUP8/edit?gid=902639746#gid=902639746"", ""CHECKING!$L""&amp;ROW(L317))"),"NOT ENCODED")</f>
        <v>NOT ENCODED</v>
      </c>
    </row>
    <row r="106">
      <c r="A106" s="26" t="s">
        <v>19</v>
      </c>
      <c r="B106" s="27">
        <f>IFERROR(__xludf.DUMMYFUNCTION("IMPORTRANGE(""https://docs.google.com/spreadsheets/d/1sbaTJIEs8I7XTpGUl1gZ8em-J48uYWx8P9XF_jnHubM/edit?gid=91456061#gid=91456061"", ""SUMMARY!$B""&amp;ROW($B32))"),25.0)</f>
        <v>25</v>
      </c>
      <c r="C106" s="27" t="str">
        <f>IFERROR(__xludf.DUMMYFUNCTION("IMPORTRANGE(""https://docs.google.com/spreadsheets/d/1sbaTJIEs8I7XTpGUl1gZ8em-J48uYWx8P9XF_jnHubM/edit?gid=91456061#gid=91456061"", ""SUMMARY!$C""&amp;ROW($C32))"),"OSTROM")</f>
        <v>OSTROM</v>
      </c>
      <c r="D106" s="28" t="str">
        <f>IFERROR(__xludf.DUMMYFUNCTION("IMPORTRANGE(""https://docs.google.com/spreadsheets/d/1sbaTJIEs8I7XTpGUl1gZ8em-J48uYWx8P9XF_jnHubM/edit?gid=91456061#gid=91456061"", ""SUMMARY!$F""&amp;ROW($F32))"),"HUMSS")</f>
        <v>HUMSS</v>
      </c>
      <c r="E106" s="29" t="str">
        <f>IFERROR(__xludf.DUMMYFUNCTION("IMPORTRANGE(""https://docs.google.com/spreadsheets/d/1sbaTJIEs8I7XTpGUl1gZ8em-J48uYWx8P9XF_jnHubM/edit?gid=91456061#gid=91456061"", ""SUMMARY!$D""&amp;ROW($D32))"),"JENNY A. VILLANUEVA")</f>
        <v>JENNY A. VILLANUEVA</v>
      </c>
      <c r="F106" s="29" t="str">
        <f>IFERROR(__xludf.DUMMYFUNCTION("IMPORTRANGE(""https://docs.google.com/spreadsheets/d/1sbaTJIEs8I7XTpGUl1gZ8em-J48uYWx8P9XF_jnHubM/edit?gid=91456061#gid=91456061"", ""SUMMARY!$E""&amp;ROW($E32))"),"ENGLISH")</f>
        <v>ENGLISH</v>
      </c>
      <c r="G106" s="19" t="str">
        <f>IFERROR(__xludf.DUMMYFUNCTION("IMPORTRANGE(""https://docs.google.com/spreadsheets/d/1otQjWHjy3Rq_-7Ie_93jllGR_QbNz_QcBUMPB-NJUP8/edit?gid=902639746#gid=902639746"", ""CHECKING!$F""&amp;COLUMN(F318))"),"ENCODED")</f>
        <v>ENCODED</v>
      </c>
      <c r="H106" s="19" t="str">
        <f>IFERROR(__xludf.DUMMYFUNCTION("IMPORTRANGE(""https://docs.google.com/spreadsheets/d/1otQjWHjy3Rq_-7Ie_93jllGR_QbNz_QcBUMPB-NJUP8/edit?gid=902639746#gid=902639746"", ""CHECKING!$G""&amp;ROW(G318))"),"ENCODED")</f>
        <v>ENCODED</v>
      </c>
      <c r="I106" s="19" t="str">
        <f>IFERROR(__xludf.DUMMYFUNCTION("IMPORTRANGE(""https://docs.google.com/spreadsheets/d/1otQjWHjy3Rq_-7Ie_93jllGR_QbNz_QcBUMPB-NJUP8/edit?gid=902639746#gid=902639746"", ""CHECKING!$H""&amp;ROW(H318))"),"ENCODED")</f>
        <v>ENCODED</v>
      </c>
      <c r="J106" s="19" t="str">
        <f>IFERROR(__xludf.DUMMYFUNCTION("IMPORTRANGE(""https://docs.google.com/spreadsheets/d/1otQjWHjy3Rq_-7Ie_93jllGR_QbNz_QcBUMPB-NJUP8/edit?gid=902639746#gid=902639746"", ""CHECKING!$I""&amp;ROW(I318))"),"ENCODED")</f>
        <v>ENCODED</v>
      </c>
      <c r="K106" s="19" t="str">
        <f>IFERROR(__xludf.DUMMYFUNCTION("IMPORTRANGE(""https://docs.google.com/spreadsheets/d/1otQjWHjy3Rq_-7Ie_93jllGR_QbNz_QcBUMPB-NJUP8/edit?gid=902639746#gid=902639746"", ""CHECKING!$J""&amp;ROW(J318))"),"NOT ENCODED")</f>
        <v>NOT ENCODED</v>
      </c>
      <c r="L106" s="19" t="str">
        <f>IFERROR(__xludf.DUMMYFUNCTION("IMPORTRANGE(""https://docs.google.com/spreadsheets/d/1otQjWHjy3Rq_-7Ie_93jllGR_QbNz_QcBUMPB-NJUP8/edit?gid=902639746#gid=902639746"", ""CHECKING!$K""&amp;ROW(K318))"),"NOT ENCODED")</f>
        <v>NOT ENCODED</v>
      </c>
      <c r="M106" s="19" t="str">
        <f>IFERROR(__xludf.DUMMYFUNCTION("IMPORTRANGE(""https://docs.google.com/spreadsheets/d/1otQjWHjy3Rq_-7Ie_93jllGR_QbNz_QcBUMPB-NJUP8/edit?gid=902639746#gid=902639746"", ""CHECKING!$L""&amp;ROW(L318))"),"NOT ENCODED")</f>
        <v>NOT ENCODED</v>
      </c>
    </row>
    <row r="107">
      <c r="A107" s="26" t="s">
        <v>19</v>
      </c>
      <c r="B107" s="27">
        <f>IFERROR(__xludf.DUMMYFUNCTION("IMPORTRANGE(""https://docs.google.com/spreadsheets/d/1sbaTJIEs8I7XTpGUl1gZ8em-J48uYWx8P9XF_jnHubM/edit?gid=91456061#gid=91456061"", ""SUMMARY!$B""&amp;ROW($B33))"),26.0)</f>
        <v>26</v>
      </c>
      <c r="C107" s="27" t="str">
        <f>IFERROR(__xludf.DUMMYFUNCTION("IMPORTRANGE(""https://docs.google.com/spreadsheets/d/1sbaTJIEs8I7XTpGUl1gZ8em-J48uYWx8P9XF_jnHubM/edit?gid=91456061#gid=91456061"", ""SUMMARY!$C""&amp;ROW($C33))"),"PLATO")</f>
        <v>PLATO</v>
      </c>
      <c r="D107" s="28" t="str">
        <f>IFERROR(__xludf.DUMMYFUNCTION("IMPORTRANGE(""https://docs.google.com/spreadsheets/d/1sbaTJIEs8I7XTpGUl1gZ8em-J48uYWx8P9XF_jnHubM/edit?gid=91456061#gid=91456061"", ""SUMMARY!$F""&amp;ROW($F33))"),"HUMSS")</f>
        <v>HUMSS</v>
      </c>
      <c r="E107" s="29" t="str">
        <f>IFERROR(__xludf.DUMMYFUNCTION("IMPORTRANGE(""https://docs.google.com/spreadsheets/d/1sbaTJIEs8I7XTpGUl1gZ8em-J48uYWx8P9XF_jnHubM/edit?gid=91456061#gid=91456061"", ""SUMMARY!$D""&amp;ROW($D33))"),"PAT A. YALONG")</f>
        <v>PAT A. YALONG</v>
      </c>
      <c r="F107" s="29" t="str">
        <f>IFERROR(__xludf.DUMMYFUNCTION("IMPORTRANGE(""https://docs.google.com/spreadsheets/d/1sbaTJIEs8I7XTpGUl1gZ8em-J48uYWx8P9XF_jnHubM/edit?gid=91456061#gid=91456061"", ""SUMMARY!$E""&amp;ROW($E33))"),"ENGLISH")</f>
        <v>ENGLISH</v>
      </c>
      <c r="G107" s="19" t="str">
        <f>IFERROR(__xludf.DUMMYFUNCTION("IMPORTRANGE(""https://docs.google.com/spreadsheets/d/1otQjWHjy3Rq_-7Ie_93jllGR_QbNz_QcBUMPB-NJUP8/edit?gid=902639746#gid=902639746"", ""CHECKING!$F""&amp;COLUMN(F319))"),"ENCODED")</f>
        <v>ENCODED</v>
      </c>
      <c r="H107" s="19" t="str">
        <f>IFERROR(__xludf.DUMMYFUNCTION("IMPORTRANGE(""https://docs.google.com/spreadsheets/d/1otQjWHjy3Rq_-7Ie_93jllGR_QbNz_QcBUMPB-NJUP8/edit?gid=902639746#gid=902639746"", ""CHECKING!$G""&amp;ROW(G319))"),"ENCODED")</f>
        <v>ENCODED</v>
      </c>
      <c r="I107" s="19" t="str">
        <f>IFERROR(__xludf.DUMMYFUNCTION("IMPORTRANGE(""https://docs.google.com/spreadsheets/d/1otQjWHjy3Rq_-7Ie_93jllGR_QbNz_QcBUMPB-NJUP8/edit?gid=902639746#gid=902639746"", ""CHECKING!$H""&amp;ROW(H319))"),"ENCODED")</f>
        <v>ENCODED</v>
      </c>
      <c r="J107" s="19" t="str">
        <f>IFERROR(__xludf.DUMMYFUNCTION("IMPORTRANGE(""https://docs.google.com/spreadsheets/d/1otQjWHjy3Rq_-7Ie_93jllGR_QbNz_QcBUMPB-NJUP8/edit?gid=902639746#gid=902639746"", ""CHECKING!$I""&amp;ROW(I319))"),"ENCODED")</f>
        <v>ENCODED</v>
      </c>
      <c r="K107" s="19" t="str">
        <f>IFERROR(__xludf.DUMMYFUNCTION("IMPORTRANGE(""https://docs.google.com/spreadsheets/d/1otQjWHjy3Rq_-7Ie_93jllGR_QbNz_QcBUMPB-NJUP8/edit?gid=902639746#gid=902639746"", ""CHECKING!$J""&amp;ROW(J319))"),"ENCODED")</f>
        <v>ENCODED</v>
      </c>
      <c r="L107" s="19" t="str">
        <f>IFERROR(__xludf.DUMMYFUNCTION("IMPORTRANGE(""https://docs.google.com/spreadsheets/d/1otQjWHjy3Rq_-7Ie_93jllGR_QbNz_QcBUMPB-NJUP8/edit?gid=902639746#gid=902639746"", ""CHECKING!$K""&amp;ROW(K319))"),"NOT ENCODED")</f>
        <v>NOT ENCODED</v>
      </c>
      <c r="M107" s="19" t="str">
        <f>IFERROR(__xludf.DUMMYFUNCTION("IMPORTRANGE(""https://docs.google.com/spreadsheets/d/1otQjWHjy3Rq_-7Ie_93jllGR_QbNz_QcBUMPB-NJUP8/edit?gid=902639746#gid=902639746"", ""CHECKING!$L""&amp;ROW(L319))"),"NOT ENCODED")</f>
        <v>NOT ENCODED</v>
      </c>
    </row>
    <row r="108">
      <c r="A108" s="26" t="s">
        <v>19</v>
      </c>
      <c r="B108" s="27">
        <f>IFERROR(__xludf.DUMMYFUNCTION("IMPORTRANGE(""https://docs.google.com/spreadsheets/d/1sbaTJIEs8I7XTpGUl1gZ8em-J48uYWx8P9XF_jnHubM/edit?gid=91456061#gid=91456061"", ""SUMMARY!$B""&amp;ROW($B34))"),27.0)</f>
        <v>27</v>
      </c>
      <c r="C108" s="27" t="str">
        <f>IFERROR(__xludf.DUMMYFUNCTION("IMPORTRANGE(""https://docs.google.com/spreadsheets/d/1sbaTJIEs8I7XTpGUl1gZ8em-J48uYWx8P9XF_jnHubM/edit?gid=91456061#gid=91456061"", ""SUMMARY!$C""&amp;ROW($C34))"),"ROUSSEAU")</f>
        <v>ROUSSEAU</v>
      </c>
      <c r="D108" s="28" t="str">
        <f>IFERROR(__xludf.DUMMYFUNCTION("IMPORTRANGE(""https://docs.google.com/spreadsheets/d/1sbaTJIEs8I7XTpGUl1gZ8em-J48uYWx8P9XF_jnHubM/edit?gid=91456061#gid=91456061"", ""SUMMARY!$F""&amp;ROW($F34))"),"HUMSS")</f>
        <v>HUMSS</v>
      </c>
      <c r="E108" s="29" t="str">
        <f>IFERROR(__xludf.DUMMYFUNCTION("IMPORTRANGE(""https://docs.google.com/spreadsheets/d/1sbaTJIEs8I7XTpGUl1gZ8em-J48uYWx8P9XF_jnHubM/edit?gid=91456061#gid=91456061"", ""SUMMARY!$D""&amp;ROW($D34))"),"JHOHANAH R. BEDIONES")</f>
        <v>JHOHANAH R. BEDIONES</v>
      </c>
      <c r="F108" s="29" t="str">
        <f>IFERROR(__xludf.DUMMYFUNCTION("IMPORTRANGE(""https://docs.google.com/spreadsheets/d/1sbaTJIEs8I7XTpGUl1gZ8em-J48uYWx8P9XF_jnHubM/edit?gid=91456061#gid=91456061"", ""SUMMARY!$E""&amp;ROW($E34))"),"HUMSS")</f>
        <v>HUMSS</v>
      </c>
      <c r="G108" s="19" t="str">
        <f>IFERROR(__xludf.DUMMYFUNCTION("IMPORTRANGE(""https://docs.google.com/spreadsheets/d/1otQjWHjy3Rq_-7Ie_93jllGR_QbNz_QcBUMPB-NJUP8/edit?gid=902639746#gid=902639746"", ""CHECKING!$F""&amp;COLUMN(F320))"),"ENCODED")</f>
        <v>ENCODED</v>
      </c>
      <c r="H108" s="19" t="str">
        <f>IFERROR(__xludf.DUMMYFUNCTION("IMPORTRANGE(""https://docs.google.com/spreadsheets/d/1otQjWHjy3Rq_-7Ie_93jllGR_QbNz_QcBUMPB-NJUP8/edit?gid=902639746#gid=902639746"", ""CHECKING!$G""&amp;ROW(G320))"),"ENCODED")</f>
        <v>ENCODED</v>
      </c>
      <c r="I108" s="19" t="str">
        <f>IFERROR(__xludf.DUMMYFUNCTION("IMPORTRANGE(""https://docs.google.com/spreadsheets/d/1otQjWHjy3Rq_-7Ie_93jllGR_QbNz_QcBUMPB-NJUP8/edit?gid=902639746#gid=902639746"", ""CHECKING!$H""&amp;ROW(H320))"),"ENCODED")</f>
        <v>ENCODED</v>
      </c>
      <c r="J108" s="19" t="str">
        <f>IFERROR(__xludf.DUMMYFUNCTION("IMPORTRANGE(""https://docs.google.com/spreadsheets/d/1otQjWHjy3Rq_-7Ie_93jllGR_QbNz_QcBUMPB-NJUP8/edit?gid=902639746#gid=902639746"", ""CHECKING!$I""&amp;ROW(I320))"),"ENCODED")</f>
        <v>ENCODED</v>
      </c>
      <c r="K108" s="19" t="str">
        <f>IFERROR(__xludf.DUMMYFUNCTION("IMPORTRANGE(""https://docs.google.com/spreadsheets/d/1otQjWHjy3Rq_-7Ie_93jllGR_QbNz_QcBUMPB-NJUP8/edit?gid=902639746#gid=902639746"", ""CHECKING!$J""&amp;ROW(J320))"),"NOT ENCODED")</f>
        <v>NOT ENCODED</v>
      </c>
      <c r="L108" s="19" t="str">
        <f>IFERROR(__xludf.DUMMYFUNCTION("IMPORTRANGE(""https://docs.google.com/spreadsheets/d/1otQjWHjy3Rq_-7Ie_93jllGR_QbNz_QcBUMPB-NJUP8/edit?gid=902639746#gid=902639746"", ""CHECKING!$K""&amp;ROW(K320))"),"NOT ENCODED")</f>
        <v>NOT ENCODED</v>
      </c>
      <c r="M108" s="19" t="str">
        <f>IFERROR(__xludf.DUMMYFUNCTION("IMPORTRANGE(""https://docs.google.com/spreadsheets/d/1otQjWHjy3Rq_-7Ie_93jllGR_QbNz_QcBUMPB-NJUP8/edit?gid=902639746#gid=902639746"", ""CHECKING!$L""&amp;ROW(L320))"),"NOT ENCODED")</f>
        <v>NOT ENCODED</v>
      </c>
    </row>
    <row r="109">
      <c r="A109" s="26" t="s">
        <v>19</v>
      </c>
      <c r="B109" s="27">
        <f>IFERROR(__xludf.DUMMYFUNCTION("IMPORTRANGE(""https://docs.google.com/spreadsheets/d/1sbaTJIEs8I7XTpGUl1gZ8em-J48uYWx8P9XF_jnHubM/edit?gid=91456061#gid=91456061"", ""SUMMARY!$B""&amp;ROW($B35))"),28.0)</f>
        <v>28</v>
      </c>
      <c r="C109" s="27" t="str">
        <f>IFERROR(__xludf.DUMMYFUNCTION("IMPORTRANGE(""https://docs.google.com/spreadsheets/d/1sbaTJIEs8I7XTpGUl1gZ8em-J48uYWx8P9XF_jnHubM/edit?gid=91456061#gid=91456061"", ""SUMMARY!$C""&amp;ROW($C35))"),"RUMI")</f>
        <v>RUMI</v>
      </c>
      <c r="D109" s="28" t="str">
        <f>IFERROR(__xludf.DUMMYFUNCTION("IMPORTRANGE(""https://docs.google.com/spreadsheets/d/1sbaTJIEs8I7XTpGUl1gZ8em-J48uYWx8P9XF_jnHubM/edit?gid=91456061#gid=91456061"", ""SUMMARY!$F""&amp;ROW($F35))"),"HUMSS")</f>
        <v>HUMSS</v>
      </c>
      <c r="E109" s="29" t="str">
        <f>IFERROR(__xludf.DUMMYFUNCTION("IMPORTRANGE(""https://docs.google.com/spreadsheets/d/1sbaTJIEs8I7XTpGUl1gZ8em-J48uYWx8P9XF_jnHubM/edit?gid=91456061#gid=91456061"", ""SUMMARY!$D""&amp;ROW($D35))"),"MARICAR B. ALVAREZ")</f>
        <v>MARICAR B. ALVAREZ</v>
      </c>
      <c r="F109" s="29" t="str">
        <f>IFERROR(__xludf.DUMMYFUNCTION("IMPORTRANGE(""https://docs.google.com/spreadsheets/d/1sbaTJIEs8I7XTpGUl1gZ8em-J48uYWx8P9XF_jnHubM/edit?gid=91456061#gid=91456061"", ""SUMMARY!$E""&amp;ROW($E35))"),"HUMSS")</f>
        <v>HUMSS</v>
      </c>
      <c r="G109" s="19" t="str">
        <f>IFERROR(__xludf.DUMMYFUNCTION("IMPORTRANGE(""https://docs.google.com/spreadsheets/d/1otQjWHjy3Rq_-7Ie_93jllGR_QbNz_QcBUMPB-NJUP8/edit?gid=902639746#gid=902639746"", ""CHECKING!$F""&amp;COLUMN(F321))"),"ENCODED")</f>
        <v>ENCODED</v>
      </c>
      <c r="H109" s="19" t="str">
        <f>IFERROR(__xludf.DUMMYFUNCTION("IMPORTRANGE(""https://docs.google.com/spreadsheets/d/1otQjWHjy3Rq_-7Ie_93jllGR_QbNz_QcBUMPB-NJUP8/edit?gid=902639746#gid=902639746"", ""CHECKING!$G""&amp;ROW(G321))"),"ENCODED")</f>
        <v>ENCODED</v>
      </c>
      <c r="I109" s="19" t="str">
        <f>IFERROR(__xludf.DUMMYFUNCTION("IMPORTRANGE(""https://docs.google.com/spreadsheets/d/1otQjWHjy3Rq_-7Ie_93jllGR_QbNz_QcBUMPB-NJUP8/edit?gid=902639746#gid=902639746"", ""CHECKING!$H""&amp;ROW(H321))"),"ENCODED")</f>
        <v>ENCODED</v>
      </c>
      <c r="J109" s="19" t="str">
        <f>IFERROR(__xludf.DUMMYFUNCTION("IMPORTRANGE(""https://docs.google.com/spreadsheets/d/1otQjWHjy3Rq_-7Ie_93jllGR_QbNz_QcBUMPB-NJUP8/edit?gid=902639746#gid=902639746"", ""CHECKING!$I""&amp;ROW(I321))"),"NOT ENCODED")</f>
        <v>NOT ENCODED</v>
      </c>
      <c r="K109" s="19" t="str">
        <f>IFERROR(__xludf.DUMMYFUNCTION("IMPORTRANGE(""https://docs.google.com/spreadsheets/d/1otQjWHjy3Rq_-7Ie_93jllGR_QbNz_QcBUMPB-NJUP8/edit?gid=902639746#gid=902639746"", ""CHECKING!$J""&amp;ROW(J321))"),"NOT ENCODED")</f>
        <v>NOT ENCODED</v>
      </c>
      <c r="L109" s="19" t="str">
        <f>IFERROR(__xludf.DUMMYFUNCTION("IMPORTRANGE(""https://docs.google.com/spreadsheets/d/1otQjWHjy3Rq_-7Ie_93jllGR_QbNz_QcBUMPB-NJUP8/edit?gid=902639746#gid=902639746"", ""CHECKING!$K""&amp;ROW(K321))"),"NOT ENCODED")</f>
        <v>NOT ENCODED</v>
      </c>
      <c r="M109" s="19" t="str">
        <f>IFERROR(__xludf.DUMMYFUNCTION("IMPORTRANGE(""https://docs.google.com/spreadsheets/d/1otQjWHjy3Rq_-7Ie_93jllGR_QbNz_QcBUMPB-NJUP8/edit?gid=902639746#gid=902639746"", ""CHECKING!$L""&amp;ROW(L321))"),"NOT ENCODED")</f>
        <v>NOT ENCODED</v>
      </c>
    </row>
    <row r="110">
      <c r="A110" s="26" t="s">
        <v>19</v>
      </c>
      <c r="B110" s="27">
        <f>IFERROR(__xludf.DUMMYFUNCTION("IMPORTRANGE(""https://docs.google.com/spreadsheets/d/1sbaTJIEs8I7XTpGUl1gZ8em-J48uYWx8P9XF_jnHubM/edit?gid=91456061#gid=91456061"", ""SUMMARY!$B""&amp;ROW($B36))"),29.0)</f>
        <v>29</v>
      </c>
      <c r="C110" s="27" t="str">
        <f>IFERROR(__xludf.DUMMYFUNCTION("IMPORTRANGE(""https://docs.google.com/spreadsheets/d/1sbaTJIEs8I7XTpGUl1gZ8em-J48uYWx8P9XF_jnHubM/edit?gid=91456061#gid=91456061"", ""SUMMARY!$C""&amp;ROW($C36))"),"SOCRATES")</f>
        <v>SOCRATES</v>
      </c>
      <c r="D110" s="28" t="str">
        <f>IFERROR(__xludf.DUMMYFUNCTION("IMPORTRANGE(""https://docs.google.com/spreadsheets/d/1sbaTJIEs8I7XTpGUl1gZ8em-J48uYWx8P9XF_jnHubM/edit?gid=91456061#gid=91456061"", ""SUMMARY!$F""&amp;ROW($F36))"),"HUMSS")</f>
        <v>HUMSS</v>
      </c>
      <c r="E110" s="29" t="str">
        <f>IFERROR(__xludf.DUMMYFUNCTION("IMPORTRANGE(""https://docs.google.com/spreadsheets/d/1sbaTJIEs8I7XTpGUl1gZ8em-J48uYWx8P9XF_jnHubM/edit?gid=91456061#gid=91456061"", ""SUMMARY!$D""&amp;ROW($D36))"),"ALBERT M. GASIC")</f>
        <v>ALBERT M. GASIC</v>
      </c>
      <c r="F110" s="29" t="str">
        <f>IFERROR(__xludf.DUMMYFUNCTION("IMPORTRANGE(""https://docs.google.com/spreadsheets/d/1sbaTJIEs8I7XTpGUl1gZ8em-J48uYWx8P9XF_jnHubM/edit?gid=91456061#gid=91456061"", ""SUMMARY!$E""&amp;ROW($E36))"),"ABM")</f>
        <v>ABM</v>
      </c>
      <c r="G110" s="19" t="str">
        <f>IFERROR(__xludf.DUMMYFUNCTION("IMPORTRANGE(""https://docs.google.com/spreadsheets/d/1otQjWHjy3Rq_-7Ie_93jllGR_QbNz_QcBUMPB-NJUP8/edit?gid=902639746#gid=902639746"", ""CHECKING!$F""&amp;COLUMN(F322))"),"ENCODED")</f>
        <v>ENCODED</v>
      </c>
      <c r="H110" s="19" t="str">
        <f>IFERROR(__xludf.DUMMYFUNCTION("IMPORTRANGE(""https://docs.google.com/spreadsheets/d/1otQjWHjy3Rq_-7Ie_93jllGR_QbNz_QcBUMPB-NJUP8/edit?gid=902639746#gid=902639746"", ""CHECKING!$G""&amp;ROW(G322))"),"ENCODED")</f>
        <v>ENCODED</v>
      </c>
      <c r="I110" s="19" t="str">
        <f>IFERROR(__xludf.DUMMYFUNCTION("IMPORTRANGE(""https://docs.google.com/spreadsheets/d/1otQjWHjy3Rq_-7Ie_93jllGR_QbNz_QcBUMPB-NJUP8/edit?gid=902639746#gid=902639746"", ""CHECKING!$H""&amp;ROW(H322))"),"ENCODED")</f>
        <v>ENCODED</v>
      </c>
      <c r="J110" s="19" t="str">
        <f>IFERROR(__xludf.DUMMYFUNCTION("IMPORTRANGE(""https://docs.google.com/spreadsheets/d/1otQjWHjy3Rq_-7Ie_93jllGR_QbNz_QcBUMPB-NJUP8/edit?gid=902639746#gid=902639746"", ""CHECKING!$I""&amp;ROW(I322))"),"NOT ENCODED")</f>
        <v>NOT ENCODED</v>
      </c>
      <c r="K110" s="19" t="str">
        <f>IFERROR(__xludf.DUMMYFUNCTION("IMPORTRANGE(""https://docs.google.com/spreadsheets/d/1otQjWHjy3Rq_-7Ie_93jllGR_QbNz_QcBUMPB-NJUP8/edit?gid=902639746#gid=902639746"", ""CHECKING!$J""&amp;ROW(J322))"),"NOT ENCODED")</f>
        <v>NOT ENCODED</v>
      </c>
      <c r="L110" s="19" t="str">
        <f>IFERROR(__xludf.DUMMYFUNCTION("IMPORTRANGE(""https://docs.google.com/spreadsheets/d/1otQjWHjy3Rq_-7Ie_93jllGR_QbNz_QcBUMPB-NJUP8/edit?gid=902639746#gid=902639746"", ""CHECKING!$K""&amp;ROW(K322))"),"NOT ENCODED")</f>
        <v>NOT ENCODED</v>
      </c>
      <c r="M110" s="19" t="str">
        <f>IFERROR(__xludf.DUMMYFUNCTION("IMPORTRANGE(""https://docs.google.com/spreadsheets/d/1otQjWHjy3Rq_-7Ie_93jllGR_QbNz_QcBUMPB-NJUP8/edit?gid=902639746#gid=902639746"", ""CHECKING!$L""&amp;ROW(L322))"),"NOT ENCODED")</f>
        <v>NOT ENCODED</v>
      </c>
    </row>
    <row r="111">
      <c r="A111" s="26" t="s">
        <v>19</v>
      </c>
      <c r="B111" s="27">
        <f>IFERROR(__xludf.DUMMYFUNCTION("IMPORTRANGE(""https://docs.google.com/spreadsheets/d/1sbaTJIEs8I7XTpGUl1gZ8em-J48uYWx8P9XF_jnHubM/edit?gid=91456061#gid=91456061"", ""SUMMARY!$B""&amp;ROW($B37))"),30.0)</f>
        <v>30</v>
      </c>
      <c r="C111" s="27" t="str">
        <f>IFERROR(__xludf.DUMMYFUNCTION("IMPORTRANGE(""https://docs.google.com/spreadsheets/d/1sbaTJIEs8I7XTpGUl1gZ8em-J48uYWx8P9XF_jnHubM/edit?gid=91456061#gid=91456061"", ""SUMMARY!$C""&amp;ROW($C37))"),"VOLTAIRE")</f>
        <v>VOLTAIRE</v>
      </c>
      <c r="D111" s="28" t="str">
        <f>IFERROR(__xludf.DUMMYFUNCTION("IMPORTRANGE(""https://docs.google.com/spreadsheets/d/1sbaTJIEs8I7XTpGUl1gZ8em-J48uYWx8P9XF_jnHubM/edit?gid=91456061#gid=91456061"", ""SUMMARY!$F""&amp;ROW($F37))"),"HUMSS")</f>
        <v>HUMSS</v>
      </c>
      <c r="E111" s="29" t="str">
        <f>IFERROR(__xludf.DUMMYFUNCTION("IMPORTRANGE(""https://docs.google.com/spreadsheets/d/1sbaTJIEs8I7XTpGUl1gZ8em-J48uYWx8P9XF_jnHubM/edit?gid=91456061#gid=91456061"", ""SUMMARY!$D""&amp;ROW($D37))"),"CRISTINA A. LAGTAPON")</f>
        <v>CRISTINA A. LAGTAPON</v>
      </c>
      <c r="F111" s="29" t="str">
        <f>IFERROR(__xludf.DUMMYFUNCTION("IMPORTRANGE(""https://docs.google.com/spreadsheets/d/1sbaTJIEs8I7XTpGUl1gZ8em-J48uYWx8P9XF_jnHubM/edit?gid=91456061#gid=91456061"", ""SUMMARY!$E""&amp;ROW($E37))"),"ENGLISH")</f>
        <v>ENGLISH</v>
      </c>
      <c r="G111" s="19" t="str">
        <f>IFERROR(__xludf.DUMMYFUNCTION("IMPORTRANGE(""https://docs.google.com/spreadsheets/d/1otQjWHjy3Rq_-7Ie_93jllGR_QbNz_QcBUMPB-NJUP8/edit?gid=902639746#gid=902639746"", ""CHECKING!$F""&amp;COLUMN(F323))"),"ENCODED")</f>
        <v>ENCODED</v>
      </c>
      <c r="H111" s="19" t="str">
        <f>IFERROR(__xludf.DUMMYFUNCTION("IMPORTRANGE(""https://docs.google.com/spreadsheets/d/1otQjWHjy3Rq_-7Ie_93jllGR_QbNz_QcBUMPB-NJUP8/edit?gid=902639746#gid=902639746"", ""CHECKING!$G""&amp;ROW(G323))"),"ENCODED")</f>
        <v>ENCODED</v>
      </c>
      <c r="I111" s="19" t="str">
        <f>IFERROR(__xludf.DUMMYFUNCTION("IMPORTRANGE(""https://docs.google.com/spreadsheets/d/1otQjWHjy3Rq_-7Ie_93jllGR_QbNz_QcBUMPB-NJUP8/edit?gid=902639746#gid=902639746"", ""CHECKING!$H""&amp;ROW(H323))"),"ENCODED")</f>
        <v>ENCODED</v>
      </c>
      <c r="J111" s="19" t="str">
        <f>IFERROR(__xludf.DUMMYFUNCTION("IMPORTRANGE(""https://docs.google.com/spreadsheets/d/1otQjWHjy3Rq_-7Ie_93jllGR_QbNz_QcBUMPB-NJUP8/edit?gid=902639746#gid=902639746"", ""CHECKING!$I""&amp;ROW(I323))"),"ENCODED")</f>
        <v>ENCODED</v>
      </c>
      <c r="K111" s="19" t="str">
        <f>IFERROR(__xludf.DUMMYFUNCTION("IMPORTRANGE(""https://docs.google.com/spreadsheets/d/1otQjWHjy3Rq_-7Ie_93jllGR_QbNz_QcBUMPB-NJUP8/edit?gid=902639746#gid=902639746"", ""CHECKING!$J""&amp;ROW(J323))"),"ENCODED")</f>
        <v>ENCODED</v>
      </c>
      <c r="L111" s="19" t="str">
        <f>IFERROR(__xludf.DUMMYFUNCTION("IMPORTRANGE(""https://docs.google.com/spreadsheets/d/1otQjWHjy3Rq_-7Ie_93jllGR_QbNz_QcBUMPB-NJUP8/edit?gid=902639746#gid=902639746"", ""CHECKING!$K""&amp;ROW(K323))"),"NOT ENCODED")</f>
        <v>NOT ENCODED</v>
      </c>
      <c r="M111" s="19" t="str">
        <f>IFERROR(__xludf.DUMMYFUNCTION("IMPORTRANGE(""https://docs.google.com/spreadsheets/d/1otQjWHjy3Rq_-7Ie_93jllGR_QbNz_QcBUMPB-NJUP8/edit?gid=902639746#gid=902639746"", ""CHECKING!$L""&amp;ROW(L323))"),"NOT ENCODED")</f>
        <v>NOT ENCODED</v>
      </c>
    </row>
    <row r="112">
      <c r="A112" s="26" t="s">
        <v>19</v>
      </c>
      <c r="B112" s="27">
        <f>IFERROR(__xludf.DUMMYFUNCTION("IMPORTRANGE(""https://docs.google.com/spreadsheets/d/1sbaTJIEs8I7XTpGUl1gZ8em-J48uYWx8P9XF_jnHubM/edit?gid=91456061#gid=91456061"", ""SUMMARY!$B""&amp;ROW($B38))"),31.0)</f>
        <v>31</v>
      </c>
      <c r="C112" s="27" t="str">
        <f>IFERROR(__xludf.DUMMYFUNCTION("IMPORTRANGE(""https://docs.google.com/spreadsheets/d/1sbaTJIEs8I7XTpGUl1gZ8em-J48uYWx8P9XF_jnHubM/edit?gid=91456061#gid=91456061"", ""SUMMARY!$C""&amp;ROW($C38))"),"ARMSTRONG")</f>
        <v>ARMSTRONG</v>
      </c>
      <c r="D112" s="28" t="str">
        <f>IFERROR(__xludf.DUMMYFUNCTION("IMPORTRANGE(""https://docs.google.com/spreadsheets/d/1sbaTJIEs8I7XTpGUl1gZ8em-J48uYWx8P9XF_jnHubM/edit?gid=91456061#gid=91456061"", ""SUMMARY!$F""&amp;ROW($F38))"),"STEM")</f>
        <v>STEM</v>
      </c>
      <c r="E112" s="29" t="str">
        <f>IFERROR(__xludf.DUMMYFUNCTION("IMPORTRANGE(""https://docs.google.com/spreadsheets/d/1sbaTJIEs8I7XTpGUl1gZ8em-J48uYWx8P9XF_jnHubM/edit?gid=91456061#gid=91456061"", ""SUMMARY!$D""&amp;ROW($D38))"),"JOYMEN O. MENDOZA")</f>
        <v>JOYMEN O. MENDOZA</v>
      </c>
      <c r="F112" s="29" t="str">
        <f>IFERROR(__xludf.DUMMYFUNCTION("IMPORTRANGE(""https://docs.google.com/spreadsheets/d/1sbaTJIEs8I7XTpGUl1gZ8em-J48uYWx8P9XF_jnHubM/edit?gid=91456061#gid=91456061"", ""SUMMARY!$E""&amp;ROW($E38))"),"SCIENCE")</f>
        <v>SCIENCE</v>
      </c>
      <c r="G112" s="19" t="str">
        <f>IFERROR(__xludf.DUMMYFUNCTION("IMPORTRANGE(""https://docs.google.com/spreadsheets/d/1otQjWHjy3Rq_-7Ie_93jllGR_QbNz_QcBUMPB-NJUP8/edit?gid=902639746#gid=902639746"", ""CHECKING!$F""&amp;COLUMN(F324))"),"ENCODED")</f>
        <v>ENCODED</v>
      </c>
      <c r="H112" s="19" t="str">
        <f>IFERROR(__xludf.DUMMYFUNCTION("IMPORTRANGE(""https://docs.google.com/spreadsheets/d/1otQjWHjy3Rq_-7Ie_93jllGR_QbNz_QcBUMPB-NJUP8/edit?gid=902639746#gid=902639746"", ""CHECKING!$G""&amp;ROW(G324))"),"ENCODED")</f>
        <v>ENCODED</v>
      </c>
      <c r="I112" s="19" t="str">
        <f>IFERROR(__xludf.DUMMYFUNCTION("IMPORTRANGE(""https://docs.google.com/spreadsheets/d/1otQjWHjy3Rq_-7Ie_93jllGR_QbNz_QcBUMPB-NJUP8/edit?gid=902639746#gid=902639746"", ""CHECKING!$H""&amp;ROW(H324))"),"ENCODED")</f>
        <v>ENCODED</v>
      </c>
      <c r="J112" s="19" t="str">
        <f>IFERROR(__xludf.DUMMYFUNCTION("IMPORTRANGE(""https://docs.google.com/spreadsheets/d/1otQjWHjy3Rq_-7Ie_93jllGR_QbNz_QcBUMPB-NJUP8/edit?gid=902639746#gid=902639746"", ""CHECKING!$I""&amp;ROW(I324))"),"ENCODED")</f>
        <v>ENCODED</v>
      </c>
      <c r="K112" s="19" t="str">
        <f>IFERROR(__xludf.DUMMYFUNCTION("IMPORTRANGE(""https://docs.google.com/spreadsheets/d/1otQjWHjy3Rq_-7Ie_93jllGR_QbNz_QcBUMPB-NJUP8/edit?gid=902639746#gid=902639746"", ""CHECKING!$J""&amp;ROW(J324))"),"NOT ENCODED")</f>
        <v>NOT ENCODED</v>
      </c>
      <c r="L112" s="19" t="str">
        <f>IFERROR(__xludf.DUMMYFUNCTION("IMPORTRANGE(""https://docs.google.com/spreadsheets/d/1otQjWHjy3Rq_-7Ie_93jllGR_QbNz_QcBUMPB-NJUP8/edit?gid=902639746#gid=902639746"", ""CHECKING!$K""&amp;ROW(K324))"),"NOT ENCODED")</f>
        <v>NOT ENCODED</v>
      </c>
      <c r="M112" s="19" t="str">
        <f>IFERROR(__xludf.DUMMYFUNCTION("IMPORTRANGE(""https://docs.google.com/spreadsheets/d/1otQjWHjy3Rq_-7Ie_93jllGR_QbNz_QcBUMPB-NJUP8/edit?gid=902639746#gid=902639746"", ""CHECKING!$L""&amp;ROW(L324))"),"NOT ENCODED")</f>
        <v>NOT ENCODED</v>
      </c>
    </row>
    <row r="113">
      <c r="A113" s="26" t="s">
        <v>19</v>
      </c>
      <c r="B113" s="27">
        <f>IFERROR(__xludf.DUMMYFUNCTION("IMPORTRANGE(""https://docs.google.com/spreadsheets/d/1sbaTJIEs8I7XTpGUl1gZ8em-J48uYWx8P9XF_jnHubM/edit?gid=91456061#gid=91456061"", ""SUMMARY!$B""&amp;ROW($B39))"),32.0)</f>
        <v>32</v>
      </c>
      <c r="C113" s="27" t="str">
        <f>IFERROR(__xludf.DUMMYFUNCTION("IMPORTRANGE(""https://docs.google.com/spreadsheets/d/1sbaTJIEs8I7XTpGUl1gZ8em-J48uYWx8P9XF_jnHubM/edit?gid=91456061#gid=91456061"", ""SUMMARY!$C""&amp;ROW($C39))"),"CURIE")</f>
        <v>CURIE</v>
      </c>
      <c r="D113" s="28" t="str">
        <f>IFERROR(__xludf.DUMMYFUNCTION("IMPORTRANGE(""https://docs.google.com/spreadsheets/d/1sbaTJIEs8I7XTpGUl1gZ8em-J48uYWx8P9XF_jnHubM/edit?gid=91456061#gid=91456061"", ""SUMMARY!$F""&amp;ROW($F39))"),"STEM")</f>
        <v>STEM</v>
      </c>
      <c r="E113" s="29" t="str">
        <f>IFERROR(__xludf.DUMMYFUNCTION("IMPORTRANGE(""https://docs.google.com/spreadsheets/d/1sbaTJIEs8I7XTpGUl1gZ8em-J48uYWx8P9XF_jnHubM/edit?gid=91456061#gid=91456061"", ""SUMMARY!$D""&amp;ROW($D39))"),"MARK ROMMELD D. SANTOS")</f>
        <v>MARK ROMMELD D. SANTOS</v>
      </c>
      <c r="F113" s="29" t="str">
        <f>IFERROR(__xludf.DUMMYFUNCTION("IMPORTRANGE(""https://docs.google.com/spreadsheets/d/1sbaTJIEs8I7XTpGUl1gZ8em-J48uYWx8P9XF_jnHubM/edit?gid=91456061#gid=91456061"", ""SUMMARY!$E""&amp;ROW($E39))"),"FILIPINO")</f>
        <v>FILIPINO</v>
      </c>
      <c r="G113" s="19" t="str">
        <f>IFERROR(__xludf.DUMMYFUNCTION("IMPORTRANGE(""https://docs.google.com/spreadsheets/d/1otQjWHjy3Rq_-7Ie_93jllGR_QbNz_QcBUMPB-NJUP8/edit?gid=902639746#gid=902639746"", ""CHECKING!$F""&amp;COLUMN(F325))"),"ENCODED")</f>
        <v>ENCODED</v>
      </c>
      <c r="H113" s="19" t="str">
        <f>IFERROR(__xludf.DUMMYFUNCTION("IMPORTRANGE(""https://docs.google.com/spreadsheets/d/1otQjWHjy3Rq_-7Ie_93jllGR_QbNz_QcBUMPB-NJUP8/edit?gid=902639746#gid=902639746"", ""CHECKING!$G""&amp;ROW(G325))"),"ENCODED")</f>
        <v>ENCODED</v>
      </c>
      <c r="I113" s="19" t="str">
        <f>IFERROR(__xludf.DUMMYFUNCTION("IMPORTRANGE(""https://docs.google.com/spreadsheets/d/1otQjWHjy3Rq_-7Ie_93jllGR_QbNz_QcBUMPB-NJUP8/edit?gid=902639746#gid=902639746"", ""CHECKING!$H""&amp;ROW(H325))"),"ENCODED")</f>
        <v>ENCODED</v>
      </c>
      <c r="J113" s="19" t="str">
        <f>IFERROR(__xludf.DUMMYFUNCTION("IMPORTRANGE(""https://docs.google.com/spreadsheets/d/1otQjWHjy3Rq_-7Ie_93jllGR_QbNz_QcBUMPB-NJUP8/edit?gid=902639746#gid=902639746"", ""CHECKING!$I""&amp;ROW(I325))"),"NOT ENCODED")</f>
        <v>NOT ENCODED</v>
      </c>
      <c r="K113" s="19" t="str">
        <f>IFERROR(__xludf.DUMMYFUNCTION("IMPORTRANGE(""https://docs.google.com/spreadsheets/d/1otQjWHjy3Rq_-7Ie_93jllGR_QbNz_QcBUMPB-NJUP8/edit?gid=902639746#gid=902639746"", ""CHECKING!$J""&amp;ROW(J325))"),"NOT ENCODED")</f>
        <v>NOT ENCODED</v>
      </c>
      <c r="L113" s="19" t="str">
        <f>IFERROR(__xludf.DUMMYFUNCTION("IMPORTRANGE(""https://docs.google.com/spreadsheets/d/1otQjWHjy3Rq_-7Ie_93jllGR_QbNz_QcBUMPB-NJUP8/edit?gid=902639746#gid=902639746"", ""CHECKING!$K""&amp;ROW(K325))"),"NOT ENCODED")</f>
        <v>NOT ENCODED</v>
      </c>
      <c r="M113" s="19" t="str">
        <f>IFERROR(__xludf.DUMMYFUNCTION("IMPORTRANGE(""https://docs.google.com/spreadsheets/d/1otQjWHjy3Rq_-7Ie_93jllGR_QbNz_QcBUMPB-NJUP8/edit?gid=902639746#gid=902639746"", ""CHECKING!$L""&amp;ROW(L325))"),"NOT ENCODED")</f>
        <v>NOT ENCODED</v>
      </c>
    </row>
    <row r="114">
      <c r="A114" s="26" t="s">
        <v>19</v>
      </c>
      <c r="B114" s="27">
        <f>IFERROR(__xludf.DUMMYFUNCTION("IMPORTRANGE(""https://docs.google.com/spreadsheets/d/1sbaTJIEs8I7XTpGUl1gZ8em-J48uYWx8P9XF_jnHubM/edit?gid=91456061#gid=91456061"", ""SUMMARY!$B""&amp;ROW($B40))"),33.0)</f>
        <v>33</v>
      </c>
      <c r="C114" s="27" t="str">
        <f>IFERROR(__xludf.DUMMYFUNCTION("IMPORTRANGE(""https://docs.google.com/spreadsheets/d/1sbaTJIEs8I7XTpGUl1gZ8em-J48uYWx8P9XF_jnHubM/edit?gid=91456061#gid=91456061"", ""SUMMARY!$C""&amp;ROW($C40))"),"DARWIN")</f>
        <v>DARWIN</v>
      </c>
      <c r="D114" s="28" t="str">
        <f>IFERROR(__xludf.DUMMYFUNCTION("IMPORTRANGE(""https://docs.google.com/spreadsheets/d/1sbaTJIEs8I7XTpGUl1gZ8em-J48uYWx8P9XF_jnHubM/edit?gid=91456061#gid=91456061"", ""SUMMARY!$F""&amp;ROW($F40))"),"STEM")</f>
        <v>STEM</v>
      </c>
      <c r="E114" s="29" t="str">
        <f>IFERROR(__xludf.DUMMYFUNCTION("IMPORTRANGE(""https://docs.google.com/spreadsheets/d/1sbaTJIEs8I7XTpGUl1gZ8em-J48uYWx8P9XF_jnHubM/edit?gid=91456061#gid=91456061"", ""SUMMARY!$D""&amp;ROW($D40))"),"FERDINAND C. SALVACION")</f>
        <v>FERDINAND C. SALVACION</v>
      </c>
      <c r="F114" s="29" t="str">
        <f>IFERROR(__xludf.DUMMYFUNCTION("IMPORTRANGE(""https://docs.google.com/spreadsheets/d/1sbaTJIEs8I7XTpGUl1gZ8em-J48uYWx8P9XF_jnHubM/edit?gid=91456061#gid=91456061"", ""SUMMARY!$E""&amp;ROW($E40))"),"ABM")</f>
        <v>ABM</v>
      </c>
      <c r="G114" s="19" t="str">
        <f>IFERROR(__xludf.DUMMYFUNCTION("IMPORTRANGE(""https://docs.google.com/spreadsheets/d/1otQjWHjy3Rq_-7Ie_93jllGR_QbNz_QcBUMPB-NJUP8/edit?gid=902639746#gid=902639746"", ""CHECKING!$F""&amp;COLUMN(F326))"),"ENCODED")</f>
        <v>ENCODED</v>
      </c>
      <c r="H114" s="19" t="str">
        <f>IFERROR(__xludf.DUMMYFUNCTION("IMPORTRANGE(""https://docs.google.com/spreadsheets/d/1otQjWHjy3Rq_-7Ie_93jllGR_QbNz_QcBUMPB-NJUP8/edit?gid=902639746#gid=902639746"", ""CHECKING!$G""&amp;ROW(G326))"),"ENCODED")</f>
        <v>ENCODED</v>
      </c>
      <c r="I114" s="19" t="str">
        <f>IFERROR(__xludf.DUMMYFUNCTION("IMPORTRANGE(""https://docs.google.com/spreadsheets/d/1otQjWHjy3Rq_-7Ie_93jllGR_QbNz_QcBUMPB-NJUP8/edit?gid=902639746#gid=902639746"", ""CHECKING!$H""&amp;ROW(H326))"),"ENCODED")</f>
        <v>ENCODED</v>
      </c>
      <c r="J114" s="19" t="str">
        <f>IFERROR(__xludf.DUMMYFUNCTION("IMPORTRANGE(""https://docs.google.com/spreadsheets/d/1otQjWHjy3Rq_-7Ie_93jllGR_QbNz_QcBUMPB-NJUP8/edit?gid=902639746#gid=902639746"", ""CHECKING!$I""&amp;ROW(I326))"),"ENCODED")</f>
        <v>ENCODED</v>
      </c>
      <c r="K114" s="19" t="str">
        <f>IFERROR(__xludf.DUMMYFUNCTION("IMPORTRANGE(""https://docs.google.com/spreadsheets/d/1otQjWHjy3Rq_-7Ie_93jllGR_QbNz_QcBUMPB-NJUP8/edit?gid=902639746#gid=902639746"", ""CHECKING!$J""&amp;ROW(J326))"),"NOT ENCODED")</f>
        <v>NOT ENCODED</v>
      </c>
      <c r="L114" s="19" t="str">
        <f>IFERROR(__xludf.DUMMYFUNCTION("IMPORTRANGE(""https://docs.google.com/spreadsheets/d/1otQjWHjy3Rq_-7Ie_93jllGR_QbNz_QcBUMPB-NJUP8/edit?gid=902639746#gid=902639746"", ""CHECKING!$K""&amp;ROW(K326))"),"NOT ENCODED")</f>
        <v>NOT ENCODED</v>
      </c>
      <c r="M114" s="19" t="str">
        <f>IFERROR(__xludf.DUMMYFUNCTION("IMPORTRANGE(""https://docs.google.com/spreadsheets/d/1otQjWHjy3Rq_-7Ie_93jllGR_QbNz_QcBUMPB-NJUP8/edit?gid=902639746#gid=902639746"", ""CHECKING!$L""&amp;ROW(L326))"),"NOT ENCODED")</f>
        <v>NOT ENCODED</v>
      </c>
    </row>
    <row r="115">
      <c r="A115" s="26" t="s">
        <v>19</v>
      </c>
      <c r="B115" s="27">
        <f>IFERROR(__xludf.DUMMYFUNCTION("IMPORTRANGE(""https://docs.google.com/spreadsheets/d/1sbaTJIEs8I7XTpGUl1gZ8em-J48uYWx8P9XF_jnHubM/edit?gid=91456061#gid=91456061"", ""SUMMARY!$B""&amp;ROW($B41))"),34.0)</f>
        <v>34</v>
      </c>
      <c r="C115" s="27" t="str">
        <f>IFERROR(__xludf.DUMMYFUNCTION("IMPORTRANGE(""https://docs.google.com/spreadsheets/d/1sbaTJIEs8I7XTpGUl1gZ8em-J48uYWx8P9XF_jnHubM/edit?gid=91456061#gid=91456061"", ""SUMMARY!$C""&amp;ROW($C41))"),"EINSTEIN")</f>
        <v>EINSTEIN</v>
      </c>
      <c r="D115" s="28" t="str">
        <f>IFERROR(__xludf.DUMMYFUNCTION("IMPORTRANGE(""https://docs.google.com/spreadsheets/d/1sbaTJIEs8I7XTpGUl1gZ8em-J48uYWx8P9XF_jnHubM/edit?gid=91456061#gid=91456061"", ""SUMMARY!$F""&amp;ROW($F41))"),"STEM")</f>
        <v>STEM</v>
      </c>
      <c r="E115" s="29" t="str">
        <f>IFERROR(__xludf.DUMMYFUNCTION("IMPORTRANGE(""https://docs.google.com/spreadsheets/d/1sbaTJIEs8I7XTpGUl1gZ8em-J48uYWx8P9XF_jnHubM/edit?gid=91456061#gid=91456061"", ""SUMMARY!$D""&amp;ROW($D41))"),"MENARD M. IRAC")</f>
        <v>MENARD M. IRAC</v>
      </c>
      <c r="F115" s="29" t="str">
        <f>IFERROR(__xludf.DUMMYFUNCTION("IMPORTRANGE(""https://docs.google.com/spreadsheets/d/1sbaTJIEs8I7XTpGUl1gZ8em-J48uYWx8P9XF_jnHubM/edit?gid=91456061#gid=91456061"", ""SUMMARY!$E""&amp;ROW($E41))"),"ENGLISH")</f>
        <v>ENGLISH</v>
      </c>
      <c r="G115" s="19" t="str">
        <f>IFERROR(__xludf.DUMMYFUNCTION("IMPORTRANGE(""https://docs.google.com/spreadsheets/d/1otQjWHjy3Rq_-7Ie_93jllGR_QbNz_QcBUMPB-NJUP8/edit?gid=902639746#gid=902639746"", ""CHECKING!$F""&amp;COLUMN(F327))"),"ENCODED")</f>
        <v>ENCODED</v>
      </c>
      <c r="H115" s="19" t="str">
        <f>IFERROR(__xludf.DUMMYFUNCTION("IMPORTRANGE(""https://docs.google.com/spreadsheets/d/1otQjWHjy3Rq_-7Ie_93jllGR_QbNz_QcBUMPB-NJUP8/edit?gid=902639746#gid=902639746"", ""CHECKING!$G""&amp;ROW(G327))"),"ENCODED")</f>
        <v>ENCODED</v>
      </c>
      <c r="I115" s="19" t="str">
        <f>IFERROR(__xludf.DUMMYFUNCTION("IMPORTRANGE(""https://docs.google.com/spreadsheets/d/1otQjWHjy3Rq_-7Ie_93jllGR_QbNz_QcBUMPB-NJUP8/edit?gid=902639746#gid=902639746"", ""CHECKING!$H""&amp;ROW(H327))"),"ENCODED")</f>
        <v>ENCODED</v>
      </c>
      <c r="J115" s="19" t="str">
        <f>IFERROR(__xludf.DUMMYFUNCTION("IMPORTRANGE(""https://docs.google.com/spreadsheets/d/1otQjWHjy3Rq_-7Ie_93jllGR_QbNz_QcBUMPB-NJUP8/edit?gid=902639746#gid=902639746"", ""CHECKING!$I""&amp;ROW(I327))"),"NOT ENCODED")</f>
        <v>NOT ENCODED</v>
      </c>
      <c r="K115" s="19" t="str">
        <f>IFERROR(__xludf.DUMMYFUNCTION("IMPORTRANGE(""https://docs.google.com/spreadsheets/d/1otQjWHjy3Rq_-7Ie_93jllGR_QbNz_QcBUMPB-NJUP8/edit?gid=902639746#gid=902639746"", ""CHECKING!$J""&amp;ROW(J327))"),"NOT ENCODED")</f>
        <v>NOT ENCODED</v>
      </c>
      <c r="L115" s="19" t="str">
        <f>IFERROR(__xludf.DUMMYFUNCTION("IMPORTRANGE(""https://docs.google.com/spreadsheets/d/1otQjWHjy3Rq_-7Ie_93jllGR_QbNz_QcBUMPB-NJUP8/edit?gid=902639746#gid=902639746"", ""CHECKING!$K""&amp;ROW(K327))"),"NOT ENCODED")</f>
        <v>NOT ENCODED</v>
      </c>
      <c r="M115" s="19" t="str">
        <f>IFERROR(__xludf.DUMMYFUNCTION("IMPORTRANGE(""https://docs.google.com/spreadsheets/d/1otQjWHjy3Rq_-7Ie_93jllGR_QbNz_QcBUMPB-NJUP8/edit?gid=902639746#gid=902639746"", ""CHECKING!$L""&amp;ROW(L327))"),"NOT ENCODED")</f>
        <v>NOT ENCODED</v>
      </c>
    </row>
    <row r="116">
      <c r="A116" s="26" t="s">
        <v>19</v>
      </c>
      <c r="B116" s="27">
        <f>IFERROR(__xludf.DUMMYFUNCTION("IMPORTRANGE(""https://docs.google.com/spreadsheets/d/1sbaTJIEs8I7XTpGUl1gZ8em-J48uYWx8P9XF_jnHubM/edit?gid=91456061#gid=91456061"", ""SUMMARY!$B""&amp;ROW($B42))"),35.0)</f>
        <v>35</v>
      </c>
      <c r="C116" s="27" t="str">
        <f>IFERROR(__xludf.DUMMYFUNCTION("IMPORTRANGE(""https://docs.google.com/spreadsheets/d/1sbaTJIEs8I7XTpGUl1gZ8em-J48uYWx8P9XF_jnHubM/edit?gid=91456061#gid=91456061"", ""SUMMARY!$C""&amp;ROW($C42))"),"FLEMING")</f>
        <v>FLEMING</v>
      </c>
      <c r="D116" s="28" t="str">
        <f>IFERROR(__xludf.DUMMYFUNCTION("IMPORTRANGE(""https://docs.google.com/spreadsheets/d/1sbaTJIEs8I7XTpGUl1gZ8em-J48uYWx8P9XF_jnHubM/edit?gid=91456061#gid=91456061"", ""SUMMARY!$F""&amp;ROW($F42))"),"STEM")</f>
        <v>STEM</v>
      </c>
      <c r="E116" s="29" t="str">
        <f>IFERROR(__xludf.DUMMYFUNCTION("IMPORTRANGE(""https://docs.google.com/spreadsheets/d/1sbaTJIEs8I7XTpGUl1gZ8em-J48uYWx8P9XF_jnHubM/edit?gid=91456061#gid=91456061"", ""SUMMARY!$D""&amp;ROW($D42))"),"MENO SEBASTIANO A. AGUSTIN")</f>
        <v>MENO SEBASTIANO A. AGUSTIN</v>
      </c>
      <c r="F116" s="29" t="str">
        <f>IFERROR(__xludf.DUMMYFUNCTION("IMPORTRANGE(""https://docs.google.com/spreadsheets/d/1sbaTJIEs8I7XTpGUl1gZ8em-J48uYWx8P9XF_jnHubM/edit?gid=91456061#gid=91456061"", ""SUMMARY!$E""&amp;ROW($E42))"),"HUMSS")</f>
        <v>HUMSS</v>
      </c>
      <c r="G116" s="19" t="str">
        <f>IFERROR(__xludf.DUMMYFUNCTION("IMPORTRANGE(""https://docs.google.com/spreadsheets/d/1otQjWHjy3Rq_-7Ie_93jllGR_QbNz_QcBUMPB-NJUP8/edit?gid=902639746#gid=902639746"", ""CHECKING!$F""&amp;COLUMN(F328))"),"ENCODED")</f>
        <v>ENCODED</v>
      </c>
      <c r="H116" s="19" t="str">
        <f>IFERROR(__xludf.DUMMYFUNCTION("IMPORTRANGE(""https://docs.google.com/spreadsheets/d/1otQjWHjy3Rq_-7Ie_93jllGR_QbNz_QcBUMPB-NJUP8/edit?gid=902639746#gid=902639746"", ""CHECKING!$G""&amp;ROW(G328))"),"ENCODED")</f>
        <v>ENCODED</v>
      </c>
      <c r="I116" s="19" t="str">
        <f>IFERROR(__xludf.DUMMYFUNCTION("IMPORTRANGE(""https://docs.google.com/spreadsheets/d/1otQjWHjy3Rq_-7Ie_93jllGR_QbNz_QcBUMPB-NJUP8/edit?gid=902639746#gid=902639746"", ""CHECKING!$H""&amp;ROW(H328))"),"ENCODED")</f>
        <v>ENCODED</v>
      </c>
      <c r="J116" s="19" t="str">
        <f>IFERROR(__xludf.DUMMYFUNCTION("IMPORTRANGE(""https://docs.google.com/spreadsheets/d/1otQjWHjy3Rq_-7Ie_93jllGR_QbNz_QcBUMPB-NJUP8/edit?gid=902639746#gid=902639746"", ""CHECKING!$I""&amp;ROW(I328))"),"NOT ENCODED")</f>
        <v>NOT ENCODED</v>
      </c>
      <c r="K116" s="19" t="str">
        <f>IFERROR(__xludf.DUMMYFUNCTION("IMPORTRANGE(""https://docs.google.com/spreadsheets/d/1otQjWHjy3Rq_-7Ie_93jllGR_QbNz_QcBUMPB-NJUP8/edit?gid=902639746#gid=902639746"", ""CHECKING!$J""&amp;ROW(J328))"),"NOT ENCODED")</f>
        <v>NOT ENCODED</v>
      </c>
      <c r="L116" s="19" t="str">
        <f>IFERROR(__xludf.DUMMYFUNCTION("IMPORTRANGE(""https://docs.google.com/spreadsheets/d/1otQjWHjy3Rq_-7Ie_93jllGR_QbNz_QcBUMPB-NJUP8/edit?gid=902639746#gid=902639746"", ""CHECKING!$K""&amp;ROW(K328))"),"NOT ENCODED")</f>
        <v>NOT ENCODED</v>
      </c>
      <c r="M116" s="19" t="str">
        <f>IFERROR(__xludf.DUMMYFUNCTION("IMPORTRANGE(""https://docs.google.com/spreadsheets/d/1otQjWHjy3Rq_-7Ie_93jllGR_QbNz_QcBUMPB-NJUP8/edit?gid=902639746#gid=902639746"", ""CHECKING!$L""&amp;ROW(L328))"),"NOT ENCODED")</f>
        <v>NOT ENCODED</v>
      </c>
    </row>
    <row r="117">
      <c r="A117" s="26" t="s">
        <v>19</v>
      </c>
      <c r="B117" s="27">
        <f>IFERROR(__xludf.DUMMYFUNCTION("IMPORTRANGE(""https://docs.google.com/spreadsheets/d/1sbaTJIEs8I7XTpGUl1gZ8em-J48uYWx8P9XF_jnHubM/edit?gid=91456061#gid=91456061"", ""SUMMARY!$B""&amp;ROW($B43))"),36.0)</f>
        <v>36</v>
      </c>
      <c r="C117" s="27" t="str">
        <f>IFERROR(__xludf.DUMMYFUNCTION("IMPORTRANGE(""https://docs.google.com/spreadsheets/d/1sbaTJIEs8I7XTpGUl1gZ8em-J48uYWx8P9XF_jnHubM/edit?gid=91456061#gid=91456061"", ""SUMMARY!$C""&amp;ROW($C43))"),"GALILEO")</f>
        <v>GALILEO</v>
      </c>
      <c r="D117" s="28" t="str">
        <f>IFERROR(__xludf.DUMMYFUNCTION("IMPORTRANGE(""https://docs.google.com/spreadsheets/d/1sbaTJIEs8I7XTpGUl1gZ8em-J48uYWx8P9XF_jnHubM/edit?gid=91456061#gid=91456061"", ""SUMMARY!$F""&amp;ROW($F43))"),"STEM")</f>
        <v>STEM</v>
      </c>
      <c r="E117" s="29" t="str">
        <f>IFERROR(__xludf.DUMMYFUNCTION("IMPORTRANGE(""https://docs.google.com/spreadsheets/d/1sbaTJIEs8I7XTpGUl1gZ8em-J48uYWx8P9XF_jnHubM/edit?gid=91456061#gid=91456061"", ""SUMMARY!$D""&amp;ROW($D43))"),"JAYSON L. LUMAGAS")</f>
        <v>JAYSON L. LUMAGAS</v>
      </c>
      <c r="F117" s="29" t="str">
        <f>IFERROR(__xludf.DUMMYFUNCTION("IMPORTRANGE(""https://docs.google.com/spreadsheets/d/1sbaTJIEs8I7XTpGUl1gZ8em-J48uYWx8P9XF_jnHubM/edit?gid=91456061#gid=91456061"", ""SUMMARY!$E""&amp;ROW($E43))"),"SCIENCE")</f>
        <v>SCIENCE</v>
      </c>
      <c r="G117" s="19" t="str">
        <f>IFERROR(__xludf.DUMMYFUNCTION("IMPORTRANGE(""https://docs.google.com/spreadsheets/d/1otQjWHjy3Rq_-7Ie_93jllGR_QbNz_QcBUMPB-NJUP8/edit?gid=902639746#gid=902639746"", ""CHECKING!$F""&amp;COLUMN(F329))"),"ENCODED")</f>
        <v>ENCODED</v>
      </c>
      <c r="H117" s="19" t="str">
        <f>IFERROR(__xludf.DUMMYFUNCTION("IMPORTRANGE(""https://docs.google.com/spreadsheets/d/1otQjWHjy3Rq_-7Ie_93jllGR_QbNz_QcBUMPB-NJUP8/edit?gid=902639746#gid=902639746"", ""CHECKING!$G""&amp;ROW(G329))"),"ENCODED")</f>
        <v>ENCODED</v>
      </c>
      <c r="I117" s="19" t="str">
        <f>IFERROR(__xludf.DUMMYFUNCTION("IMPORTRANGE(""https://docs.google.com/spreadsheets/d/1otQjWHjy3Rq_-7Ie_93jllGR_QbNz_QcBUMPB-NJUP8/edit?gid=902639746#gid=902639746"", ""CHECKING!$H""&amp;ROW(H329))"),"ENCODED")</f>
        <v>ENCODED</v>
      </c>
      <c r="J117" s="19" t="str">
        <f>IFERROR(__xludf.DUMMYFUNCTION("IMPORTRANGE(""https://docs.google.com/spreadsheets/d/1otQjWHjy3Rq_-7Ie_93jllGR_QbNz_QcBUMPB-NJUP8/edit?gid=902639746#gid=902639746"", ""CHECKING!$I""&amp;ROW(I329))"),"ENCODED")</f>
        <v>ENCODED</v>
      </c>
      <c r="K117" s="19" t="str">
        <f>IFERROR(__xludf.DUMMYFUNCTION("IMPORTRANGE(""https://docs.google.com/spreadsheets/d/1otQjWHjy3Rq_-7Ie_93jllGR_QbNz_QcBUMPB-NJUP8/edit?gid=902639746#gid=902639746"", ""CHECKING!$J""&amp;ROW(J329))"),"NOT ENCODED")</f>
        <v>NOT ENCODED</v>
      </c>
      <c r="L117" s="19" t="str">
        <f>IFERROR(__xludf.DUMMYFUNCTION("IMPORTRANGE(""https://docs.google.com/spreadsheets/d/1otQjWHjy3Rq_-7Ie_93jllGR_QbNz_QcBUMPB-NJUP8/edit?gid=902639746#gid=902639746"", ""CHECKING!$K""&amp;ROW(K329))"),"NOT ENCODED")</f>
        <v>NOT ENCODED</v>
      </c>
      <c r="M117" s="19" t="str">
        <f>IFERROR(__xludf.DUMMYFUNCTION("IMPORTRANGE(""https://docs.google.com/spreadsheets/d/1otQjWHjy3Rq_-7Ie_93jllGR_QbNz_QcBUMPB-NJUP8/edit?gid=902639746#gid=902639746"", ""CHECKING!$L""&amp;ROW(L329))"),"NOT ENCODED")</f>
        <v>NOT ENCODED</v>
      </c>
    </row>
    <row r="118">
      <c r="A118" s="26" t="s">
        <v>19</v>
      </c>
      <c r="B118" s="27">
        <f>IFERROR(__xludf.DUMMYFUNCTION("IMPORTRANGE(""https://docs.google.com/spreadsheets/d/1sbaTJIEs8I7XTpGUl1gZ8em-J48uYWx8P9XF_jnHubM/edit?gid=91456061#gid=91456061"", ""SUMMARY!$B""&amp;ROW($B44))"),37.0)</f>
        <v>37</v>
      </c>
      <c r="C118" s="27" t="str">
        <f>IFERROR(__xludf.DUMMYFUNCTION("IMPORTRANGE(""https://docs.google.com/spreadsheets/d/1sbaTJIEs8I7XTpGUl1gZ8em-J48uYWx8P9XF_jnHubM/edit?gid=91456061#gid=91456061"", ""SUMMARY!$C""&amp;ROW($C44))"),"HAWKING")</f>
        <v>HAWKING</v>
      </c>
      <c r="D118" s="28" t="str">
        <f>IFERROR(__xludf.DUMMYFUNCTION("IMPORTRANGE(""https://docs.google.com/spreadsheets/d/1sbaTJIEs8I7XTpGUl1gZ8em-J48uYWx8P9XF_jnHubM/edit?gid=91456061#gid=91456061"", ""SUMMARY!$F""&amp;ROW($F44))"),"STEM")</f>
        <v>STEM</v>
      </c>
      <c r="E118" s="29" t="str">
        <f>IFERROR(__xludf.DUMMYFUNCTION("IMPORTRANGE(""https://docs.google.com/spreadsheets/d/1sbaTJIEs8I7XTpGUl1gZ8em-J48uYWx8P9XF_jnHubM/edit?gid=91456061#gid=91456061"", ""SUMMARY!$D""&amp;ROW($D44))"),"CARISSA G. BALAGBAG")</f>
        <v>CARISSA G. BALAGBAG</v>
      </c>
      <c r="F118" s="29" t="str">
        <f>IFERROR(__xludf.DUMMYFUNCTION("IMPORTRANGE(""https://docs.google.com/spreadsheets/d/1sbaTJIEs8I7XTpGUl1gZ8em-J48uYWx8P9XF_jnHubM/edit?gid=91456061#gid=91456061"", ""SUMMARY!$E""&amp;ROW($E44))"),"SCIENCE")</f>
        <v>SCIENCE</v>
      </c>
      <c r="G118" s="19" t="str">
        <f>IFERROR(__xludf.DUMMYFUNCTION("IMPORTRANGE(""https://docs.google.com/spreadsheets/d/1otQjWHjy3Rq_-7Ie_93jllGR_QbNz_QcBUMPB-NJUP8/edit?gid=902639746#gid=902639746"", ""CHECKING!$F""&amp;COLUMN(F330))"),"ENCODED")</f>
        <v>ENCODED</v>
      </c>
      <c r="H118" s="19" t="str">
        <f>IFERROR(__xludf.DUMMYFUNCTION("IMPORTRANGE(""https://docs.google.com/spreadsheets/d/1otQjWHjy3Rq_-7Ie_93jllGR_QbNz_QcBUMPB-NJUP8/edit?gid=902639746#gid=902639746"", ""CHECKING!$G""&amp;ROW(G330))"),"ENCODED")</f>
        <v>ENCODED</v>
      </c>
      <c r="I118" s="19" t="str">
        <f>IFERROR(__xludf.DUMMYFUNCTION("IMPORTRANGE(""https://docs.google.com/spreadsheets/d/1otQjWHjy3Rq_-7Ie_93jllGR_QbNz_QcBUMPB-NJUP8/edit?gid=902639746#gid=902639746"", ""CHECKING!$H""&amp;ROW(H330))"),"ENCODED")</f>
        <v>ENCODED</v>
      </c>
      <c r="J118" s="19" t="str">
        <f>IFERROR(__xludf.DUMMYFUNCTION("IMPORTRANGE(""https://docs.google.com/spreadsheets/d/1otQjWHjy3Rq_-7Ie_93jllGR_QbNz_QcBUMPB-NJUP8/edit?gid=902639746#gid=902639746"", ""CHECKING!$I""&amp;ROW(I330))"),"ENCODED")</f>
        <v>ENCODED</v>
      </c>
      <c r="K118" s="19" t="str">
        <f>IFERROR(__xludf.DUMMYFUNCTION("IMPORTRANGE(""https://docs.google.com/spreadsheets/d/1otQjWHjy3Rq_-7Ie_93jllGR_QbNz_QcBUMPB-NJUP8/edit?gid=902639746#gid=902639746"", ""CHECKING!$J""&amp;ROW(J330))"),"NOT ENCODED")</f>
        <v>NOT ENCODED</v>
      </c>
      <c r="L118" s="19" t="str">
        <f>IFERROR(__xludf.DUMMYFUNCTION("IMPORTRANGE(""https://docs.google.com/spreadsheets/d/1otQjWHjy3Rq_-7Ie_93jllGR_QbNz_QcBUMPB-NJUP8/edit?gid=902639746#gid=902639746"", ""CHECKING!$K""&amp;ROW(K330))"),"NOT ENCODED")</f>
        <v>NOT ENCODED</v>
      </c>
      <c r="M118" s="19" t="str">
        <f>IFERROR(__xludf.DUMMYFUNCTION("IMPORTRANGE(""https://docs.google.com/spreadsheets/d/1otQjWHjy3Rq_-7Ie_93jllGR_QbNz_QcBUMPB-NJUP8/edit?gid=902639746#gid=902639746"", ""CHECKING!$L""&amp;ROW(L330))"),"NOT ENCODED")</f>
        <v>NOT ENCODED</v>
      </c>
    </row>
    <row r="119">
      <c r="A119" s="26" t="s">
        <v>19</v>
      </c>
      <c r="B119" s="27">
        <f>IFERROR(__xludf.DUMMYFUNCTION("IMPORTRANGE(""https://docs.google.com/spreadsheets/d/1sbaTJIEs8I7XTpGUl1gZ8em-J48uYWx8P9XF_jnHubM/edit?gid=91456061#gid=91456061"", ""SUMMARY!$B""&amp;ROW($B45))"),38.0)</f>
        <v>38</v>
      </c>
      <c r="C119" s="27" t="str">
        <f>IFERROR(__xludf.DUMMYFUNCTION("IMPORTRANGE(""https://docs.google.com/spreadsheets/d/1sbaTJIEs8I7XTpGUl1gZ8em-J48uYWx8P9XF_jnHubM/edit?gid=91456061#gid=91456061"", ""SUMMARY!$C""&amp;ROW($C45))"),"JOULE")</f>
        <v>JOULE</v>
      </c>
      <c r="D119" s="28" t="str">
        <f>IFERROR(__xludf.DUMMYFUNCTION("IMPORTRANGE(""https://docs.google.com/spreadsheets/d/1sbaTJIEs8I7XTpGUl1gZ8em-J48uYWx8P9XF_jnHubM/edit?gid=91456061#gid=91456061"", ""SUMMARY!$F""&amp;ROW($F45))"),"STEM")</f>
        <v>STEM</v>
      </c>
      <c r="E119" s="29" t="str">
        <f>IFERROR(__xludf.DUMMYFUNCTION("IMPORTRANGE(""https://docs.google.com/spreadsheets/d/1sbaTJIEs8I7XTpGUl1gZ8em-J48uYWx8P9XF_jnHubM/edit?gid=91456061#gid=91456061"", ""SUMMARY!$D""&amp;ROW($D45))"),"MARINELLE E. NANAS")</f>
        <v>MARINELLE E. NANAS</v>
      </c>
      <c r="F119" s="29" t="str">
        <f>IFERROR(__xludf.DUMMYFUNCTION("IMPORTRANGE(""https://docs.google.com/spreadsheets/d/1sbaTJIEs8I7XTpGUl1gZ8em-J48uYWx8P9XF_jnHubM/edit?gid=91456061#gid=91456061"", ""SUMMARY!$E""&amp;ROW($E45))"),"ENGLISH")</f>
        <v>ENGLISH</v>
      </c>
      <c r="G119" s="19" t="str">
        <f>IFERROR(__xludf.DUMMYFUNCTION("IMPORTRANGE(""https://docs.google.com/spreadsheets/d/1otQjWHjy3Rq_-7Ie_93jllGR_QbNz_QcBUMPB-NJUP8/edit?gid=902639746#gid=902639746"", ""CHECKING!$F""&amp;COLUMN(F331))"),"ENCODED")</f>
        <v>ENCODED</v>
      </c>
      <c r="H119" s="19" t="str">
        <f>IFERROR(__xludf.DUMMYFUNCTION("IMPORTRANGE(""https://docs.google.com/spreadsheets/d/1otQjWHjy3Rq_-7Ie_93jllGR_QbNz_QcBUMPB-NJUP8/edit?gid=902639746#gid=902639746"", ""CHECKING!$G""&amp;ROW(G331))"),"ENCODED")</f>
        <v>ENCODED</v>
      </c>
      <c r="I119" s="19" t="str">
        <f>IFERROR(__xludf.DUMMYFUNCTION("IMPORTRANGE(""https://docs.google.com/spreadsheets/d/1otQjWHjy3Rq_-7Ie_93jllGR_QbNz_QcBUMPB-NJUP8/edit?gid=902639746#gid=902639746"", ""CHECKING!$H""&amp;ROW(H331))"),"ENCODED")</f>
        <v>ENCODED</v>
      </c>
      <c r="J119" s="19" t="str">
        <f>IFERROR(__xludf.DUMMYFUNCTION("IMPORTRANGE(""https://docs.google.com/spreadsheets/d/1otQjWHjy3Rq_-7Ie_93jllGR_QbNz_QcBUMPB-NJUP8/edit?gid=902639746#gid=902639746"", ""CHECKING!$I""&amp;ROW(I331))"),"ENCODED")</f>
        <v>ENCODED</v>
      </c>
      <c r="K119" s="19" t="str">
        <f>IFERROR(__xludf.DUMMYFUNCTION("IMPORTRANGE(""https://docs.google.com/spreadsheets/d/1otQjWHjy3Rq_-7Ie_93jllGR_QbNz_QcBUMPB-NJUP8/edit?gid=902639746#gid=902639746"", ""CHECKING!$J""&amp;ROW(J331))"),"NOT ENCODED")</f>
        <v>NOT ENCODED</v>
      </c>
      <c r="L119" s="19" t="str">
        <f>IFERROR(__xludf.DUMMYFUNCTION("IMPORTRANGE(""https://docs.google.com/spreadsheets/d/1otQjWHjy3Rq_-7Ie_93jllGR_QbNz_QcBUMPB-NJUP8/edit?gid=902639746#gid=902639746"", ""CHECKING!$K""&amp;ROW(K331))"),"NOT ENCODED")</f>
        <v>NOT ENCODED</v>
      </c>
      <c r="M119" s="19" t="str">
        <f>IFERROR(__xludf.DUMMYFUNCTION("IMPORTRANGE(""https://docs.google.com/spreadsheets/d/1otQjWHjy3Rq_-7Ie_93jllGR_QbNz_QcBUMPB-NJUP8/edit?gid=902639746#gid=902639746"", ""CHECKING!$L""&amp;ROW(L331))"),"NOT ENCODED")</f>
        <v>NOT ENCODED</v>
      </c>
    </row>
    <row r="120">
      <c r="A120" s="26" t="s">
        <v>19</v>
      </c>
      <c r="B120" s="27">
        <f>IFERROR(__xludf.DUMMYFUNCTION("IMPORTRANGE(""https://docs.google.com/spreadsheets/d/1sbaTJIEs8I7XTpGUl1gZ8em-J48uYWx8P9XF_jnHubM/edit?gid=91456061#gid=91456061"", ""SUMMARY!$B""&amp;ROW($B46))"),39.0)</f>
        <v>39</v>
      </c>
      <c r="C120" s="27" t="str">
        <f>IFERROR(__xludf.DUMMYFUNCTION("IMPORTRANGE(""https://docs.google.com/spreadsheets/d/1sbaTJIEs8I7XTpGUl1gZ8em-J48uYWx8P9XF_jnHubM/edit?gid=91456061#gid=91456061"", ""SUMMARY!$C""&amp;ROW($C46))"),"KEPLER")</f>
        <v>KEPLER</v>
      </c>
      <c r="D120" s="28" t="str">
        <f>IFERROR(__xludf.DUMMYFUNCTION("IMPORTRANGE(""https://docs.google.com/spreadsheets/d/1sbaTJIEs8I7XTpGUl1gZ8em-J48uYWx8P9XF_jnHubM/edit?gid=91456061#gid=91456061"", ""SUMMARY!$F""&amp;ROW($F46))"),"STEM")</f>
        <v>STEM</v>
      </c>
      <c r="E120" s="29" t="str">
        <f>IFERROR(__xludf.DUMMYFUNCTION("IMPORTRANGE(""https://docs.google.com/spreadsheets/d/1sbaTJIEs8I7XTpGUl1gZ8em-J48uYWx8P9XF_jnHubM/edit?gid=91456061#gid=91456061"", ""SUMMARY!$D""&amp;ROW($D46))"),"JAAZIEL C. SORIANO")</f>
        <v>JAAZIEL C. SORIANO</v>
      </c>
      <c r="F120" s="29" t="str">
        <f>IFERROR(__xludf.DUMMYFUNCTION("IMPORTRANGE(""https://docs.google.com/spreadsheets/d/1sbaTJIEs8I7XTpGUl1gZ8em-J48uYWx8P9XF_jnHubM/edit?gid=91456061#gid=91456061"", ""SUMMARY!$E""&amp;ROW($E46))"),"ABM")</f>
        <v>ABM</v>
      </c>
      <c r="G120" s="19" t="str">
        <f>IFERROR(__xludf.DUMMYFUNCTION("IMPORTRANGE(""https://docs.google.com/spreadsheets/d/1otQjWHjy3Rq_-7Ie_93jllGR_QbNz_QcBUMPB-NJUP8/edit?gid=902639746#gid=902639746"", ""CHECKING!$F""&amp;COLUMN(F332))"),"ENCODED")</f>
        <v>ENCODED</v>
      </c>
      <c r="H120" s="19" t="str">
        <f>IFERROR(__xludf.DUMMYFUNCTION("IMPORTRANGE(""https://docs.google.com/spreadsheets/d/1otQjWHjy3Rq_-7Ie_93jllGR_QbNz_QcBUMPB-NJUP8/edit?gid=902639746#gid=902639746"", ""CHECKING!$G""&amp;ROW(G332))"),"ENCODED")</f>
        <v>ENCODED</v>
      </c>
      <c r="I120" s="19" t="str">
        <f>IFERROR(__xludf.DUMMYFUNCTION("IMPORTRANGE(""https://docs.google.com/spreadsheets/d/1otQjWHjy3Rq_-7Ie_93jllGR_QbNz_QcBUMPB-NJUP8/edit?gid=902639746#gid=902639746"", ""CHECKING!$H""&amp;ROW(H332))"),"ENCODED")</f>
        <v>ENCODED</v>
      </c>
      <c r="J120" s="19" t="str">
        <f>IFERROR(__xludf.DUMMYFUNCTION("IMPORTRANGE(""https://docs.google.com/spreadsheets/d/1otQjWHjy3Rq_-7Ie_93jllGR_QbNz_QcBUMPB-NJUP8/edit?gid=902639746#gid=902639746"", ""CHECKING!$I""&amp;ROW(I332))"),"NOT ENCODED")</f>
        <v>NOT ENCODED</v>
      </c>
      <c r="K120" s="19" t="str">
        <f>IFERROR(__xludf.DUMMYFUNCTION("IMPORTRANGE(""https://docs.google.com/spreadsheets/d/1otQjWHjy3Rq_-7Ie_93jllGR_QbNz_QcBUMPB-NJUP8/edit?gid=902639746#gid=902639746"", ""CHECKING!$J""&amp;ROW(J332))"),"NOT ENCODED")</f>
        <v>NOT ENCODED</v>
      </c>
      <c r="L120" s="19" t="str">
        <f>IFERROR(__xludf.DUMMYFUNCTION("IMPORTRANGE(""https://docs.google.com/spreadsheets/d/1otQjWHjy3Rq_-7Ie_93jllGR_QbNz_QcBUMPB-NJUP8/edit?gid=902639746#gid=902639746"", ""CHECKING!$K""&amp;ROW(K332))"),"NOT ENCODED")</f>
        <v>NOT ENCODED</v>
      </c>
      <c r="M120" s="19" t="str">
        <f>IFERROR(__xludf.DUMMYFUNCTION("IMPORTRANGE(""https://docs.google.com/spreadsheets/d/1otQjWHjy3Rq_-7Ie_93jllGR_QbNz_QcBUMPB-NJUP8/edit?gid=902639746#gid=902639746"", ""CHECKING!$L""&amp;ROW(L332))"),"NOT ENCODED")</f>
        <v>NOT ENCODED</v>
      </c>
    </row>
    <row r="121">
      <c r="A121" s="26" t="s">
        <v>19</v>
      </c>
      <c r="B121" s="27">
        <f>IFERROR(__xludf.DUMMYFUNCTION("IMPORTRANGE(""https://docs.google.com/spreadsheets/d/1sbaTJIEs8I7XTpGUl1gZ8em-J48uYWx8P9XF_jnHubM/edit?gid=91456061#gid=91456061"", ""SUMMARY!$B""&amp;ROW($B47))"),40.0)</f>
        <v>40</v>
      </c>
      <c r="C121" s="27" t="str">
        <f>IFERROR(__xludf.DUMMYFUNCTION("IMPORTRANGE(""https://docs.google.com/spreadsheets/d/1sbaTJIEs8I7XTpGUl1gZ8em-J48uYWx8P9XF_jnHubM/edit?gid=91456061#gid=91456061"", ""SUMMARY!$C""&amp;ROW($C47))"),"MENDELEEV")</f>
        <v>MENDELEEV</v>
      </c>
      <c r="D121" s="28" t="str">
        <f>IFERROR(__xludf.DUMMYFUNCTION("IMPORTRANGE(""https://docs.google.com/spreadsheets/d/1sbaTJIEs8I7XTpGUl1gZ8em-J48uYWx8P9XF_jnHubM/edit?gid=91456061#gid=91456061"", ""SUMMARY!$F""&amp;ROW($F47))"),"STEM")</f>
        <v>STEM</v>
      </c>
      <c r="E121" s="29" t="str">
        <f>IFERROR(__xludf.DUMMYFUNCTION("IMPORTRANGE(""https://docs.google.com/spreadsheets/d/1sbaTJIEs8I7XTpGUl1gZ8em-J48uYWx8P9XF_jnHubM/edit?gid=91456061#gid=91456061"", ""SUMMARY!$D""&amp;ROW($D47))"),"RBRYAN Q. ALVAREZ")</f>
        <v>RBRYAN Q. ALVAREZ</v>
      </c>
      <c r="F121" s="29" t="str">
        <f>IFERROR(__xludf.DUMMYFUNCTION("IMPORTRANGE(""https://docs.google.com/spreadsheets/d/1sbaTJIEs8I7XTpGUl1gZ8em-J48uYWx8P9XF_jnHubM/edit?gid=91456061#gid=91456061"", ""SUMMARY!$E""&amp;ROW($E47))"),"HUMSS")</f>
        <v>HUMSS</v>
      </c>
      <c r="G121" s="19" t="str">
        <f>IFERROR(__xludf.DUMMYFUNCTION("IMPORTRANGE(""https://docs.google.com/spreadsheets/d/1otQjWHjy3Rq_-7Ie_93jllGR_QbNz_QcBUMPB-NJUP8/edit?gid=902639746#gid=902639746"", ""CHECKING!$F""&amp;COLUMN(F333))"),"ENCODED")</f>
        <v>ENCODED</v>
      </c>
      <c r="H121" s="19" t="str">
        <f>IFERROR(__xludf.DUMMYFUNCTION("IMPORTRANGE(""https://docs.google.com/spreadsheets/d/1otQjWHjy3Rq_-7Ie_93jllGR_QbNz_QcBUMPB-NJUP8/edit?gid=902639746#gid=902639746"", ""CHECKING!$G""&amp;ROW(G333))"),"ENCODED")</f>
        <v>ENCODED</v>
      </c>
      <c r="I121" s="19" t="str">
        <f>IFERROR(__xludf.DUMMYFUNCTION("IMPORTRANGE(""https://docs.google.com/spreadsheets/d/1otQjWHjy3Rq_-7Ie_93jllGR_QbNz_QcBUMPB-NJUP8/edit?gid=902639746#gid=902639746"", ""CHECKING!$H""&amp;ROW(H333))"),"ENCODED")</f>
        <v>ENCODED</v>
      </c>
      <c r="J121" s="19" t="str">
        <f>IFERROR(__xludf.DUMMYFUNCTION("IMPORTRANGE(""https://docs.google.com/spreadsheets/d/1otQjWHjy3Rq_-7Ie_93jllGR_QbNz_QcBUMPB-NJUP8/edit?gid=902639746#gid=902639746"", ""CHECKING!$I""&amp;ROW(I333))"),"NOT ENCODED")</f>
        <v>NOT ENCODED</v>
      </c>
      <c r="K121" s="19" t="str">
        <f>IFERROR(__xludf.DUMMYFUNCTION("IMPORTRANGE(""https://docs.google.com/spreadsheets/d/1otQjWHjy3Rq_-7Ie_93jllGR_QbNz_QcBUMPB-NJUP8/edit?gid=902639746#gid=902639746"", ""CHECKING!$J""&amp;ROW(J333))"),"NOT ENCODED")</f>
        <v>NOT ENCODED</v>
      </c>
      <c r="L121" s="19" t="str">
        <f>IFERROR(__xludf.DUMMYFUNCTION("IMPORTRANGE(""https://docs.google.com/spreadsheets/d/1otQjWHjy3Rq_-7Ie_93jllGR_QbNz_QcBUMPB-NJUP8/edit?gid=902639746#gid=902639746"", ""CHECKING!$K""&amp;ROW(K333))"),"NOT ENCODED")</f>
        <v>NOT ENCODED</v>
      </c>
      <c r="M121" s="19" t="str">
        <f>IFERROR(__xludf.DUMMYFUNCTION("IMPORTRANGE(""https://docs.google.com/spreadsheets/d/1otQjWHjy3Rq_-7Ie_93jllGR_QbNz_QcBUMPB-NJUP8/edit?gid=902639746#gid=902639746"", ""CHECKING!$L""&amp;ROW(L333))"),"NOT ENCODED")</f>
        <v>NOT ENCODED</v>
      </c>
    </row>
    <row r="122">
      <c r="A122" s="26" t="s">
        <v>19</v>
      </c>
      <c r="B122" s="27">
        <f>IFERROR(__xludf.DUMMYFUNCTION("IMPORTRANGE(""https://docs.google.com/spreadsheets/d/1sbaTJIEs8I7XTpGUl1gZ8em-J48uYWx8P9XF_jnHubM/edit?gid=91456061#gid=91456061"", ""SUMMARY!$B""&amp;ROW($B48))"),41.0)</f>
        <v>41</v>
      </c>
      <c r="C122" s="27" t="str">
        <f>IFERROR(__xludf.DUMMYFUNCTION("IMPORTRANGE(""https://docs.google.com/spreadsheets/d/1sbaTJIEs8I7XTpGUl1gZ8em-J48uYWx8P9XF_jnHubM/edit?gid=91456061#gid=91456061"", ""SUMMARY!$C""&amp;ROW($C48))"),"NEWTON")</f>
        <v>NEWTON</v>
      </c>
      <c r="D122" s="28" t="str">
        <f>IFERROR(__xludf.DUMMYFUNCTION("IMPORTRANGE(""https://docs.google.com/spreadsheets/d/1sbaTJIEs8I7XTpGUl1gZ8em-J48uYWx8P9XF_jnHubM/edit?gid=91456061#gid=91456061"", ""SUMMARY!$F""&amp;ROW($F48))"),"STEM")</f>
        <v>STEM</v>
      </c>
      <c r="E122" s="29" t="str">
        <f>IFERROR(__xludf.DUMMYFUNCTION("IMPORTRANGE(""https://docs.google.com/spreadsheets/d/1sbaTJIEs8I7XTpGUl1gZ8em-J48uYWx8P9XF_jnHubM/edit?gid=91456061#gid=91456061"", ""SUMMARY!$D""&amp;ROW($D48))"),"CATHERINE D. SORIANO")</f>
        <v>CATHERINE D. SORIANO</v>
      </c>
      <c r="F122" s="29" t="str">
        <f>IFERROR(__xludf.DUMMYFUNCTION("IMPORTRANGE(""https://docs.google.com/spreadsheets/d/1sbaTJIEs8I7XTpGUl1gZ8em-J48uYWx8P9XF_jnHubM/edit?gid=91456061#gid=91456061"", ""SUMMARY!$E""&amp;ROW($E48))"),"ENGLISH")</f>
        <v>ENGLISH</v>
      </c>
      <c r="G122" s="19" t="str">
        <f>IFERROR(__xludf.DUMMYFUNCTION("IMPORTRANGE(""https://docs.google.com/spreadsheets/d/1otQjWHjy3Rq_-7Ie_93jllGR_QbNz_QcBUMPB-NJUP8/edit?gid=902639746#gid=902639746"", ""CHECKING!$F""&amp;COLUMN(F334))"),"ENCODED")</f>
        <v>ENCODED</v>
      </c>
      <c r="H122" s="19" t="str">
        <f>IFERROR(__xludf.DUMMYFUNCTION("IMPORTRANGE(""https://docs.google.com/spreadsheets/d/1otQjWHjy3Rq_-7Ie_93jllGR_QbNz_QcBUMPB-NJUP8/edit?gid=902639746#gid=902639746"", ""CHECKING!$G""&amp;ROW(G334))"),"ENCODED")</f>
        <v>ENCODED</v>
      </c>
      <c r="I122" s="19" t="str">
        <f>IFERROR(__xludf.DUMMYFUNCTION("IMPORTRANGE(""https://docs.google.com/spreadsheets/d/1otQjWHjy3Rq_-7Ie_93jllGR_QbNz_QcBUMPB-NJUP8/edit?gid=902639746#gid=902639746"", ""CHECKING!$H""&amp;ROW(H334))"),"ENCODED")</f>
        <v>ENCODED</v>
      </c>
      <c r="J122" s="19" t="str">
        <f>IFERROR(__xludf.DUMMYFUNCTION("IMPORTRANGE(""https://docs.google.com/spreadsheets/d/1otQjWHjy3Rq_-7Ie_93jllGR_QbNz_QcBUMPB-NJUP8/edit?gid=902639746#gid=902639746"", ""CHECKING!$I""&amp;ROW(I334))"),"NOT ENCODED")</f>
        <v>NOT ENCODED</v>
      </c>
      <c r="K122" s="19" t="str">
        <f>IFERROR(__xludf.DUMMYFUNCTION("IMPORTRANGE(""https://docs.google.com/spreadsheets/d/1otQjWHjy3Rq_-7Ie_93jllGR_QbNz_QcBUMPB-NJUP8/edit?gid=902639746#gid=902639746"", ""CHECKING!$J""&amp;ROW(J334))"),"NOT ENCODED")</f>
        <v>NOT ENCODED</v>
      </c>
      <c r="L122" s="19" t="str">
        <f>IFERROR(__xludf.DUMMYFUNCTION("IMPORTRANGE(""https://docs.google.com/spreadsheets/d/1otQjWHjy3Rq_-7Ie_93jllGR_QbNz_QcBUMPB-NJUP8/edit?gid=902639746#gid=902639746"", ""CHECKING!$K""&amp;ROW(K334))"),"NOT ENCODED")</f>
        <v>NOT ENCODED</v>
      </c>
      <c r="M122" s="19" t="str">
        <f>IFERROR(__xludf.DUMMYFUNCTION("IMPORTRANGE(""https://docs.google.com/spreadsheets/d/1otQjWHjy3Rq_-7Ie_93jllGR_QbNz_QcBUMPB-NJUP8/edit?gid=902639746#gid=902639746"", ""CHECKING!$L""&amp;ROW(L334))"),"NOT ENCODED")</f>
        <v>NOT ENCODED</v>
      </c>
    </row>
    <row r="123">
      <c r="A123" s="26" t="s">
        <v>19</v>
      </c>
      <c r="B123" s="27">
        <f>IFERROR(__xludf.DUMMYFUNCTION("IMPORTRANGE(""https://docs.google.com/spreadsheets/d/1sbaTJIEs8I7XTpGUl1gZ8em-J48uYWx8P9XF_jnHubM/edit?gid=91456061#gid=91456061"", ""SUMMARY!$B""&amp;ROW($B49))"),42.0)</f>
        <v>42</v>
      </c>
      <c r="C123" s="27" t="str">
        <f>IFERROR(__xludf.DUMMYFUNCTION("IMPORTRANGE(""https://docs.google.com/spreadsheets/d/1sbaTJIEs8I7XTpGUl1gZ8em-J48uYWx8P9XF_jnHubM/edit?gid=91456061#gid=91456061"", ""SUMMARY!$C""&amp;ROW($C49))"),"PASTEUR")</f>
        <v>PASTEUR</v>
      </c>
      <c r="D123" s="28" t="str">
        <f>IFERROR(__xludf.DUMMYFUNCTION("IMPORTRANGE(""https://docs.google.com/spreadsheets/d/1sbaTJIEs8I7XTpGUl1gZ8em-J48uYWx8P9XF_jnHubM/edit?gid=91456061#gid=91456061"", ""SUMMARY!$F""&amp;ROW($F49))"),"STEM")</f>
        <v>STEM</v>
      </c>
      <c r="E123" s="29" t="str">
        <f>IFERROR(__xludf.DUMMYFUNCTION("IMPORTRANGE(""https://docs.google.com/spreadsheets/d/1sbaTJIEs8I7XTpGUl1gZ8em-J48uYWx8P9XF_jnHubM/edit?gid=91456061#gid=91456061"", ""SUMMARY!$D""&amp;ROW($D49))"),"GEMMA D. MAGSALAY")</f>
        <v>GEMMA D. MAGSALAY</v>
      </c>
      <c r="F123" s="29" t="str">
        <f>IFERROR(__xludf.DUMMYFUNCTION("IMPORTRANGE(""https://docs.google.com/spreadsheets/d/1sbaTJIEs8I7XTpGUl1gZ8em-J48uYWx8P9XF_jnHubM/edit?gid=91456061#gid=91456061"", ""SUMMARY!$E""&amp;ROW($E49))"),"HUMSS")</f>
        <v>HUMSS</v>
      </c>
      <c r="G123" s="19" t="str">
        <f>IFERROR(__xludf.DUMMYFUNCTION("IMPORTRANGE(""https://docs.google.com/spreadsheets/d/1otQjWHjy3Rq_-7Ie_93jllGR_QbNz_QcBUMPB-NJUP8/edit?gid=902639746#gid=902639746"", ""CHECKING!$F""&amp;COLUMN(F335))"),"ENCODED")</f>
        <v>ENCODED</v>
      </c>
      <c r="H123" s="19" t="str">
        <f>IFERROR(__xludf.DUMMYFUNCTION("IMPORTRANGE(""https://docs.google.com/spreadsheets/d/1otQjWHjy3Rq_-7Ie_93jllGR_QbNz_QcBUMPB-NJUP8/edit?gid=902639746#gid=902639746"", ""CHECKING!$G""&amp;ROW(G335))"),"ENCODED")</f>
        <v>ENCODED</v>
      </c>
      <c r="I123" s="19" t="str">
        <f>IFERROR(__xludf.DUMMYFUNCTION("IMPORTRANGE(""https://docs.google.com/spreadsheets/d/1otQjWHjy3Rq_-7Ie_93jllGR_QbNz_QcBUMPB-NJUP8/edit?gid=902639746#gid=902639746"", ""CHECKING!$H""&amp;ROW(H335))"),"ENCODED")</f>
        <v>ENCODED</v>
      </c>
      <c r="J123" s="19" t="str">
        <f>IFERROR(__xludf.DUMMYFUNCTION("IMPORTRANGE(""https://docs.google.com/spreadsheets/d/1otQjWHjy3Rq_-7Ie_93jllGR_QbNz_QcBUMPB-NJUP8/edit?gid=902639746#gid=902639746"", ""CHECKING!$I""&amp;ROW(I335))"),"ENCODED")</f>
        <v>ENCODED</v>
      </c>
      <c r="K123" s="19" t="str">
        <f>IFERROR(__xludf.DUMMYFUNCTION("IMPORTRANGE(""https://docs.google.com/spreadsheets/d/1otQjWHjy3Rq_-7Ie_93jllGR_QbNz_QcBUMPB-NJUP8/edit?gid=902639746#gid=902639746"", ""CHECKING!$J""&amp;ROW(J335))"),"NOT ENCODED")</f>
        <v>NOT ENCODED</v>
      </c>
      <c r="L123" s="19" t="str">
        <f>IFERROR(__xludf.DUMMYFUNCTION("IMPORTRANGE(""https://docs.google.com/spreadsheets/d/1otQjWHjy3Rq_-7Ie_93jllGR_QbNz_QcBUMPB-NJUP8/edit?gid=902639746#gid=902639746"", ""CHECKING!$K""&amp;ROW(K335))"),"NOT ENCODED")</f>
        <v>NOT ENCODED</v>
      </c>
      <c r="M123" s="19" t="str">
        <f>IFERROR(__xludf.DUMMYFUNCTION("IMPORTRANGE(""https://docs.google.com/spreadsheets/d/1otQjWHjy3Rq_-7Ie_93jllGR_QbNz_QcBUMPB-NJUP8/edit?gid=902639746#gid=902639746"", ""CHECKING!$L""&amp;ROW(L335))"),"NOT ENCODED")</f>
        <v>NOT ENCODED</v>
      </c>
    </row>
    <row r="124">
      <c r="A124" s="26" t="s">
        <v>19</v>
      </c>
      <c r="B124" s="27">
        <f>IFERROR(__xludf.DUMMYFUNCTION("IMPORTRANGE(""https://docs.google.com/spreadsheets/d/1sbaTJIEs8I7XTpGUl1gZ8em-J48uYWx8P9XF_jnHubM/edit?gid=91456061#gid=91456061"", ""SUMMARY!$B""&amp;ROW($B50))"),43.0)</f>
        <v>43</v>
      </c>
      <c r="C124" s="27" t="str">
        <f>IFERROR(__xludf.DUMMYFUNCTION("IMPORTRANGE(""https://docs.google.com/spreadsheets/d/1sbaTJIEs8I7XTpGUl1gZ8em-J48uYWx8P9XF_jnHubM/edit?gid=91456061#gid=91456061"", ""SUMMARY!$C""&amp;ROW($C50))"),"ROENTGEN")</f>
        <v>ROENTGEN</v>
      </c>
      <c r="D124" s="28" t="str">
        <f>IFERROR(__xludf.DUMMYFUNCTION("IMPORTRANGE(""https://docs.google.com/spreadsheets/d/1sbaTJIEs8I7XTpGUl1gZ8em-J48uYWx8P9XF_jnHubM/edit?gid=91456061#gid=91456061"", ""SUMMARY!$F""&amp;ROW($F50))"),"STEM")</f>
        <v>STEM</v>
      </c>
      <c r="E124" s="29" t="str">
        <f>IFERROR(__xludf.DUMMYFUNCTION("IMPORTRANGE(""https://docs.google.com/spreadsheets/d/1sbaTJIEs8I7XTpGUl1gZ8em-J48uYWx8P9XF_jnHubM/edit?gid=91456061#gid=91456061"", ""SUMMARY!$D""&amp;ROW($D50))"),"MAE GIZELLE Y. LAYUG")</f>
        <v>MAE GIZELLE Y. LAYUG</v>
      </c>
      <c r="F124" s="29" t="str">
        <f>IFERROR(__xludf.DUMMYFUNCTION("IMPORTRANGE(""https://docs.google.com/spreadsheets/d/1sbaTJIEs8I7XTpGUl1gZ8em-J48uYWx8P9XF_jnHubM/edit?gid=91456061#gid=91456061"", ""SUMMARY!$E""&amp;ROW($E50))"),"ABM")</f>
        <v>ABM</v>
      </c>
      <c r="G124" s="19" t="str">
        <f>IFERROR(__xludf.DUMMYFUNCTION("IMPORTRANGE(""https://docs.google.com/spreadsheets/d/1otQjWHjy3Rq_-7Ie_93jllGR_QbNz_QcBUMPB-NJUP8/edit?gid=902639746#gid=902639746"", ""CHECKING!$F""&amp;COLUMN(F336))"),"ENCODED")</f>
        <v>ENCODED</v>
      </c>
      <c r="H124" s="19" t="str">
        <f>IFERROR(__xludf.DUMMYFUNCTION("IMPORTRANGE(""https://docs.google.com/spreadsheets/d/1otQjWHjy3Rq_-7Ie_93jllGR_QbNz_QcBUMPB-NJUP8/edit?gid=902639746#gid=902639746"", ""CHECKING!$G""&amp;ROW(G336))"),"ENCODED")</f>
        <v>ENCODED</v>
      </c>
      <c r="I124" s="19" t="str">
        <f>IFERROR(__xludf.DUMMYFUNCTION("IMPORTRANGE(""https://docs.google.com/spreadsheets/d/1otQjWHjy3Rq_-7Ie_93jllGR_QbNz_QcBUMPB-NJUP8/edit?gid=902639746#gid=902639746"", ""CHECKING!$H""&amp;ROW(H336))"),"ENCODED")</f>
        <v>ENCODED</v>
      </c>
      <c r="J124" s="19" t="str">
        <f>IFERROR(__xludf.DUMMYFUNCTION("IMPORTRANGE(""https://docs.google.com/spreadsheets/d/1otQjWHjy3Rq_-7Ie_93jllGR_QbNz_QcBUMPB-NJUP8/edit?gid=902639746#gid=902639746"", ""CHECKING!$I""&amp;ROW(I336))"),"ENCODED")</f>
        <v>ENCODED</v>
      </c>
      <c r="K124" s="19" t="str">
        <f>IFERROR(__xludf.DUMMYFUNCTION("IMPORTRANGE(""https://docs.google.com/spreadsheets/d/1otQjWHjy3Rq_-7Ie_93jllGR_QbNz_QcBUMPB-NJUP8/edit?gid=902639746#gid=902639746"", ""CHECKING!$J""&amp;ROW(J336))"),"NOT ENCODED")</f>
        <v>NOT ENCODED</v>
      </c>
      <c r="L124" s="19" t="str">
        <f>IFERROR(__xludf.DUMMYFUNCTION("IMPORTRANGE(""https://docs.google.com/spreadsheets/d/1otQjWHjy3Rq_-7Ie_93jllGR_QbNz_QcBUMPB-NJUP8/edit?gid=902639746#gid=902639746"", ""CHECKING!$K""&amp;ROW(K336))"),"NOT ENCODED")</f>
        <v>NOT ENCODED</v>
      </c>
      <c r="M124" s="19" t="str">
        <f>IFERROR(__xludf.DUMMYFUNCTION("IMPORTRANGE(""https://docs.google.com/spreadsheets/d/1otQjWHjy3Rq_-7Ie_93jllGR_QbNz_QcBUMPB-NJUP8/edit?gid=902639746#gid=902639746"", ""CHECKING!$L""&amp;ROW(L336))"),"NOT ENCODED")</f>
        <v>NOT ENCODED</v>
      </c>
    </row>
    <row r="125">
      <c r="A125" s="26" t="s">
        <v>19</v>
      </c>
      <c r="B125" s="27">
        <f>IFERROR(__xludf.DUMMYFUNCTION("IMPORTRANGE(""https://docs.google.com/spreadsheets/d/1sbaTJIEs8I7XTpGUl1gZ8em-J48uYWx8P9XF_jnHubM/edit?gid=91456061#gid=91456061"", ""SUMMARY!$B""&amp;ROW($B51))"),44.0)</f>
        <v>44</v>
      </c>
      <c r="C125" s="27" t="str">
        <f>IFERROR(__xludf.DUMMYFUNCTION("IMPORTRANGE(""https://docs.google.com/spreadsheets/d/1sbaTJIEs8I7XTpGUl1gZ8em-J48uYWx8P9XF_jnHubM/edit?gid=91456061#gid=91456061"", ""SUMMARY!$C""&amp;ROW($C51))"),"TESLA")</f>
        <v>TESLA</v>
      </c>
      <c r="D125" s="28" t="str">
        <f>IFERROR(__xludf.DUMMYFUNCTION("IMPORTRANGE(""https://docs.google.com/spreadsheets/d/1sbaTJIEs8I7XTpGUl1gZ8em-J48uYWx8P9XF_jnHubM/edit?gid=91456061#gid=91456061"", ""SUMMARY!$F""&amp;ROW($F51))"),"STEM")</f>
        <v>STEM</v>
      </c>
      <c r="E125" s="29" t="str">
        <f>IFERROR(__xludf.DUMMYFUNCTION("IMPORTRANGE(""https://docs.google.com/spreadsheets/d/1sbaTJIEs8I7XTpGUl1gZ8em-J48uYWx8P9XF_jnHubM/edit?gid=91456061#gid=91456061"", ""SUMMARY!$D""&amp;ROW($D51))"),"KENNETH C. SIN")</f>
        <v>KENNETH C. SIN</v>
      </c>
      <c r="F125" s="29" t="str">
        <f>IFERROR(__xludf.DUMMYFUNCTION("IMPORTRANGE(""https://docs.google.com/spreadsheets/d/1sbaTJIEs8I7XTpGUl1gZ8em-J48uYWx8P9XF_jnHubM/edit?gid=91456061#gid=91456061"", ""SUMMARY!$E""&amp;ROW($E51))"),"SCIENCE")</f>
        <v>SCIENCE</v>
      </c>
      <c r="G125" s="19" t="str">
        <f>IFERROR(__xludf.DUMMYFUNCTION("IMPORTRANGE(""https://docs.google.com/spreadsheets/d/1otQjWHjy3Rq_-7Ie_93jllGR_QbNz_QcBUMPB-NJUP8/edit?gid=902639746#gid=902639746"", ""CHECKING!$F""&amp;COLUMN(F337))"),"ENCODED")</f>
        <v>ENCODED</v>
      </c>
      <c r="H125" s="19" t="str">
        <f>IFERROR(__xludf.DUMMYFUNCTION("IMPORTRANGE(""https://docs.google.com/spreadsheets/d/1otQjWHjy3Rq_-7Ie_93jllGR_QbNz_QcBUMPB-NJUP8/edit?gid=902639746#gid=902639746"", ""CHECKING!$G""&amp;ROW(G337))"),"ENCODED")</f>
        <v>ENCODED</v>
      </c>
      <c r="I125" s="19" t="str">
        <f>IFERROR(__xludf.DUMMYFUNCTION("IMPORTRANGE(""https://docs.google.com/spreadsheets/d/1otQjWHjy3Rq_-7Ie_93jllGR_QbNz_QcBUMPB-NJUP8/edit?gid=902639746#gid=902639746"", ""CHECKING!$H""&amp;ROW(H337))"),"ENCODED")</f>
        <v>ENCODED</v>
      </c>
      <c r="J125" s="19" t="str">
        <f>IFERROR(__xludf.DUMMYFUNCTION("IMPORTRANGE(""https://docs.google.com/spreadsheets/d/1otQjWHjy3Rq_-7Ie_93jllGR_QbNz_QcBUMPB-NJUP8/edit?gid=902639746#gid=902639746"", ""CHECKING!$I""&amp;ROW(I337))"),"NOT ENCODED")</f>
        <v>NOT ENCODED</v>
      </c>
      <c r="K125" s="19" t="str">
        <f>IFERROR(__xludf.DUMMYFUNCTION("IMPORTRANGE(""https://docs.google.com/spreadsheets/d/1otQjWHjy3Rq_-7Ie_93jllGR_QbNz_QcBUMPB-NJUP8/edit?gid=902639746#gid=902639746"", ""CHECKING!$J""&amp;ROW(J337))"),"NOT ENCODED")</f>
        <v>NOT ENCODED</v>
      </c>
      <c r="L125" s="19" t="str">
        <f>IFERROR(__xludf.DUMMYFUNCTION("IMPORTRANGE(""https://docs.google.com/spreadsheets/d/1otQjWHjy3Rq_-7Ie_93jllGR_QbNz_QcBUMPB-NJUP8/edit?gid=902639746#gid=902639746"", ""CHECKING!$K""&amp;ROW(K337))"),"NOT ENCODED")</f>
        <v>NOT ENCODED</v>
      </c>
      <c r="M125" s="19" t="str">
        <f>IFERROR(__xludf.DUMMYFUNCTION("IMPORTRANGE(""https://docs.google.com/spreadsheets/d/1otQjWHjy3Rq_-7Ie_93jllGR_QbNz_QcBUMPB-NJUP8/edit?gid=902639746#gid=902639746"", ""CHECKING!$L""&amp;ROW(L337))"),"NOT ENCODED")</f>
        <v>NOT ENCODED</v>
      </c>
    </row>
    <row r="126">
      <c r="A126" s="26" t="s">
        <v>19</v>
      </c>
      <c r="B126" s="27">
        <f>IFERROR(__xludf.DUMMYFUNCTION("IMPORTRANGE(""https://docs.google.com/spreadsheets/d/1sbaTJIEs8I7XTpGUl1gZ8em-J48uYWx8P9XF_jnHubM/edit?gid=91456061#gid=91456061"", ""SUMMARY!$B""&amp;ROW($B52))"),45.0)</f>
        <v>45</v>
      </c>
      <c r="C126" s="27" t="str">
        <f>IFERROR(__xludf.DUMMYFUNCTION("IMPORTRANGE(""https://docs.google.com/spreadsheets/d/1sbaTJIEs8I7XTpGUl1gZ8em-J48uYWx8P9XF_jnHubM/edit?gid=91456061#gid=91456061"", ""SUMMARY!$C""&amp;ROW($C52))"),"WEBER")</f>
        <v>WEBER</v>
      </c>
      <c r="D126" s="28" t="str">
        <f>IFERROR(__xludf.DUMMYFUNCTION("IMPORTRANGE(""https://docs.google.com/spreadsheets/d/1sbaTJIEs8I7XTpGUl1gZ8em-J48uYWx8P9XF_jnHubM/edit?gid=91456061#gid=91456061"", ""SUMMARY!$F""&amp;ROW($F52))"),"STEM")</f>
        <v>STEM</v>
      </c>
      <c r="E126" s="29" t="str">
        <f>IFERROR(__xludf.DUMMYFUNCTION("IMPORTRANGE(""https://docs.google.com/spreadsheets/d/1sbaTJIEs8I7XTpGUl1gZ8em-J48uYWx8P9XF_jnHubM/edit?gid=91456061#gid=91456061"", ""SUMMARY!$D""&amp;ROW($D52))"),"EMMANUEL ADRIAN C. MANUEL")</f>
        <v>EMMANUEL ADRIAN C. MANUEL</v>
      </c>
      <c r="F126" s="29" t="str">
        <f>IFERROR(__xludf.DUMMYFUNCTION("IMPORTRANGE(""https://docs.google.com/spreadsheets/d/1sbaTJIEs8I7XTpGUl1gZ8em-J48uYWx8P9XF_jnHubM/edit?gid=91456061#gid=91456061"", ""SUMMARY!$E""&amp;ROW($E52))"),"SCIENCE")</f>
        <v>SCIENCE</v>
      </c>
      <c r="G126" s="19" t="str">
        <f>IFERROR(__xludf.DUMMYFUNCTION("IMPORTRANGE(""https://docs.google.com/spreadsheets/d/1otQjWHjy3Rq_-7Ie_93jllGR_QbNz_QcBUMPB-NJUP8/edit?gid=902639746#gid=902639746"", ""CHECKING!$F""&amp;COLUMN(F338))"),"ENCODED")</f>
        <v>ENCODED</v>
      </c>
      <c r="H126" s="19" t="str">
        <f>IFERROR(__xludf.DUMMYFUNCTION("IMPORTRANGE(""https://docs.google.com/spreadsheets/d/1otQjWHjy3Rq_-7Ie_93jllGR_QbNz_QcBUMPB-NJUP8/edit?gid=902639746#gid=902639746"", ""CHECKING!$G""&amp;ROW(G338))"),"ENCODED")</f>
        <v>ENCODED</v>
      </c>
      <c r="I126" s="19" t="str">
        <f>IFERROR(__xludf.DUMMYFUNCTION("IMPORTRANGE(""https://docs.google.com/spreadsheets/d/1otQjWHjy3Rq_-7Ie_93jllGR_QbNz_QcBUMPB-NJUP8/edit?gid=902639746#gid=902639746"", ""CHECKING!$H""&amp;ROW(H338))"),"ENCODED")</f>
        <v>ENCODED</v>
      </c>
      <c r="J126" s="19" t="str">
        <f>IFERROR(__xludf.DUMMYFUNCTION("IMPORTRANGE(""https://docs.google.com/spreadsheets/d/1otQjWHjy3Rq_-7Ie_93jllGR_QbNz_QcBUMPB-NJUP8/edit?gid=902639746#gid=902639746"", ""CHECKING!$I""&amp;ROW(I338))"),"ENCODED")</f>
        <v>ENCODED</v>
      </c>
      <c r="K126" s="19" t="str">
        <f>IFERROR(__xludf.DUMMYFUNCTION("IMPORTRANGE(""https://docs.google.com/spreadsheets/d/1otQjWHjy3Rq_-7Ie_93jllGR_QbNz_QcBUMPB-NJUP8/edit?gid=902639746#gid=902639746"", ""CHECKING!$J""&amp;ROW(J338))"),"ENCODED")</f>
        <v>ENCODED</v>
      </c>
      <c r="L126" s="19" t="str">
        <f>IFERROR(__xludf.DUMMYFUNCTION("IMPORTRANGE(""https://docs.google.com/spreadsheets/d/1otQjWHjy3Rq_-7Ie_93jllGR_QbNz_QcBUMPB-NJUP8/edit?gid=902639746#gid=902639746"", ""CHECKING!$K""&amp;ROW(K338))"),"NOT ENCODED")</f>
        <v>NOT ENCODED</v>
      </c>
      <c r="M126" s="19" t="str">
        <f>IFERROR(__xludf.DUMMYFUNCTION("IMPORTRANGE(""https://docs.google.com/spreadsheets/d/1otQjWHjy3Rq_-7Ie_93jllGR_QbNz_QcBUMPB-NJUP8/edit?gid=902639746#gid=902639746"", ""CHECKING!$L""&amp;ROW(L338))"),"NOT ENCODED")</f>
        <v>NOT ENCODED</v>
      </c>
    </row>
    <row r="127">
      <c r="A127" s="26" t="s">
        <v>19</v>
      </c>
      <c r="B127" s="27">
        <f>IFERROR(__xludf.DUMMYFUNCTION("IMPORTRANGE(""https://docs.google.com/spreadsheets/d/1sbaTJIEs8I7XTpGUl1gZ8em-J48uYWx8P9XF_jnHubM/edit?gid=91456061#gid=91456061"", ""SUMMARY!$B""&amp;ROW($B53))"),46.0)</f>
        <v>46</v>
      </c>
      <c r="C127" s="27" t="str">
        <f>IFERROR(__xludf.DUMMYFUNCTION("IMPORTRANGE(""https://docs.google.com/spreadsheets/d/1sbaTJIEs8I7XTpGUl1gZ8em-J48uYWx8P9XF_jnHubM/edit?gid=91456061#gid=91456061"", ""SUMMARY!$C""&amp;ROW($C53))"),"FORD")</f>
        <v>FORD</v>
      </c>
      <c r="D127" s="28" t="str">
        <f>IFERROR(__xludf.DUMMYFUNCTION("IMPORTRANGE(""https://docs.google.com/spreadsheets/d/1sbaTJIEs8I7XTpGUl1gZ8em-J48uYWx8P9XF_jnHubM/edit?gid=91456061#gid=91456061"", ""SUMMARY!$F""&amp;ROW($F53))"),"AUTOMOTIVE")</f>
        <v>AUTOMOTIVE</v>
      </c>
      <c r="E127" s="29" t="str">
        <f>IFERROR(__xludf.DUMMYFUNCTION("IMPORTRANGE(""https://docs.google.com/spreadsheets/d/1sbaTJIEs8I7XTpGUl1gZ8em-J48uYWx8P9XF_jnHubM/edit?gid=91456061#gid=91456061"", ""SUMMARY!$D""&amp;ROW($D53))"),"RONAMEL BAÑAREZ")</f>
        <v>RONAMEL BAÑAREZ</v>
      </c>
      <c r="F127" s="29" t="str">
        <f>IFERROR(__xludf.DUMMYFUNCTION("IMPORTRANGE(""https://docs.google.com/spreadsheets/d/1sbaTJIEs8I7XTpGUl1gZ8em-J48uYWx8P9XF_jnHubM/edit?gid=91456061#gid=91456061"", ""SUMMARY!$E""&amp;ROW($E53))"),"HUMSS")</f>
        <v>HUMSS</v>
      </c>
      <c r="G127" s="19" t="str">
        <f>IFERROR(__xludf.DUMMYFUNCTION("IMPORTRANGE(""https://docs.google.com/spreadsheets/d/1otQjWHjy3Rq_-7Ie_93jllGR_QbNz_QcBUMPB-NJUP8/edit?gid=902639746#gid=902639746"", ""CHECKING!$F""&amp;COLUMN(F339))"),"ENCODED")</f>
        <v>ENCODED</v>
      </c>
      <c r="H127" s="19" t="str">
        <f>IFERROR(__xludf.DUMMYFUNCTION("IMPORTRANGE(""https://docs.google.com/spreadsheets/d/1otQjWHjy3Rq_-7Ie_93jllGR_QbNz_QcBUMPB-NJUP8/edit?gid=902639746#gid=902639746"", ""CHECKING!$G""&amp;ROW(G339))"),"ENCODED")</f>
        <v>ENCODED</v>
      </c>
      <c r="I127" s="19" t="str">
        <f>IFERROR(__xludf.DUMMYFUNCTION("IMPORTRANGE(""https://docs.google.com/spreadsheets/d/1otQjWHjy3Rq_-7Ie_93jllGR_QbNz_QcBUMPB-NJUP8/edit?gid=902639746#gid=902639746"", ""CHECKING!$H""&amp;ROW(H339))"),"ENCODED")</f>
        <v>ENCODED</v>
      </c>
      <c r="J127" s="19" t="str">
        <f>IFERROR(__xludf.DUMMYFUNCTION("IMPORTRANGE(""https://docs.google.com/spreadsheets/d/1otQjWHjy3Rq_-7Ie_93jllGR_QbNz_QcBUMPB-NJUP8/edit?gid=902639746#gid=902639746"", ""CHECKING!$I""&amp;ROW(I339))"),"NOT ENCODED")</f>
        <v>NOT ENCODED</v>
      </c>
      <c r="K127" s="19" t="str">
        <f>IFERROR(__xludf.DUMMYFUNCTION("IMPORTRANGE(""https://docs.google.com/spreadsheets/d/1otQjWHjy3Rq_-7Ie_93jllGR_QbNz_QcBUMPB-NJUP8/edit?gid=902639746#gid=902639746"", ""CHECKING!$J""&amp;ROW(J339))"),"NOT ENCODED")</f>
        <v>NOT ENCODED</v>
      </c>
      <c r="L127" s="19" t="str">
        <f>IFERROR(__xludf.DUMMYFUNCTION("IMPORTRANGE(""https://docs.google.com/spreadsheets/d/1otQjWHjy3Rq_-7Ie_93jllGR_QbNz_QcBUMPB-NJUP8/edit?gid=902639746#gid=902639746"", ""CHECKING!$K""&amp;ROW(K339))"),"NOT ENCODED")</f>
        <v>NOT ENCODED</v>
      </c>
      <c r="M127" s="19" t="str">
        <f>IFERROR(__xludf.DUMMYFUNCTION("IMPORTRANGE(""https://docs.google.com/spreadsheets/d/1otQjWHjy3Rq_-7Ie_93jllGR_QbNz_QcBUMPB-NJUP8/edit?gid=902639746#gid=902639746"", ""CHECKING!$L""&amp;ROW(L339))"),"NOT ENCODED")</f>
        <v>NOT ENCODED</v>
      </c>
    </row>
    <row r="128">
      <c r="A128" s="26" t="s">
        <v>19</v>
      </c>
      <c r="B128" s="27">
        <f>IFERROR(__xludf.DUMMYFUNCTION("IMPORTRANGE(""https://docs.google.com/spreadsheets/d/1sbaTJIEs8I7XTpGUl1gZ8em-J48uYWx8P9XF_jnHubM/edit?gid=91456061#gid=91456061"", ""SUMMARY!$B""&amp;ROW($B54))"),47.0)</f>
        <v>47</v>
      </c>
      <c r="C128" s="27" t="str">
        <f>IFERROR(__xludf.DUMMYFUNCTION("IMPORTRANGE(""https://docs.google.com/spreadsheets/d/1sbaTJIEs8I7XTpGUl1gZ8em-J48uYWx8P9XF_jnHubM/edit?gid=91456061#gid=91456061"", ""SUMMARY!$C""&amp;ROW($C54))"),"MUSK")</f>
        <v>MUSK</v>
      </c>
      <c r="D128" s="28" t="str">
        <f>IFERROR(__xludf.DUMMYFUNCTION("IMPORTRANGE(""https://docs.google.com/spreadsheets/d/1sbaTJIEs8I7XTpGUl1gZ8em-J48uYWx8P9XF_jnHubM/edit?gid=91456061#gid=91456061"", ""SUMMARY!$F""&amp;ROW($F54))"),"AUTOMOTIVE")</f>
        <v>AUTOMOTIVE</v>
      </c>
      <c r="E128" s="29" t="str">
        <f>IFERROR(__xludf.DUMMYFUNCTION("IMPORTRANGE(""https://docs.google.com/spreadsheets/d/1sbaTJIEs8I7XTpGUl1gZ8em-J48uYWx8P9XF_jnHubM/edit?gid=91456061#gid=91456061"", ""SUMMARY!$D""&amp;ROW($D54))"),"BLISELDA L. GASPAR")</f>
        <v>BLISELDA L. GASPAR</v>
      </c>
      <c r="F128" s="29" t="str">
        <f>IFERROR(__xludf.DUMMYFUNCTION("IMPORTRANGE(""https://docs.google.com/spreadsheets/d/1sbaTJIEs8I7XTpGUl1gZ8em-J48uYWx8P9XF_jnHubM/edit?gid=91456061#gid=91456061"", ""SUMMARY!$E""&amp;ROW($E54))"),"ENGLISH")</f>
        <v>ENGLISH</v>
      </c>
      <c r="G128" s="19" t="str">
        <f>IFERROR(__xludf.DUMMYFUNCTION("IMPORTRANGE(""https://docs.google.com/spreadsheets/d/1otQjWHjy3Rq_-7Ie_93jllGR_QbNz_QcBUMPB-NJUP8/edit?gid=902639746#gid=902639746"", ""CHECKING!$F""&amp;COLUMN(F340))"),"ENCODED")</f>
        <v>ENCODED</v>
      </c>
      <c r="H128" s="19" t="str">
        <f>IFERROR(__xludf.DUMMYFUNCTION("IMPORTRANGE(""https://docs.google.com/spreadsheets/d/1otQjWHjy3Rq_-7Ie_93jllGR_QbNz_QcBUMPB-NJUP8/edit?gid=902639746#gid=902639746"", ""CHECKING!$G""&amp;ROW(G340))"),"ENCODED")</f>
        <v>ENCODED</v>
      </c>
      <c r="I128" s="19" t="str">
        <f>IFERROR(__xludf.DUMMYFUNCTION("IMPORTRANGE(""https://docs.google.com/spreadsheets/d/1otQjWHjy3Rq_-7Ie_93jllGR_QbNz_QcBUMPB-NJUP8/edit?gid=902639746#gid=902639746"", ""CHECKING!$H""&amp;ROW(H340))"),"ENCODED")</f>
        <v>ENCODED</v>
      </c>
      <c r="J128" s="19" t="str">
        <f>IFERROR(__xludf.DUMMYFUNCTION("IMPORTRANGE(""https://docs.google.com/spreadsheets/d/1otQjWHjy3Rq_-7Ie_93jllGR_QbNz_QcBUMPB-NJUP8/edit?gid=902639746#gid=902639746"", ""CHECKING!$I""&amp;ROW(I340))"),"ENCODED")</f>
        <v>ENCODED</v>
      </c>
      <c r="K128" s="19" t="str">
        <f>IFERROR(__xludf.DUMMYFUNCTION("IMPORTRANGE(""https://docs.google.com/spreadsheets/d/1otQjWHjy3Rq_-7Ie_93jllGR_QbNz_QcBUMPB-NJUP8/edit?gid=902639746#gid=902639746"", ""CHECKING!$J""&amp;ROW(J340))"),"NOT ENCODED")</f>
        <v>NOT ENCODED</v>
      </c>
      <c r="L128" s="19" t="str">
        <f>IFERROR(__xludf.DUMMYFUNCTION("IMPORTRANGE(""https://docs.google.com/spreadsheets/d/1otQjWHjy3Rq_-7Ie_93jllGR_QbNz_QcBUMPB-NJUP8/edit?gid=902639746#gid=902639746"", ""CHECKING!$K""&amp;ROW(K340))"),"NOT ENCODED")</f>
        <v>NOT ENCODED</v>
      </c>
      <c r="M128" s="19" t="str">
        <f>IFERROR(__xludf.DUMMYFUNCTION("IMPORTRANGE(""https://docs.google.com/spreadsheets/d/1otQjWHjy3Rq_-7Ie_93jllGR_QbNz_QcBUMPB-NJUP8/edit?gid=902639746#gid=902639746"", ""CHECKING!$L""&amp;ROW(L340))"),"NOT ENCODED")</f>
        <v>NOT ENCODED</v>
      </c>
    </row>
    <row r="129">
      <c r="A129" s="26" t="s">
        <v>19</v>
      </c>
      <c r="B129" s="27">
        <f>IFERROR(__xludf.DUMMYFUNCTION("IMPORTRANGE(""https://docs.google.com/spreadsheets/d/1sbaTJIEs8I7XTpGUl1gZ8em-J48uYWx8P9XF_jnHubM/edit?gid=91456061#gid=91456061"", ""SUMMARY!$B""&amp;ROW($B55))"),48.0)</f>
        <v>48</v>
      </c>
      <c r="C129" s="27" t="str">
        <f>IFERROR(__xludf.DUMMYFUNCTION("IMPORTRANGE(""https://docs.google.com/spreadsheets/d/1sbaTJIEs8I7XTpGUl1gZ8em-J48uYWx8P9XF_jnHubM/edit?gid=91456061#gid=91456061"", ""SUMMARY!$C""&amp;ROW($C55))"),"ROYCE")</f>
        <v>ROYCE</v>
      </c>
      <c r="D129" s="28" t="str">
        <f>IFERROR(__xludf.DUMMYFUNCTION("IMPORTRANGE(""https://docs.google.com/spreadsheets/d/1sbaTJIEs8I7XTpGUl1gZ8em-J48uYWx8P9XF_jnHubM/edit?gid=91456061#gid=91456061"", ""SUMMARY!$F""&amp;ROW($F55))"),"AUTOMOTIVE")</f>
        <v>AUTOMOTIVE</v>
      </c>
      <c r="E129" s="29" t="str">
        <f>IFERROR(__xludf.DUMMYFUNCTION("IMPORTRANGE(""https://docs.google.com/spreadsheets/d/1sbaTJIEs8I7XTpGUl1gZ8em-J48uYWx8P9XF_jnHubM/edit?gid=91456061#gid=91456061"", ""SUMMARY!$D""&amp;ROW($D55))"),"JONAS SAMUEL S. BUSITO")</f>
        <v>JONAS SAMUEL S. BUSITO</v>
      </c>
      <c r="F129" s="29" t="str">
        <f>IFERROR(__xludf.DUMMYFUNCTION("IMPORTRANGE(""https://docs.google.com/spreadsheets/d/1sbaTJIEs8I7XTpGUl1gZ8em-J48uYWx8P9XF_jnHubM/edit?gid=91456061#gid=91456061"", ""SUMMARY!$E""&amp;ROW($E55))"),"ENGLISH")</f>
        <v>ENGLISH</v>
      </c>
      <c r="G129" s="19" t="str">
        <f>IFERROR(__xludf.DUMMYFUNCTION("IMPORTRANGE(""https://docs.google.com/spreadsheets/d/1otQjWHjy3Rq_-7Ie_93jllGR_QbNz_QcBUMPB-NJUP8/edit?gid=902639746#gid=902639746"", ""CHECKING!$F""&amp;COLUMN(F341))"),"ENCODED")</f>
        <v>ENCODED</v>
      </c>
      <c r="H129" s="19" t="str">
        <f>IFERROR(__xludf.DUMMYFUNCTION("IMPORTRANGE(""https://docs.google.com/spreadsheets/d/1otQjWHjy3Rq_-7Ie_93jllGR_QbNz_QcBUMPB-NJUP8/edit?gid=902639746#gid=902639746"", ""CHECKING!$G""&amp;ROW(G341))"),"ENCODED")</f>
        <v>ENCODED</v>
      </c>
      <c r="I129" s="19" t="str">
        <f>IFERROR(__xludf.DUMMYFUNCTION("IMPORTRANGE(""https://docs.google.com/spreadsheets/d/1otQjWHjy3Rq_-7Ie_93jllGR_QbNz_QcBUMPB-NJUP8/edit?gid=902639746#gid=902639746"", ""CHECKING!$H""&amp;ROW(H341))"),"ENCODED")</f>
        <v>ENCODED</v>
      </c>
      <c r="J129" s="19" t="str">
        <f>IFERROR(__xludf.DUMMYFUNCTION("IMPORTRANGE(""https://docs.google.com/spreadsheets/d/1otQjWHjy3Rq_-7Ie_93jllGR_QbNz_QcBUMPB-NJUP8/edit?gid=902639746#gid=902639746"", ""CHECKING!$I""&amp;ROW(I341))"),"NOT ENCODED")</f>
        <v>NOT ENCODED</v>
      </c>
      <c r="K129" s="19" t="str">
        <f>IFERROR(__xludf.DUMMYFUNCTION("IMPORTRANGE(""https://docs.google.com/spreadsheets/d/1otQjWHjy3Rq_-7Ie_93jllGR_QbNz_QcBUMPB-NJUP8/edit?gid=902639746#gid=902639746"", ""CHECKING!$J""&amp;ROW(J341))"),"NOT ENCODED")</f>
        <v>NOT ENCODED</v>
      </c>
      <c r="L129" s="19" t="str">
        <f>IFERROR(__xludf.DUMMYFUNCTION("IMPORTRANGE(""https://docs.google.com/spreadsheets/d/1otQjWHjy3Rq_-7Ie_93jllGR_QbNz_QcBUMPB-NJUP8/edit?gid=902639746#gid=902639746"", ""CHECKING!$K""&amp;ROW(K341))"),"NOT ENCODED")</f>
        <v>NOT ENCODED</v>
      </c>
      <c r="M129" s="19" t="str">
        <f>IFERROR(__xludf.DUMMYFUNCTION("IMPORTRANGE(""https://docs.google.com/spreadsheets/d/1otQjWHjy3Rq_-7Ie_93jllGR_QbNz_QcBUMPB-NJUP8/edit?gid=902639746#gid=902639746"", ""CHECKING!$L""&amp;ROW(L341))"),"NOT ENCODED")</f>
        <v>NOT ENCODED</v>
      </c>
    </row>
    <row r="130">
      <c r="A130" s="26" t="s">
        <v>19</v>
      </c>
      <c r="B130" s="27">
        <f>IFERROR(__xludf.DUMMYFUNCTION("IMPORTRANGE(""https://docs.google.com/spreadsheets/d/1sbaTJIEs8I7XTpGUl1gZ8em-J48uYWx8P9XF_jnHubM/edit?gid=91456061#gid=91456061"", ""SUMMARY!$B""&amp;ROW($B56))"),49.0)</f>
        <v>49</v>
      </c>
      <c r="C130" s="27" t="str">
        <f>IFERROR(__xludf.DUMMYFUNCTION("IMPORTRANGE(""https://docs.google.com/spreadsheets/d/1sbaTJIEs8I7XTpGUl1gZ8em-J48uYWx8P9XF_jnHubM/edit?gid=91456061#gid=91456061"", ""SUMMARY!$C""&amp;ROW($C56))"),"SHELBY")</f>
        <v>SHELBY</v>
      </c>
      <c r="D130" s="28" t="str">
        <f>IFERROR(__xludf.DUMMYFUNCTION("IMPORTRANGE(""https://docs.google.com/spreadsheets/d/1sbaTJIEs8I7XTpGUl1gZ8em-J48uYWx8P9XF_jnHubM/edit?gid=91456061#gid=91456061"", ""SUMMARY!$F""&amp;ROW($F56))"),"AUTOMOTIVE")</f>
        <v>AUTOMOTIVE</v>
      </c>
      <c r="E130" s="29" t="str">
        <f>IFERROR(__xludf.DUMMYFUNCTION("IMPORTRANGE(""https://docs.google.com/spreadsheets/d/1sbaTJIEs8I7XTpGUl1gZ8em-J48uYWx8P9XF_jnHubM/edit?gid=91456061#gid=91456061"", ""SUMMARY!$D""&amp;ROW($D56))"),"CHARLYMAGNE P. ALVAREZ")</f>
        <v>CHARLYMAGNE P. ALVAREZ</v>
      </c>
      <c r="F130" s="29" t="str">
        <f>IFERROR(__xludf.DUMMYFUNCTION("IMPORTRANGE(""https://docs.google.com/spreadsheets/d/1sbaTJIEs8I7XTpGUl1gZ8em-J48uYWx8P9XF_jnHubM/edit?gid=91456061#gid=91456061"", ""SUMMARY!$E""&amp;ROW($E56))"),"ABM")</f>
        <v>ABM</v>
      </c>
      <c r="G130" s="19" t="str">
        <f>IFERROR(__xludf.DUMMYFUNCTION("IMPORTRANGE(""https://docs.google.com/spreadsheets/d/1otQjWHjy3Rq_-7Ie_93jllGR_QbNz_QcBUMPB-NJUP8/edit?gid=902639746#gid=902639746"", ""CHECKING!$F""&amp;COLUMN(F342))"),"ENCODED")</f>
        <v>ENCODED</v>
      </c>
      <c r="H130" s="19" t="str">
        <f>IFERROR(__xludf.DUMMYFUNCTION("IMPORTRANGE(""https://docs.google.com/spreadsheets/d/1otQjWHjy3Rq_-7Ie_93jllGR_QbNz_QcBUMPB-NJUP8/edit?gid=902639746#gid=902639746"", ""CHECKING!$G""&amp;ROW(G342))"),"ENCODED")</f>
        <v>ENCODED</v>
      </c>
      <c r="I130" s="19" t="str">
        <f>IFERROR(__xludf.DUMMYFUNCTION("IMPORTRANGE(""https://docs.google.com/spreadsheets/d/1otQjWHjy3Rq_-7Ie_93jllGR_QbNz_QcBUMPB-NJUP8/edit?gid=902639746#gid=902639746"", ""CHECKING!$H""&amp;ROW(H342))"),"ENCODED")</f>
        <v>ENCODED</v>
      </c>
      <c r="J130" s="19" t="str">
        <f>IFERROR(__xludf.DUMMYFUNCTION("IMPORTRANGE(""https://docs.google.com/spreadsheets/d/1otQjWHjy3Rq_-7Ie_93jllGR_QbNz_QcBUMPB-NJUP8/edit?gid=902639746#gid=902639746"", ""CHECKING!$I""&amp;ROW(I342))"),"NOT ENCODED")</f>
        <v>NOT ENCODED</v>
      </c>
      <c r="K130" s="19" t="str">
        <f>IFERROR(__xludf.DUMMYFUNCTION("IMPORTRANGE(""https://docs.google.com/spreadsheets/d/1otQjWHjy3Rq_-7Ie_93jllGR_QbNz_QcBUMPB-NJUP8/edit?gid=902639746#gid=902639746"", ""CHECKING!$J""&amp;ROW(J342))"),"NOT ENCODED")</f>
        <v>NOT ENCODED</v>
      </c>
      <c r="L130" s="19" t="str">
        <f>IFERROR(__xludf.DUMMYFUNCTION("IMPORTRANGE(""https://docs.google.com/spreadsheets/d/1otQjWHjy3Rq_-7Ie_93jllGR_QbNz_QcBUMPB-NJUP8/edit?gid=902639746#gid=902639746"", ""CHECKING!$K""&amp;ROW(K342))"),"NOT ENCODED")</f>
        <v>NOT ENCODED</v>
      </c>
      <c r="M130" s="19" t="str">
        <f>IFERROR(__xludf.DUMMYFUNCTION("IMPORTRANGE(""https://docs.google.com/spreadsheets/d/1otQjWHjy3Rq_-7Ie_93jllGR_QbNz_QcBUMPB-NJUP8/edit?gid=902639746#gid=902639746"", ""CHECKING!$L""&amp;ROW(L342))"),"NOT ENCODED")</f>
        <v>NOT ENCODED</v>
      </c>
    </row>
    <row r="131">
      <c r="A131" s="26" t="s">
        <v>19</v>
      </c>
      <c r="B131" s="27">
        <f>IFERROR(__xludf.DUMMYFUNCTION("IMPORTRANGE(""https://docs.google.com/spreadsheets/d/1sbaTJIEs8I7XTpGUl1gZ8em-J48uYWx8P9XF_jnHubM/edit?gid=91456061#gid=91456061"", ""SUMMARY!$B""&amp;ROW($B57))"),50.0)</f>
        <v>50</v>
      </c>
      <c r="C131" s="27" t="str">
        <f>IFERROR(__xludf.DUMMYFUNCTION("IMPORTRANGE(""https://docs.google.com/spreadsheets/d/1sbaTJIEs8I7XTpGUl1gZ8em-J48uYWx8P9XF_jnHubM/edit?gid=91456061#gid=91456061"", ""SUMMARY!$C""&amp;ROW($C57))"),"ATALA")</f>
        <v>ATALA</v>
      </c>
      <c r="D131" s="28" t="str">
        <f>IFERROR(__xludf.DUMMYFUNCTION("IMPORTRANGE(""https://docs.google.com/spreadsheets/d/1sbaTJIEs8I7XTpGUl1gZ8em-J48uYWx8P9XF_jnHubM/edit?gid=91456061#gid=91456061"", ""SUMMARY!$F""&amp;ROW($F57))"),"COOKERY")</f>
        <v>COOKERY</v>
      </c>
      <c r="E131" s="29" t="str">
        <f>IFERROR(__xludf.DUMMYFUNCTION("IMPORTRANGE(""https://docs.google.com/spreadsheets/d/1sbaTJIEs8I7XTpGUl1gZ8em-J48uYWx8P9XF_jnHubM/edit?gid=91456061#gid=91456061"", ""SUMMARY!$D""&amp;ROW($D57))"),"ALVIN C. GONZALES")</f>
        <v>ALVIN C. GONZALES</v>
      </c>
      <c r="F131" s="29" t="str">
        <f>IFERROR(__xludf.DUMMYFUNCTION("IMPORTRANGE(""https://docs.google.com/spreadsheets/d/1sbaTJIEs8I7XTpGUl1gZ8em-J48uYWx8P9XF_jnHubM/edit?gid=91456061#gid=91456061"", ""SUMMARY!$E""&amp;ROW($E57))"),"ENGLISH")</f>
        <v>ENGLISH</v>
      </c>
      <c r="G131" s="19" t="str">
        <f>IFERROR(__xludf.DUMMYFUNCTION("IMPORTRANGE(""https://docs.google.com/spreadsheets/d/1otQjWHjy3Rq_-7Ie_93jllGR_QbNz_QcBUMPB-NJUP8/edit?gid=902639746#gid=902639746"", ""CHECKING!$F""&amp;COLUMN(F343))"),"ENCODED")</f>
        <v>ENCODED</v>
      </c>
      <c r="H131" s="19" t="str">
        <f>IFERROR(__xludf.DUMMYFUNCTION("IMPORTRANGE(""https://docs.google.com/spreadsheets/d/1otQjWHjy3Rq_-7Ie_93jllGR_QbNz_QcBUMPB-NJUP8/edit?gid=902639746#gid=902639746"", ""CHECKING!$G""&amp;ROW(G343))"),"ENCODED")</f>
        <v>ENCODED</v>
      </c>
      <c r="I131" s="19" t="str">
        <f>IFERROR(__xludf.DUMMYFUNCTION("IMPORTRANGE(""https://docs.google.com/spreadsheets/d/1otQjWHjy3Rq_-7Ie_93jllGR_QbNz_QcBUMPB-NJUP8/edit?gid=902639746#gid=902639746"", ""CHECKING!$H""&amp;ROW(H343))"),"ENCODED")</f>
        <v>ENCODED</v>
      </c>
      <c r="J131" s="19" t="str">
        <f>IFERROR(__xludf.DUMMYFUNCTION("IMPORTRANGE(""https://docs.google.com/spreadsheets/d/1otQjWHjy3Rq_-7Ie_93jllGR_QbNz_QcBUMPB-NJUP8/edit?gid=902639746#gid=902639746"", ""CHECKING!$I""&amp;ROW(I343))"),"NOT ENCODED")</f>
        <v>NOT ENCODED</v>
      </c>
      <c r="K131" s="19" t="str">
        <f>IFERROR(__xludf.DUMMYFUNCTION("IMPORTRANGE(""https://docs.google.com/spreadsheets/d/1otQjWHjy3Rq_-7Ie_93jllGR_QbNz_QcBUMPB-NJUP8/edit?gid=902639746#gid=902639746"", ""CHECKING!$J""&amp;ROW(J343))"),"NOT ENCODED")</f>
        <v>NOT ENCODED</v>
      </c>
      <c r="L131" s="19" t="str">
        <f>IFERROR(__xludf.DUMMYFUNCTION("IMPORTRANGE(""https://docs.google.com/spreadsheets/d/1otQjWHjy3Rq_-7Ie_93jllGR_QbNz_QcBUMPB-NJUP8/edit?gid=902639746#gid=902639746"", ""CHECKING!$K""&amp;ROW(K343))"),"NOT ENCODED")</f>
        <v>NOT ENCODED</v>
      </c>
      <c r="M131" s="19" t="str">
        <f>IFERROR(__xludf.DUMMYFUNCTION("IMPORTRANGE(""https://docs.google.com/spreadsheets/d/1otQjWHjy3Rq_-7Ie_93jllGR_QbNz_QcBUMPB-NJUP8/edit?gid=902639746#gid=902639746"", ""CHECKING!$L""&amp;ROW(L343))"),"NOT ENCODED")</f>
        <v>NOT ENCODED</v>
      </c>
    </row>
    <row r="132">
      <c r="A132" s="26" t="s">
        <v>19</v>
      </c>
      <c r="B132" s="27">
        <f>IFERROR(__xludf.DUMMYFUNCTION("IMPORTRANGE(""https://docs.google.com/spreadsheets/d/1sbaTJIEs8I7XTpGUl1gZ8em-J48uYWx8P9XF_jnHubM/edit?gid=91456061#gid=91456061"", ""SUMMARY!$B""&amp;ROW($B58))"),51.0)</f>
        <v>51</v>
      </c>
      <c r="C132" s="27" t="str">
        <f>IFERROR(__xludf.DUMMYFUNCTION("IMPORTRANGE(""https://docs.google.com/spreadsheets/d/1sbaTJIEs8I7XTpGUl1gZ8em-J48uYWx8P9XF_jnHubM/edit?gid=91456061#gid=91456061"", ""SUMMARY!$C""&amp;ROW($C58))"),"BOURDAIN")</f>
        <v>BOURDAIN</v>
      </c>
      <c r="D132" s="28" t="str">
        <f>IFERROR(__xludf.DUMMYFUNCTION("IMPORTRANGE(""https://docs.google.com/spreadsheets/d/1sbaTJIEs8I7XTpGUl1gZ8em-J48uYWx8P9XF_jnHubM/edit?gid=91456061#gid=91456061"", ""SUMMARY!$F""&amp;ROW($F58))"),"COOKERY")</f>
        <v>COOKERY</v>
      </c>
      <c r="E132" s="29" t="str">
        <f>IFERROR(__xludf.DUMMYFUNCTION("IMPORTRANGE(""https://docs.google.com/spreadsheets/d/1sbaTJIEs8I7XTpGUl1gZ8em-J48uYWx8P9XF_jnHubM/edit?gid=91456061#gid=91456061"", ""SUMMARY!$D""&amp;ROW($D58))"),"MARK ANTHONY Y. PANLILIO")</f>
        <v>MARK ANTHONY Y. PANLILIO</v>
      </c>
      <c r="F132" s="29" t="str">
        <f>IFERROR(__xludf.DUMMYFUNCTION("IMPORTRANGE(""https://docs.google.com/spreadsheets/d/1sbaTJIEs8I7XTpGUl1gZ8em-J48uYWx8P9XF_jnHubM/edit?gid=91456061#gid=91456061"", ""SUMMARY!$E""&amp;ROW($E58))"),"ABM")</f>
        <v>ABM</v>
      </c>
      <c r="G132" s="19" t="str">
        <f>IFERROR(__xludf.DUMMYFUNCTION("IMPORTRANGE(""https://docs.google.com/spreadsheets/d/1otQjWHjy3Rq_-7Ie_93jllGR_QbNz_QcBUMPB-NJUP8/edit?gid=902639746#gid=902639746"", ""CHECKING!$F""&amp;COLUMN(F344))"),"ENCODED")</f>
        <v>ENCODED</v>
      </c>
      <c r="H132" s="19" t="str">
        <f>IFERROR(__xludf.DUMMYFUNCTION("IMPORTRANGE(""https://docs.google.com/spreadsheets/d/1otQjWHjy3Rq_-7Ie_93jllGR_QbNz_QcBUMPB-NJUP8/edit?gid=902639746#gid=902639746"", ""CHECKING!$G""&amp;ROW(G344))"),"ENCODED")</f>
        <v>ENCODED</v>
      </c>
      <c r="I132" s="19" t="str">
        <f>IFERROR(__xludf.DUMMYFUNCTION("IMPORTRANGE(""https://docs.google.com/spreadsheets/d/1otQjWHjy3Rq_-7Ie_93jllGR_QbNz_QcBUMPB-NJUP8/edit?gid=902639746#gid=902639746"", ""CHECKING!$H""&amp;ROW(H344))"),"ENCODED")</f>
        <v>ENCODED</v>
      </c>
      <c r="J132" s="19" t="str">
        <f>IFERROR(__xludf.DUMMYFUNCTION("IMPORTRANGE(""https://docs.google.com/spreadsheets/d/1otQjWHjy3Rq_-7Ie_93jllGR_QbNz_QcBUMPB-NJUP8/edit?gid=902639746#gid=902639746"", ""CHECKING!$I""&amp;ROW(I344))"),"ENCODED")</f>
        <v>ENCODED</v>
      </c>
      <c r="K132" s="19" t="str">
        <f>IFERROR(__xludf.DUMMYFUNCTION("IMPORTRANGE(""https://docs.google.com/spreadsheets/d/1otQjWHjy3Rq_-7Ie_93jllGR_QbNz_QcBUMPB-NJUP8/edit?gid=902639746#gid=902639746"", ""CHECKING!$J""&amp;ROW(J344))"),"NOT ENCODED")</f>
        <v>NOT ENCODED</v>
      </c>
      <c r="L132" s="19" t="str">
        <f>IFERROR(__xludf.DUMMYFUNCTION("IMPORTRANGE(""https://docs.google.com/spreadsheets/d/1otQjWHjy3Rq_-7Ie_93jllGR_QbNz_QcBUMPB-NJUP8/edit?gid=902639746#gid=902639746"", ""CHECKING!$K""&amp;ROW(K344))"),"NOT ENCODED")</f>
        <v>NOT ENCODED</v>
      </c>
      <c r="M132" s="19" t="str">
        <f>IFERROR(__xludf.DUMMYFUNCTION("IMPORTRANGE(""https://docs.google.com/spreadsheets/d/1otQjWHjy3Rq_-7Ie_93jllGR_QbNz_QcBUMPB-NJUP8/edit?gid=902639746#gid=902639746"", ""CHECKING!$L""&amp;ROW(L344))"),"NOT ENCODED")</f>
        <v>NOT ENCODED</v>
      </c>
    </row>
    <row r="133">
      <c r="A133" s="26" t="s">
        <v>19</v>
      </c>
      <c r="B133" s="27">
        <f>IFERROR(__xludf.DUMMYFUNCTION("IMPORTRANGE(""https://docs.google.com/spreadsheets/d/1sbaTJIEs8I7XTpGUl1gZ8em-J48uYWx8P9XF_jnHubM/edit?gid=91456061#gid=91456061"", ""SUMMARY!$B""&amp;ROW($B59))"),52.0)</f>
        <v>52</v>
      </c>
      <c r="C133" s="27" t="str">
        <f>IFERROR(__xludf.DUMMYFUNCTION("IMPORTRANGE(""https://docs.google.com/spreadsheets/d/1sbaTJIEs8I7XTpGUl1gZ8em-J48uYWx8P9XF_jnHubM/edit?gid=91456061#gid=91456061"", ""SUMMARY!$C""&amp;ROW($C59))"),"COMERFORD")</f>
        <v>COMERFORD</v>
      </c>
      <c r="D133" s="28" t="str">
        <f>IFERROR(__xludf.DUMMYFUNCTION("IMPORTRANGE(""https://docs.google.com/spreadsheets/d/1sbaTJIEs8I7XTpGUl1gZ8em-J48uYWx8P9XF_jnHubM/edit?gid=91456061#gid=91456061"", ""SUMMARY!$F""&amp;ROW($F59))"),"COOKERY")</f>
        <v>COOKERY</v>
      </c>
      <c r="E133" s="29" t="str">
        <f>IFERROR(__xludf.DUMMYFUNCTION("IMPORTRANGE(""https://docs.google.com/spreadsheets/d/1sbaTJIEs8I7XTpGUl1gZ8em-J48uYWx8P9XF_jnHubM/edit?gid=91456061#gid=91456061"", ""SUMMARY!$D""&amp;ROW($D59))"),"EMILIE L. LATINA")</f>
        <v>EMILIE L. LATINA</v>
      </c>
      <c r="F133" s="29" t="str">
        <f>IFERROR(__xludf.DUMMYFUNCTION("IMPORTRANGE(""https://docs.google.com/spreadsheets/d/1sbaTJIEs8I7XTpGUl1gZ8em-J48uYWx8P9XF_jnHubM/edit?gid=91456061#gid=91456061"", ""SUMMARY!$E""&amp;ROW($E59))"),"TVL - ICT")</f>
        <v>TVL - ICT</v>
      </c>
      <c r="G133" s="19" t="str">
        <f>IFERROR(__xludf.DUMMYFUNCTION("IMPORTRANGE(""https://docs.google.com/spreadsheets/d/1otQjWHjy3Rq_-7Ie_93jllGR_QbNz_QcBUMPB-NJUP8/edit?gid=902639746#gid=902639746"", ""CHECKING!$F""&amp;COLUMN(F345))"),"ENCODED")</f>
        <v>ENCODED</v>
      </c>
      <c r="H133" s="19" t="str">
        <f>IFERROR(__xludf.DUMMYFUNCTION("IMPORTRANGE(""https://docs.google.com/spreadsheets/d/1otQjWHjy3Rq_-7Ie_93jllGR_QbNz_QcBUMPB-NJUP8/edit?gid=902639746#gid=902639746"", ""CHECKING!$G""&amp;ROW(G345))"),"ENCODED")</f>
        <v>ENCODED</v>
      </c>
      <c r="I133" s="19" t="str">
        <f>IFERROR(__xludf.DUMMYFUNCTION("IMPORTRANGE(""https://docs.google.com/spreadsheets/d/1otQjWHjy3Rq_-7Ie_93jllGR_QbNz_QcBUMPB-NJUP8/edit?gid=902639746#gid=902639746"", ""CHECKING!$H""&amp;ROW(H345))"),"ENCODED")</f>
        <v>ENCODED</v>
      </c>
      <c r="J133" s="19" t="str">
        <f>IFERROR(__xludf.DUMMYFUNCTION("IMPORTRANGE(""https://docs.google.com/spreadsheets/d/1otQjWHjy3Rq_-7Ie_93jllGR_QbNz_QcBUMPB-NJUP8/edit?gid=902639746#gid=902639746"", ""CHECKING!$I""&amp;ROW(I345))"),"NOT ENCODED")</f>
        <v>NOT ENCODED</v>
      </c>
      <c r="K133" s="19" t="str">
        <f>IFERROR(__xludf.DUMMYFUNCTION("IMPORTRANGE(""https://docs.google.com/spreadsheets/d/1otQjWHjy3Rq_-7Ie_93jllGR_QbNz_QcBUMPB-NJUP8/edit?gid=902639746#gid=902639746"", ""CHECKING!$J""&amp;ROW(J345))"),"NOT ENCODED")</f>
        <v>NOT ENCODED</v>
      </c>
      <c r="L133" s="19" t="str">
        <f>IFERROR(__xludf.DUMMYFUNCTION("IMPORTRANGE(""https://docs.google.com/spreadsheets/d/1otQjWHjy3Rq_-7Ie_93jllGR_QbNz_QcBUMPB-NJUP8/edit?gid=902639746#gid=902639746"", ""CHECKING!$K""&amp;ROW(K345))"),"NOT ENCODED")</f>
        <v>NOT ENCODED</v>
      </c>
      <c r="M133" s="19" t="str">
        <f>IFERROR(__xludf.DUMMYFUNCTION("IMPORTRANGE(""https://docs.google.com/spreadsheets/d/1otQjWHjy3Rq_-7Ie_93jllGR_QbNz_QcBUMPB-NJUP8/edit?gid=902639746#gid=902639746"", ""CHECKING!$L""&amp;ROW(L345))"),"NOT ENCODED")</f>
        <v>NOT ENCODED</v>
      </c>
    </row>
    <row r="134">
      <c r="A134" s="26" t="s">
        <v>19</v>
      </c>
      <c r="B134" s="27">
        <f>IFERROR(__xludf.DUMMYFUNCTION("IMPORTRANGE(""https://docs.google.com/spreadsheets/d/1sbaTJIEs8I7XTpGUl1gZ8em-J48uYWx8P9XF_jnHubM/edit?gid=91456061#gid=91456061"", ""SUMMARY!$B""&amp;ROW($B60))"),53.0)</f>
        <v>53</v>
      </c>
      <c r="C134" s="27" t="str">
        <f>IFERROR(__xludf.DUMMYFUNCTION("IMPORTRANGE(""https://docs.google.com/spreadsheets/d/1sbaTJIEs8I7XTpGUl1gZ8em-J48uYWx8P9XF_jnHubM/edit?gid=91456061#gid=91456061"", ""SUMMARY!$C""&amp;ROW($C60))"),"DUCASSE")</f>
        <v>DUCASSE</v>
      </c>
      <c r="D134" s="28" t="str">
        <f>IFERROR(__xludf.DUMMYFUNCTION("IMPORTRANGE(""https://docs.google.com/spreadsheets/d/1sbaTJIEs8I7XTpGUl1gZ8em-J48uYWx8P9XF_jnHubM/edit?gid=91456061#gid=91456061"", ""SUMMARY!$F""&amp;ROW($F60))"),"COOKERY")</f>
        <v>COOKERY</v>
      </c>
      <c r="E134" s="29" t="str">
        <f>IFERROR(__xludf.DUMMYFUNCTION("IMPORTRANGE(""https://docs.google.com/spreadsheets/d/1sbaTJIEs8I7XTpGUl1gZ8em-J48uYWx8P9XF_jnHubM/edit?gid=91456061#gid=91456061"", ""SUMMARY!$D""&amp;ROW($D60))"),"AUREA M. ZARAGOZA")</f>
        <v>AUREA M. ZARAGOZA</v>
      </c>
      <c r="F134" s="29" t="str">
        <f>IFERROR(__xludf.DUMMYFUNCTION("IMPORTRANGE(""https://docs.google.com/spreadsheets/d/1sbaTJIEs8I7XTpGUl1gZ8em-J48uYWx8P9XF_jnHubM/edit?gid=91456061#gid=91456061"", ""SUMMARY!$E""&amp;ROW($E60))"),"HUMSS")</f>
        <v>HUMSS</v>
      </c>
      <c r="G134" s="19" t="str">
        <f>IFERROR(__xludf.DUMMYFUNCTION("IMPORTRANGE(""https://docs.google.com/spreadsheets/d/1otQjWHjy3Rq_-7Ie_93jllGR_QbNz_QcBUMPB-NJUP8/edit?gid=902639746#gid=902639746"", ""CHECKING!$F""&amp;COLUMN(F346))"),"ENCODED")</f>
        <v>ENCODED</v>
      </c>
      <c r="H134" s="19" t="str">
        <f>IFERROR(__xludf.DUMMYFUNCTION("IMPORTRANGE(""https://docs.google.com/spreadsheets/d/1otQjWHjy3Rq_-7Ie_93jllGR_QbNz_QcBUMPB-NJUP8/edit?gid=902639746#gid=902639746"", ""CHECKING!$G""&amp;ROW(G346))"),"ENCODED")</f>
        <v>ENCODED</v>
      </c>
      <c r="I134" s="19" t="str">
        <f>IFERROR(__xludf.DUMMYFUNCTION("IMPORTRANGE(""https://docs.google.com/spreadsheets/d/1otQjWHjy3Rq_-7Ie_93jllGR_QbNz_QcBUMPB-NJUP8/edit?gid=902639746#gid=902639746"", ""CHECKING!$H""&amp;ROW(H346))"),"ENCODED")</f>
        <v>ENCODED</v>
      </c>
      <c r="J134" s="19" t="str">
        <f>IFERROR(__xludf.DUMMYFUNCTION("IMPORTRANGE(""https://docs.google.com/spreadsheets/d/1otQjWHjy3Rq_-7Ie_93jllGR_QbNz_QcBUMPB-NJUP8/edit?gid=902639746#gid=902639746"", ""CHECKING!$I""&amp;ROW(I346))"),"ENCODED")</f>
        <v>ENCODED</v>
      </c>
      <c r="K134" s="19" t="str">
        <f>IFERROR(__xludf.DUMMYFUNCTION("IMPORTRANGE(""https://docs.google.com/spreadsheets/d/1otQjWHjy3Rq_-7Ie_93jllGR_QbNz_QcBUMPB-NJUP8/edit?gid=902639746#gid=902639746"", ""CHECKING!$J""&amp;ROW(J346))"),"NOT ENCODED")</f>
        <v>NOT ENCODED</v>
      </c>
      <c r="L134" s="19" t="str">
        <f>IFERROR(__xludf.DUMMYFUNCTION("IMPORTRANGE(""https://docs.google.com/spreadsheets/d/1otQjWHjy3Rq_-7Ie_93jllGR_QbNz_QcBUMPB-NJUP8/edit?gid=902639746#gid=902639746"", ""CHECKING!$K""&amp;ROW(K346))"),"NOT ENCODED")</f>
        <v>NOT ENCODED</v>
      </c>
      <c r="M134" s="19" t="str">
        <f>IFERROR(__xludf.DUMMYFUNCTION("IMPORTRANGE(""https://docs.google.com/spreadsheets/d/1otQjWHjy3Rq_-7Ie_93jllGR_QbNz_QcBUMPB-NJUP8/edit?gid=902639746#gid=902639746"", ""CHECKING!$L""&amp;ROW(L346))"),"NOT ENCODED")</f>
        <v>NOT ENCODED</v>
      </c>
    </row>
    <row r="135">
      <c r="A135" s="26" t="s">
        <v>19</v>
      </c>
      <c r="B135" s="27">
        <f>IFERROR(__xludf.DUMMYFUNCTION("IMPORTRANGE(""https://docs.google.com/spreadsheets/d/1sbaTJIEs8I7XTpGUl1gZ8em-J48uYWx8P9XF_jnHubM/edit?gid=91456061#gid=91456061"", ""SUMMARY!$B""&amp;ROW($B61))"),54.0)</f>
        <v>54</v>
      </c>
      <c r="C135" s="27" t="str">
        <f>IFERROR(__xludf.DUMMYFUNCTION("IMPORTRANGE(""https://docs.google.com/spreadsheets/d/1sbaTJIEs8I7XTpGUl1gZ8em-J48uYWx8P9XF_jnHubM/edit?gid=91456061#gid=91456061"", ""SUMMARY!$C""&amp;ROW($C61))"),"KELLER")</f>
        <v>KELLER</v>
      </c>
      <c r="D135" s="28" t="str">
        <f>IFERROR(__xludf.DUMMYFUNCTION("IMPORTRANGE(""https://docs.google.com/spreadsheets/d/1sbaTJIEs8I7XTpGUl1gZ8em-J48uYWx8P9XF_jnHubM/edit?gid=91456061#gid=91456061"", ""SUMMARY!$F""&amp;ROW($F61))"),"COOKERY")</f>
        <v>COOKERY</v>
      </c>
      <c r="E135" s="29" t="str">
        <f>IFERROR(__xludf.DUMMYFUNCTION("IMPORTRANGE(""https://docs.google.com/spreadsheets/d/1sbaTJIEs8I7XTpGUl1gZ8em-J48uYWx8P9XF_jnHubM/edit?gid=91456061#gid=91456061"", ""SUMMARY!$D""&amp;ROW($D61))"),"KIMBERLY ANN P. UGERIO")</f>
        <v>KIMBERLY ANN P. UGERIO</v>
      </c>
      <c r="F135" s="29" t="str">
        <f>IFERROR(__xludf.DUMMYFUNCTION("IMPORTRANGE(""https://docs.google.com/spreadsheets/d/1sbaTJIEs8I7XTpGUl1gZ8em-J48uYWx8P9XF_jnHubM/edit?gid=91456061#gid=91456061"", ""SUMMARY!$E""&amp;ROW($E61))"),"ENGLISH")</f>
        <v>ENGLISH</v>
      </c>
      <c r="G135" s="19" t="str">
        <f>IFERROR(__xludf.DUMMYFUNCTION("IMPORTRANGE(""https://docs.google.com/spreadsheets/d/1otQjWHjy3Rq_-7Ie_93jllGR_QbNz_QcBUMPB-NJUP8/edit?gid=902639746#gid=902639746"", ""CHECKING!$F""&amp;COLUMN(F347))"),"ENCODED")</f>
        <v>ENCODED</v>
      </c>
      <c r="H135" s="19" t="str">
        <f>IFERROR(__xludf.DUMMYFUNCTION("IMPORTRANGE(""https://docs.google.com/spreadsheets/d/1otQjWHjy3Rq_-7Ie_93jllGR_QbNz_QcBUMPB-NJUP8/edit?gid=902639746#gid=902639746"", ""CHECKING!$G""&amp;ROW(G347))"),"ENCODED")</f>
        <v>ENCODED</v>
      </c>
      <c r="I135" s="19" t="str">
        <f>IFERROR(__xludf.DUMMYFUNCTION("IMPORTRANGE(""https://docs.google.com/spreadsheets/d/1otQjWHjy3Rq_-7Ie_93jllGR_QbNz_QcBUMPB-NJUP8/edit?gid=902639746#gid=902639746"", ""CHECKING!$H""&amp;ROW(H347))"),"ENCODED")</f>
        <v>ENCODED</v>
      </c>
      <c r="J135" s="19" t="str">
        <f>IFERROR(__xludf.DUMMYFUNCTION("IMPORTRANGE(""https://docs.google.com/spreadsheets/d/1otQjWHjy3Rq_-7Ie_93jllGR_QbNz_QcBUMPB-NJUP8/edit?gid=902639746#gid=902639746"", ""CHECKING!$I""&amp;ROW(I347))"),"ENCODED")</f>
        <v>ENCODED</v>
      </c>
      <c r="K135" s="19" t="str">
        <f>IFERROR(__xludf.DUMMYFUNCTION("IMPORTRANGE(""https://docs.google.com/spreadsheets/d/1otQjWHjy3Rq_-7Ie_93jllGR_QbNz_QcBUMPB-NJUP8/edit?gid=902639746#gid=902639746"", ""CHECKING!$J""&amp;ROW(J347))"),"ENCODED")</f>
        <v>ENCODED</v>
      </c>
      <c r="L135" s="19" t="str">
        <f>IFERROR(__xludf.DUMMYFUNCTION("IMPORTRANGE(""https://docs.google.com/spreadsheets/d/1otQjWHjy3Rq_-7Ie_93jllGR_QbNz_QcBUMPB-NJUP8/edit?gid=902639746#gid=902639746"", ""CHECKING!$K""&amp;ROW(K347))"),"NOT ENCODED")</f>
        <v>NOT ENCODED</v>
      </c>
      <c r="M135" s="19" t="str">
        <f>IFERROR(__xludf.DUMMYFUNCTION("IMPORTRANGE(""https://docs.google.com/spreadsheets/d/1otQjWHjy3Rq_-7Ie_93jllGR_QbNz_QcBUMPB-NJUP8/edit?gid=902639746#gid=902639746"", ""CHECKING!$L""&amp;ROW(L347))"),"NOT ENCODED")</f>
        <v>NOT ENCODED</v>
      </c>
    </row>
    <row r="136">
      <c r="A136" s="26" t="s">
        <v>19</v>
      </c>
      <c r="B136" s="27">
        <f>IFERROR(__xludf.DUMMYFUNCTION("IMPORTRANGE(""https://docs.google.com/spreadsheets/d/1sbaTJIEs8I7XTpGUl1gZ8em-J48uYWx8P9XF_jnHubM/edit?gid=91456061#gid=91456061"", ""SUMMARY!$B""&amp;ROW($B62))"),55.0)</f>
        <v>55</v>
      </c>
      <c r="C136" s="27" t="str">
        <f>IFERROR(__xludf.DUMMYFUNCTION("IMPORTRANGE(""https://docs.google.com/spreadsheets/d/1sbaTJIEs8I7XTpGUl1gZ8em-J48uYWx8P9XF_jnHubM/edit?gid=91456061#gid=91456061"", ""SUMMARY!$C""&amp;ROW($C62))"),"MATSUHISA")</f>
        <v>MATSUHISA</v>
      </c>
      <c r="D136" s="28" t="str">
        <f>IFERROR(__xludf.DUMMYFUNCTION("IMPORTRANGE(""https://docs.google.com/spreadsheets/d/1sbaTJIEs8I7XTpGUl1gZ8em-J48uYWx8P9XF_jnHubM/edit?gid=91456061#gid=91456061"", ""SUMMARY!$F""&amp;ROW($F62))"),"COOKERY")</f>
        <v>COOKERY</v>
      </c>
      <c r="E136" s="29" t="str">
        <f>IFERROR(__xludf.DUMMYFUNCTION("IMPORTRANGE(""https://docs.google.com/spreadsheets/d/1sbaTJIEs8I7XTpGUl1gZ8em-J48uYWx8P9XF_jnHubM/edit?gid=91456061#gid=91456061"", ""SUMMARY!$D""&amp;ROW($D62))"),"MARISSA D. GARBIN")</f>
        <v>MARISSA D. GARBIN</v>
      </c>
      <c r="F136" s="29" t="str">
        <f>IFERROR(__xludf.DUMMYFUNCTION("IMPORTRANGE(""https://docs.google.com/spreadsheets/d/1sbaTJIEs8I7XTpGUl1gZ8em-J48uYWx8P9XF_jnHubM/edit?gid=91456061#gid=91456061"", ""SUMMARY!$E""&amp;ROW($E62))"),"ENGLISH")</f>
        <v>ENGLISH</v>
      </c>
      <c r="G136" s="19" t="str">
        <f>IFERROR(__xludf.DUMMYFUNCTION("IMPORTRANGE(""https://docs.google.com/spreadsheets/d/1otQjWHjy3Rq_-7Ie_93jllGR_QbNz_QcBUMPB-NJUP8/edit?gid=902639746#gid=902639746"", ""CHECKING!$F""&amp;COLUMN(F348))"),"ENCODED")</f>
        <v>ENCODED</v>
      </c>
      <c r="H136" s="19" t="str">
        <f>IFERROR(__xludf.DUMMYFUNCTION("IMPORTRANGE(""https://docs.google.com/spreadsheets/d/1otQjWHjy3Rq_-7Ie_93jllGR_QbNz_QcBUMPB-NJUP8/edit?gid=902639746#gid=902639746"", ""CHECKING!$G""&amp;ROW(G348))"),"ENCODED")</f>
        <v>ENCODED</v>
      </c>
      <c r="I136" s="19" t="str">
        <f>IFERROR(__xludf.DUMMYFUNCTION("IMPORTRANGE(""https://docs.google.com/spreadsheets/d/1otQjWHjy3Rq_-7Ie_93jllGR_QbNz_QcBUMPB-NJUP8/edit?gid=902639746#gid=902639746"", ""CHECKING!$H""&amp;ROW(H348))"),"ENCODED")</f>
        <v>ENCODED</v>
      </c>
      <c r="J136" s="19" t="str">
        <f>IFERROR(__xludf.DUMMYFUNCTION("IMPORTRANGE(""https://docs.google.com/spreadsheets/d/1otQjWHjy3Rq_-7Ie_93jllGR_QbNz_QcBUMPB-NJUP8/edit?gid=902639746#gid=902639746"", ""CHECKING!$I""&amp;ROW(I348))"),"ENCODED")</f>
        <v>ENCODED</v>
      </c>
      <c r="K136" s="19" t="str">
        <f>IFERROR(__xludf.DUMMYFUNCTION("IMPORTRANGE(""https://docs.google.com/spreadsheets/d/1otQjWHjy3Rq_-7Ie_93jllGR_QbNz_QcBUMPB-NJUP8/edit?gid=902639746#gid=902639746"", ""CHECKING!$J""&amp;ROW(J348))"),"NOT ENCODED")</f>
        <v>NOT ENCODED</v>
      </c>
      <c r="L136" s="19" t="str">
        <f>IFERROR(__xludf.DUMMYFUNCTION("IMPORTRANGE(""https://docs.google.com/spreadsheets/d/1otQjWHjy3Rq_-7Ie_93jllGR_QbNz_QcBUMPB-NJUP8/edit?gid=902639746#gid=902639746"", ""CHECKING!$K""&amp;ROW(K348))"),"NOT ENCODED")</f>
        <v>NOT ENCODED</v>
      </c>
      <c r="M136" s="19" t="str">
        <f>IFERROR(__xludf.DUMMYFUNCTION("IMPORTRANGE(""https://docs.google.com/spreadsheets/d/1otQjWHjy3Rq_-7Ie_93jllGR_QbNz_QcBUMPB-NJUP8/edit?gid=902639746#gid=902639746"", ""CHECKING!$L""&amp;ROW(L348))"),"NOT ENCODED")</f>
        <v>NOT ENCODED</v>
      </c>
    </row>
    <row r="137">
      <c r="A137" s="26" t="s">
        <v>19</v>
      </c>
      <c r="B137" s="27">
        <f>IFERROR(__xludf.DUMMYFUNCTION("IMPORTRANGE(""https://docs.google.com/spreadsheets/d/1sbaTJIEs8I7XTpGUl1gZ8em-J48uYWx8P9XF_jnHubM/edit?gid=91456061#gid=91456061"", ""SUMMARY!$B""&amp;ROW($B63))"),56.0)</f>
        <v>56</v>
      </c>
      <c r="C137" s="27" t="str">
        <f>IFERROR(__xludf.DUMMYFUNCTION("IMPORTRANGE(""https://docs.google.com/spreadsheets/d/1sbaTJIEs8I7XTpGUl1gZ8em-J48uYWx8P9XF_jnHubM/edit?gid=91456061#gid=91456061"", ""SUMMARY!$C""&amp;ROW($C63))"),"RAMSAY")</f>
        <v>RAMSAY</v>
      </c>
      <c r="D137" s="28" t="str">
        <f>IFERROR(__xludf.DUMMYFUNCTION("IMPORTRANGE(""https://docs.google.com/spreadsheets/d/1sbaTJIEs8I7XTpGUl1gZ8em-J48uYWx8P9XF_jnHubM/edit?gid=91456061#gid=91456061"", ""SUMMARY!$F""&amp;ROW($F63))"),"COOKERY")</f>
        <v>COOKERY</v>
      </c>
      <c r="E137" s="29" t="str">
        <f>IFERROR(__xludf.DUMMYFUNCTION("IMPORTRANGE(""https://docs.google.com/spreadsheets/d/1sbaTJIEs8I7XTpGUl1gZ8em-J48uYWx8P9XF_jnHubM/edit?gid=91456061#gid=91456061"", ""SUMMARY!$D""&amp;ROW($D63))"),"CHRISTIAN T. BASILAN")</f>
        <v>CHRISTIAN T. BASILAN</v>
      </c>
      <c r="F137" s="29" t="str">
        <f>IFERROR(__xludf.DUMMYFUNCTION("IMPORTRANGE(""https://docs.google.com/spreadsheets/d/1sbaTJIEs8I7XTpGUl1gZ8em-J48uYWx8P9XF_jnHubM/edit?gid=91456061#gid=91456061"", ""SUMMARY!$E""&amp;ROW($E63))"),"ABM")</f>
        <v>ABM</v>
      </c>
      <c r="G137" s="19" t="str">
        <f>IFERROR(__xludf.DUMMYFUNCTION("IMPORTRANGE(""https://docs.google.com/spreadsheets/d/1otQjWHjy3Rq_-7Ie_93jllGR_QbNz_QcBUMPB-NJUP8/edit?gid=902639746#gid=902639746"", ""CHECKING!$F""&amp;COLUMN(F349))"),"ENCODED")</f>
        <v>ENCODED</v>
      </c>
      <c r="H137" s="19" t="str">
        <f>IFERROR(__xludf.DUMMYFUNCTION("IMPORTRANGE(""https://docs.google.com/spreadsheets/d/1otQjWHjy3Rq_-7Ie_93jllGR_QbNz_QcBUMPB-NJUP8/edit?gid=902639746#gid=902639746"", ""CHECKING!$G""&amp;ROW(G349))"),"ENCODED")</f>
        <v>ENCODED</v>
      </c>
      <c r="I137" s="19" t="str">
        <f>IFERROR(__xludf.DUMMYFUNCTION("IMPORTRANGE(""https://docs.google.com/spreadsheets/d/1otQjWHjy3Rq_-7Ie_93jllGR_QbNz_QcBUMPB-NJUP8/edit?gid=902639746#gid=902639746"", ""CHECKING!$H""&amp;ROW(H349))"),"ENCODED")</f>
        <v>ENCODED</v>
      </c>
      <c r="J137" s="19" t="str">
        <f>IFERROR(__xludf.DUMMYFUNCTION("IMPORTRANGE(""https://docs.google.com/spreadsheets/d/1otQjWHjy3Rq_-7Ie_93jllGR_QbNz_QcBUMPB-NJUP8/edit?gid=902639746#gid=902639746"", ""CHECKING!$I""&amp;ROW(I349))"),"NOT ENCODED")</f>
        <v>NOT ENCODED</v>
      </c>
      <c r="K137" s="19" t="str">
        <f>IFERROR(__xludf.DUMMYFUNCTION("IMPORTRANGE(""https://docs.google.com/spreadsheets/d/1otQjWHjy3Rq_-7Ie_93jllGR_QbNz_QcBUMPB-NJUP8/edit?gid=902639746#gid=902639746"", ""CHECKING!$J""&amp;ROW(J349))"),"NOT ENCODED")</f>
        <v>NOT ENCODED</v>
      </c>
      <c r="L137" s="19" t="str">
        <f>IFERROR(__xludf.DUMMYFUNCTION("IMPORTRANGE(""https://docs.google.com/spreadsheets/d/1otQjWHjy3Rq_-7Ie_93jllGR_QbNz_QcBUMPB-NJUP8/edit?gid=902639746#gid=902639746"", ""CHECKING!$K""&amp;ROW(K349))"),"NOT ENCODED")</f>
        <v>NOT ENCODED</v>
      </c>
      <c r="M137" s="19" t="str">
        <f>IFERROR(__xludf.DUMMYFUNCTION("IMPORTRANGE(""https://docs.google.com/spreadsheets/d/1otQjWHjy3Rq_-7Ie_93jllGR_QbNz_QcBUMPB-NJUP8/edit?gid=902639746#gid=902639746"", ""CHECKING!$L""&amp;ROW(L349))"),"NOT ENCODED")</f>
        <v>NOT ENCODED</v>
      </c>
    </row>
    <row r="138">
      <c r="A138" s="26" t="s">
        <v>19</v>
      </c>
      <c r="B138" s="27">
        <f>IFERROR(__xludf.DUMMYFUNCTION("IMPORTRANGE(""https://docs.google.com/spreadsheets/d/1sbaTJIEs8I7XTpGUl1gZ8em-J48uYWx8P9XF_jnHubM/edit?gid=91456061#gid=91456061"", ""SUMMARY!$B""&amp;ROW($B64))"),57.0)</f>
        <v>57</v>
      </c>
      <c r="C138" s="27" t="str">
        <f>IFERROR(__xludf.DUMMYFUNCTION("IMPORTRANGE(""https://docs.google.com/spreadsheets/d/1sbaTJIEs8I7XTpGUl1gZ8em-J48uYWx8P9XF_jnHubM/edit?gid=91456061#gid=91456061"", ""SUMMARY!$C""&amp;ROW($C64))"),"WOLFGANG")</f>
        <v>WOLFGANG</v>
      </c>
      <c r="D138" s="28" t="str">
        <f>IFERROR(__xludf.DUMMYFUNCTION("IMPORTRANGE(""https://docs.google.com/spreadsheets/d/1sbaTJIEs8I7XTpGUl1gZ8em-J48uYWx8P9XF_jnHubM/edit?gid=91456061#gid=91456061"", ""SUMMARY!$F""&amp;ROW($F64))"),"COOKERY")</f>
        <v>COOKERY</v>
      </c>
      <c r="E138" s="29" t="str">
        <f>IFERROR(__xludf.DUMMYFUNCTION("IMPORTRANGE(""https://docs.google.com/spreadsheets/d/1sbaTJIEs8I7XTpGUl1gZ8em-J48uYWx8P9XF_jnHubM/edit?gid=91456061#gid=91456061"", ""SUMMARY!$D""&amp;ROW($D64))"),"WELOOWIE JOYCE P. INFANTE")</f>
        <v>WELOOWIE JOYCE P. INFANTE</v>
      </c>
      <c r="F138" s="29" t="str">
        <f>IFERROR(__xludf.DUMMYFUNCTION("IMPORTRANGE(""https://docs.google.com/spreadsheets/d/1sbaTJIEs8I7XTpGUl1gZ8em-J48uYWx8P9XF_jnHubM/edit?gid=91456061#gid=91456061"", ""SUMMARY!$E""&amp;ROW($E64))"),"TVL - ICT")</f>
        <v>TVL - ICT</v>
      </c>
      <c r="G138" s="19" t="str">
        <f>IFERROR(__xludf.DUMMYFUNCTION("IMPORTRANGE(""https://docs.google.com/spreadsheets/d/1otQjWHjy3Rq_-7Ie_93jllGR_QbNz_QcBUMPB-NJUP8/edit?gid=902639746#gid=902639746"", ""CHECKING!$F""&amp;COLUMN(F350))"),"ENCODED")</f>
        <v>ENCODED</v>
      </c>
      <c r="H138" s="19" t="str">
        <f>IFERROR(__xludf.DUMMYFUNCTION("IMPORTRANGE(""https://docs.google.com/spreadsheets/d/1otQjWHjy3Rq_-7Ie_93jllGR_QbNz_QcBUMPB-NJUP8/edit?gid=902639746#gid=902639746"", ""CHECKING!$G""&amp;ROW(G350))"),"ENCODED")</f>
        <v>ENCODED</v>
      </c>
      <c r="I138" s="19" t="str">
        <f>IFERROR(__xludf.DUMMYFUNCTION("IMPORTRANGE(""https://docs.google.com/spreadsheets/d/1otQjWHjy3Rq_-7Ie_93jllGR_QbNz_QcBUMPB-NJUP8/edit?gid=902639746#gid=902639746"", ""CHECKING!$H""&amp;ROW(H350))"),"ENCODED")</f>
        <v>ENCODED</v>
      </c>
      <c r="J138" s="19" t="str">
        <f>IFERROR(__xludf.DUMMYFUNCTION("IMPORTRANGE(""https://docs.google.com/spreadsheets/d/1otQjWHjy3Rq_-7Ie_93jllGR_QbNz_QcBUMPB-NJUP8/edit?gid=902639746#gid=902639746"", ""CHECKING!$I""&amp;ROW(I350))"),"ENCODED")</f>
        <v>ENCODED</v>
      </c>
      <c r="K138" s="19" t="str">
        <f>IFERROR(__xludf.DUMMYFUNCTION("IMPORTRANGE(""https://docs.google.com/spreadsheets/d/1otQjWHjy3Rq_-7Ie_93jllGR_QbNz_QcBUMPB-NJUP8/edit?gid=902639746#gid=902639746"", ""CHECKING!$J""&amp;ROW(J350))"),"NOT ENCODED")</f>
        <v>NOT ENCODED</v>
      </c>
      <c r="L138" s="19" t="str">
        <f>IFERROR(__xludf.DUMMYFUNCTION("IMPORTRANGE(""https://docs.google.com/spreadsheets/d/1otQjWHjy3Rq_-7Ie_93jllGR_QbNz_QcBUMPB-NJUP8/edit?gid=902639746#gid=902639746"", ""CHECKING!$K""&amp;ROW(K350))"),"NOT ENCODED")</f>
        <v>NOT ENCODED</v>
      </c>
      <c r="M138" s="19" t="str">
        <f>IFERROR(__xludf.DUMMYFUNCTION("IMPORTRANGE(""https://docs.google.com/spreadsheets/d/1otQjWHjy3Rq_-7Ie_93jllGR_QbNz_QcBUMPB-NJUP8/edit?gid=902639746#gid=902639746"", ""CHECKING!$L""&amp;ROW(L350))"),"NOT ENCODED")</f>
        <v>NOT ENCODED</v>
      </c>
    </row>
    <row r="139">
      <c r="A139" s="26" t="s">
        <v>19</v>
      </c>
      <c r="B139" s="27">
        <f>IFERROR(__xludf.DUMMYFUNCTION("IMPORTRANGE(""https://docs.google.com/spreadsheets/d/1sbaTJIEs8I7XTpGUl1gZ8em-J48uYWx8P9XF_jnHubM/edit?gid=91456061#gid=91456061"", ""SUMMARY!$B""&amp;ROW($B65))"),58.0)</f>
        <v>58</v>
      </c>
      <c r="C139" s="27" t="str">
        <f>IFERROR(__xludf.DUMMYFUNCTION("IMPORTRANGE(""https://docs.google.com/spreadsheets/d/1sbaTJIEs8I7XTpGUl1gZ8em-J48uYWx8P9XF_jnHubM/edit?gid=91456061#gid=91456061"", ""SUMMARY!$C""&amp;ROW($C65))"),"YAMAMOTO")</f>
        <v>YAMAMOTO</v>
      </c>
      <c r="D139" s="28" t="str">
        <f>IFERROR(__xludf.DUMMYFUNCTION("IMPORTRANGE(""https://docs.google.com/spreadsheets/d/1sbaTJIEs8I7XTpGUl1gZ8em-J48uYWx8P9XF_jnHubM/edit?gid=91456061#gid=91456061"", ""SUMMARY!$F""&amp;ROW($F65))"),"COOKERY")</f>
        <v>COOKERY</v>
      </c>
      <c r="E139" s="29" t="str">
        <f>IFERROR(__xludf.DUMMYFUNCTION("IMPORTRANGE(""https://docs.google.com/spreadsheets/d/1sbaTJIEs8I7XTpGUl1gZ8em-J48uYWx8P9XF_jnHubM/edit?gid=91456061#gid=91456061"", ""SUMMARY!$D""&amp;ROW($D65))"),"JERELYN D. ERMINO")</f>
        <v>JERELYN D. ERMINO</v>
      </c>
      <c r="F139" s="29" t="str">
        <f>IFERROR(__xludf.DUMMYFUNCTION("IMPORTRANGE(""https://docs.google.com/spreadsheets/d/1sbaTJIEs8I7XTpGUl1gZ8em-J48uYWx8P9XF_jnHubM/edit?gid=91456061#gid=91456061"", ""SUMMARY!$E""&amp;ROW($E65))"),"HUMSS")</f>
        <v>HUMSS</v>
      </c>
      <c r="G139" s="19" t="str">
        <f>IFERROR(__xludf.DUMMYFUNCTION("IMPORTRANGE(""https://docs.google.com/spreadsheets/d/1otQjWHjy3Rq_-7Ie_93jllGR_QbNz_QcBUMPB-NJUP8/edit?gid=902639746#gid=902639746"", ""CHECKING!$F""&amp;COLUMN(F351))"),"ENCODED")</f>
        <v>ENCODED</v>
      </c>
      <c r="H139" s="19" t="str">
        <f>IFERROR(__xludf.DUMMYFUNCTION("IMPORTRANGE(""https://docs.google.com/spreadsheets/d/1otQjWHjy3Rq_-7Ie_93jllGR_QbNz_QcBUMPB-NJUP8/edit?gid=902639746#gid=902639746"", ""CHECKING!$G""&amp;ROW(G351))"),"ENCODED")</f>
        <v>ENCODED</v>
      </c>
      <c r="I139" s="19" t="str">
        <f>IFERROR(__xludf.DUMMYFUNCTION("IMPORTRANGE(""https://docs.google.com/spreadsheets/d/1otQjWHjy3Rq_-7Ie_93jllGR_QbNz_QcBUMPB-NJUP8/edit?gid=902639746#gid=902639746"", ""CHECKING!$H""&amp;ROW(H351))"),"ENCODED")</f>
        <v>ENCODED</v>
      </c>
      <c r="J139" s="19" t="str">
        <f>IFERROR(__xludf.DUMMYFUNCTION("IMPORTRANGE(""https://docs.google.com/spreadsheets/d/1otQjWHjy3Rq_-7Ie_93jllGR_QbNz_QcBUMPB-NJUP8/edit?gid=902639746#gid=902639746"", ""CHECKING!$I""&amp;ROW(I351))"),"NOT ENCODED")</f>
        <v>NOT ENCODED</v>
      </c>
      <c r="K139" s="19" t="str">
        <f>IFERROR(__xludf.DUMMYFUNCTION("IMPORTRANGE(""https://docs.google.com/spreadsheets/d/1otQjWHjy3Rq_-7Ie_93jllGR_QbNz_QcBUMPB-NJUP8/edit?gid=902639746#gid=902639746"", ""CHECKING!$J""&amp;ROW(J351))"),"NOT ENCODED")</f>
        <v>NOT ENCODED</v>
      </c>
      <c r="L139" s="19" t="str">
        <f>IFERROR(__xludf.DUMMYFUNCTION("IMPORTRANGE(""https://docs.google.com/spreadsheets/d/1otQjWHjy3Rq_-7Ie_93jllGR_QbNz_QcBUMPB-NJUP8/edit?gid=902639746#gid=902639746"", ""CHECKING!$K""&amp;ROW(K351))"),"NOT ENCODED")</f>
        <v>NOT ENCODED</v>
      </c>
      <c r="M139" s="19" t="str">
        <f>IFERROR(__xludf.DUMMYFUNCTION("IMPORTRANGE(""https://docs.google.com/spreadsheets/d/1otQjWHjy3Rq_-7Ie_93jllGR_QbNz_QcBUMPB-NJUP8/edit?gid=902639746#gid=902639746"", ""CHECKING!$L""&amp;ROW(L351))"),"NOT ENCODED")</f>
        <v>NOT ENCODED</v>
      </c>
    </row>
    <row r="140">
      <c r="A140" s="26" t="s">
        <v>19</v>
      </c>
      <c r="B140" s="27">
        <f>IFERROR(__xludf.DUMMYFUNCTION("IMPORTRANGE(""https://docs.google.com/spreadsheets/d/1sbaTJIEs8I7XTpGUl1gZ8em-J48uYWx8P9XF_jnHubM/edit?gid=91456061#gid=91456061"", ""SUMMARY!$B""&amp;ROW($B66))"),59.0)</f>
        <v>59</v>
      </c>
      <c r="C140" s="27" t="str">
        <f>IFERROR(__xludf.DUMMYFUNCTION("IMPORTRANGE(""https://docs.google.com/spreadsheets/d/1sbaTJIEs8I7XTpGUl1gZ8em-J48uYWx8P9XF_jnHubM/edit?gid=91456061#gid=91456061"", ""SUMMARY!$C""&amp;ROW($C66))"),"BABBAGE")</f>
        <v>BABBAGE</v>
      </c>
      <c r="D140" s="28" t="str">
        <f>IFERROR(__xludf.DUMMYFUNCTION("IMPORTRANGE(""https://docs.google.com/spreadsheets/d/1sbaTJIEs8I7XTpGUl1gZ8em-J48uYWx8P9XF_jnHubM/edit?gid=91456061#gid=91456061"", ""SUMMARY!$F""&amp;ROW($F66))"),"ICT-CSS")</f>
        <v>ICT-CSS</v>
      </c>
      <c r="E140" s="29" t="str">
        <f>IFERROR(__xludf.DUMMYFUNCTION("IMPORTRANGE(""https://docs.google.com/spreadsheets/d/1sbaTJIEs8I7XTpGUl1gZ8em-J48uYWx8P9XF_jnHubM/edit?gid=91456061#gid=91456061"", ""SUMMARY!$D""&amp;ROW($D66))"),"ROSEMARIE V. VILLACORTA")</f>
        <v>ROSEMARIE V. VILLACORTA</v>
      </c>
      <c r="F140" s="29" t="str">
        <f>IFERROR(__xludf.DUMMYFUNCTION("IMPORTRANGE(""https://docs.google.com/spreadsheets/d/1sbaTJIEs8I7XTpGUl1gZ8em-J48uYWx8P9XF_jnHubM/edit?gid=91456061#gid=91456061"", ""SUMMARY!$E""&amp;ROW($E66))"),"ABM")</f>
        <v>ABM</v>
      </c>
      <c r="G140" s="19" t="str">
        <f>IFERROR(__xludf.DUMMYFUNCTION("IMPORTRANGE(""https://docs.google.com/spreadsheets/d/1otQjWHjy3Rq_-7Ie_93jllGR_QbNz_QcBUMPB-NJUP8/edit?gid=902639746#gid=902639746"", ""CHECKING!$F""&amp;COLUMN(F352))"),"ENCODED")</f>
        <v>ENCODED</v>
      </c>
      <c r="H140" s="19" t="str">
        <f>IFERROR(__xludf.DUMMYFUNCTION("IMPORTRANGE(""https://docs.google.com/spreadsheets/d/1otQjWHjy3Rq_-7Ie_93jllGR_QbNz_QcBUMPB-NJUP8/edit?gid=902639746#gid=902639746"", ""CHECKING!$G""&amp;ROW(G352))"),"ENCODED")</f>
        <v>ENCODED</v>
      </c>
      <c r="I140" s="19" t="str">
        <f>IFERROR(__xludf.DUMMYFUNCTION("IMPORTRANGE(""https://docs.google.com/spreadsheets/d/1otQjWHjy3Rq_-7Ie_93jllGR_QbNz_QcBUMPB-NJUP8/edit?gid=902639746#gid=902639746"", ""CHECKING!$H""&amp;ROW(H352))"),"ENCODED")</f>
        <v>ENCODED</v>
      </c>
      <c r="J140" s="19" t="str">
        <f>IFERROR(__xludf.DUMMYFUNCTION("IMPORTRANGE(""https://docs.google.com/spreadsheets/d/1otQjWHjy3Rq_-7Ie_93jllGR_QbNz_QcBUMPB-NJUP8/edit?gid=902639746#gid=902639746"", ""CHECKING!$I""&amp;ROW(I352))"),"ENCODED")</f>
        <v>ENCODED</v>
      </c>
      <c r="K140" s="19" t="str">
        <f>IFERROR(__xludf.DUMMYFUNCTION("IMPORTRANGE(""https://docs.google.com/spreadsheets/d/1otQjWHjy3Rq_-7Ie_93jllGR_QbNz_QcBUMPB-NJUP8/edit?gid=902639746#gid=902639746"", ""CHECKING!$J""&amp;ROW(J352))"),"ENCODED")</f>
        <v>ENCODED</v>
      </c>
      <c r="L140" s="19" t="str">
        <f>IFERROR(__xludf.DUMMYFUNCTION("IMPORTRANGE(""https://docs.google.com/spreadsheets/d/1otQjWHjy3Rq_-7Ie_93jllGR_QbNz_QcBUMPB-NJUP8/edit?gid=902639746#gid=902639746"", ""CHECKING!$K""&amp;ROW(K352))"),"NOT ENCODED")</f>
        <v>NOT ENCODED</v>
      </c>
      <c r="M140" s="19" t="str">
        <f>IFERROR(__xludf.DUMMYFUNCTION("IMPORTRANGE(""https://docs.google.com/spreadsheets/d/1otQjWHjy3Rq_-7Ie_93jllGR_QbNz_QcBUMPB-NJUP8/edit?gid=902639746#gid=902639746"", ""CHECKING!$L""&amp;ROW(L352))"),"NOT ENCODED")</f>
        <v>NOT ENCODED</v>
      </c>
    </row>
    <row r="141">
      <c r="A141" s="26" t="s">
        <v>19</v>
      </c>
      <c r="B141" s="27">
        <f>IFERROR(__xludf.DUMMYFUNCTION("IMPORTRANGE(""https://docs.google.com/spreadsheets/d/1sbaTJIEs8I7XTpGUl1gZ8em-J48uYWx8P9XF_jnHubM/edit?gid=91456061#gid=91456061"", ""SUMMARY!$B""&amp;ROW($B67))"),60.0)</f>
        <v>60</v>
      </c>
      <c r="C141" s="27" t="str">
        <f>IFERROR(__xludf.DUMMYFUNCTION("IMPORTRANGE(""https://docs.google.com/spreadsheets/d/1sbaTJIEs8I7XTpGUl1gZ8em-J48uYWx8P9XF_jnHubM/edit?gid=91456061#gid=91456061"", ""SUMMARY!$C""&amp;ROW($C67))"),"DELL")</f>
        <v>DELL</v>
      </c>
      <c r="D141" s="28" t="str">
        <f>IFERROR(__xludf.DUMMYFUNCTION("IMPORTRANGE(""https://docs.google.com/spreadsheets/d/1sbaTJIEs8I7XTpGUl1gZ8em-J48uYWx8P9XF_jnHubM/edit?gid=91456061#gid=91456061"", ""SUMMARY!$F""&amp;ROW($F67))"),"ICT-CSS")</f>
        <v>ICT-CSS</v>
      </c>
      <c r="E141" s="29" t="str">
        <f>IFERROR(__xludf.DUMMYFUNCTION("IMPORTRANGE(""https://docs.google.com/spreadsheets/d/1sbaTJIEs8I7XTpGUl1gZ8em-J48uYWx8P9XF_jnHubM/edit?gid=91456061#gid=91456061"", ""SUMMARY!$D""&amp;ROW($D67))"),"MAHONRI N. GENANDA")</f>
        <v>MAHONRI N. GENANDA</v>
      </c>
      <c r="F141" s="29" t="str">
        <f>IFERROR(__xludf.DUMMYFUNCTION("IMPORTRANGE(""https://docs.google.com/spreadsheets/d/1sbaTJIEs8I7XTpGUl1gZ8em-J48uYWx8P9XF_jnHubM/edit?gid=91456061#gid=91456061"", ""SUMMARY!$E""&amp;ROW($E67))"),"ENGLISH")</f>
        <v>ENGLISH</v>
      </c>
      <c r="G141" s="19" t="str">
        <f>IFERROR(__xludf.DUMMYFUNCTION("IMPORTRANGE(""https://docs.google.com/spreadsheets/d/1otQjWHjy3Rq_-7Ie_93jllGR_QbNz_QcBUMPB-NJUP8/edit?gid=902639746#gid=902639746"", ""CHECKING!$F""&amp;COLUMN(F353))"),"ENCODED")</f>
        <v>ENCODED</v>
      </c>
      <c r="H141" s="19" t="str">
        <f>IFERROR(__xludf.DUMMYFUNCTION("IMPORTRANGE(""https://docs.google.com/spreadsheets/d/1otQjWHjy3Rq_-7Ie_93jllGR_QbNz_QcBUMPB-NJUP8/edit?gid=902639746#gid=902639746"", ""CHECKING!$G""&amp;ROW(G353))"),"ENCODED")</f>
        <v>ENCODED</v>
      </c>
      <c r="I141" s="19" t="str">
        <f>IFERROR(__xludf.DUMMYFUNCTION("IMPORTRANGE(""https://docs.google.com/spreadsheets/d/1otQjWHjy3Rq_-7Ie_93jllGR_QbNz_QcBUMPB-NJUP8/edit?gid=902639746#gid=902639746"", ""CHECKING!$H""&amp;ROW(H353))"),"ENCODED")</f>
        <v>ENCODED</v>
      </c>
      <c r="J141" s="19" t="str">
        <f>IFERROR(__xludf.DUMMYFUNCTION("IMPORTRANGE(""https://docs.google.com/spreadsheets/d/1otQjWHjy3Rq_-7Ie_93jllGR_QbNz_QcBUMPB-NJUP8/edit?gid=902639746#gid=902639746"", ""CHECKING!$I""&amp;ROW(I353))"),"NOT ENCODED")</f>
        <v>NOT ENCODED</v>
      </c>
      <c r="K141" s="19" t="str">
        <f>IFERROR(__xludf.DUMMYFUNCTION("IMPORTRANGE(""https://docs.google.com/spreadsheets/d/1otQjWHjy3Rq_-7Ie_93jllGR_QbNz_QcBUMPB-NJUP8/edit?gid=902639746#gid=902639746"", ""CHECKING!$J""&amp;ROW(J353))"),"NOT ENCODED")</f>
        <v>NOT ENCODED</v>
      </c>
      <c r="L141" s="19" t="str">
        <f>IFERROR(__xludf.DUMMYFUNCTION("IMPORTRANGE(""https://docs.google.com/spreadsheets/d/1otQjWHjy3Rq_-7Ie_93jllGR_QbNz_QcBUMPB-NJUP8/edit?gid=902639746#gid=902639746"", ""CHECKING!$K""&amp;ROW(K353))"),"NOT ENCODED")</f>
        <v>NOT ENCODED</v>
      </c>
      <c r="M141" s="19" t="str">
        <f>IFERROR(__xludf.DUMMYFUNCTION("IMPORTRANGE(""https://docs.google.com/spreadsheets/d/1otQjWHjy3Rq_-7Ie_93jllGR_QbNz_QcBUMPB-NJUP8/edit?gid=902639746#gid=902639746"", ""CHECKING!$L""&amp;ROW(L353))"),"NOT ENCODED")</f>
        <v>NOT ENCODED</v>
      </c>
    </row>
    <row r="142">
      <c r="A142" s="26" t="s">
        <v>19</v>
      </c>
      <c r="B142" s="27">
        <f>IFERROR(__xludf.DUMMYFUNCTION("IMPORTRANGE(""https://docs.google.com/spreadsheets/d/1sbaTJIEs8I7XTpGUl1gZ8em-J48uYWx8P9XF_jnHubM/edit?gid=91456061#gid=91456061"", ""SUMMARY!$B""&amp;ROW($B68))"),61.0)</f>
        <v>61</v>
      </c>
      <c r="C142" s="27" t="str">
        <f>IFERROR(__xludf.DUMMYFUNCTION("IMPORTRANGE(""https://docs.google.com/spreadsheets/d/1sbaTJIEs8I7XTpGUl1gZ8em-J48uYWx8P9XF_jnHubM/edit?gid=91456061#gid=91456061"", ""SUMMARY!$C""&amp;ROW($C68))"),"GATES")</f>
        <v>GATES</v>
      </c>
      <c r="D142" s="28" t="str">
        <f>IFERROR(__xludf.DUMMYFUNCTION("IMPORTRANGE(""https://docs.google.com/spreadsheets/d/1sbaTJIEs8I7XTpGUl1gZ8em-J48uYWx8P9XF_jnHubM/edit?gid=91456061#gid=91456061"", ""SUMMARY!$F""&amp;ROW($F68))"),"ICT-CSS")</f>
        <v>ICT-CSS</v>
      </c>
      <c r="E142" s="29" t="str">
        <f>IFERROR(__xludf.DUMMYFUNCTION("IMPORTRANGE(""https://docs.google.com/spreadsheets/d/1sbaTJIEs8I7XTpGUl1gZ8em-J48uYWx8P9XF_jnHubM/edit?gid=91456061#gid=91456061"", ""SUMMARY!$D""&amp;ROW($D68))"),"WENALYN L. DARIO")</f>
        <v>WENALYN L. DARIO</v>
      </c>
      <c r="F142" s="29" t="str">
        <f>IFERROR(__xludf.DUMMYFUNCTION("IMPORTRANGE(""https://docs.google.com/spreadsheets/d/1sbaTJIEs8I7XTpGUl1gZ8em-J48uYWx8P9XF_jnHubM/edit?gid=91456061#gid=91456061"", ""SUMMARY!$E""&amp;ROW($E68))"),"FILIPINO")</f>
        <v>FILIPINO</v>
      </c>
      <c r="G142" s="19" t="str">
        <f>IFERROR(__xludf.DUMMYFUNCTION("IMPORTRANGE(""https://docs.google.com/spreadsheets/d/1otQjWHjy3Rq_-7Ie_93jllGR_QbNz_QcBUMPB-NJUP8/edit?gid=902639746#gid=902639746"", ""CHECKING!$F""&amp;COLUMN(F354))"),"ENCODED")</f>
        <v>ENCODED</v>
      </c>
      <c r="H142" s="19" t="str">
        <f>IFERROR(__xludf.DUMMYFUNCTION("IMPORTRANGE(""https://docs.google.com/spreadsheets/d/1otQjWHjy3Rq_-7Ie_93jllGR_QbNz_QcBUMPB-NJUP8/edit?gid=902639746#gid=902639746"", ""CHECKING!$G""&amp;ROW(G354))"),"ENCODED")</f>
        <v>ENCODED</v>
      </c>
      <c r="I142" s="19" t="str">
        <f>IFERROR(__xludf.DUMMYFUNCTION("IMPORTRANGE(""https://docs.google.com/spreadsheets/d/1otQjWHjy3Rq_-7Ie_93jllGR_QbNz_QcBUMPB-NJUP8/edit?gid=902639746#gid=902639746"", ""CHECKING!$H""&amp;ROW(H354))"),"ENCODED")</f>
        <v>ENCODED</v>
      </c>
      <c r="J142" s="19" t="str">
        <f>IFERROR(__xludf.DUMMYFUNCTION("IMPORTRANGE(""https://docs.google.com/spreadsheets/d/1otQjWHjy3Rq_-7Ie_93jllGR_QbNz_QcBUMPB-NJUP8/edit?gid=902639746#gid=902639746"", ""CHECKING!$I""&amp;ROW(I354))"),"ENCODED")</f>
        <v>ENCODED</v>
      </c>
      <c r="K142" s="19" t="str">
        <f>IFERROR(__xludf.DUMMYFUNCTION("IMPORTRANGE(""https://docs.google.com/spreadsheets/d/1otQjWHjy3Rq_-7Ie_93jllGR_QbNz_QcBUMPB-NJUP8/edit?gid=902639746#gid=902639746"", ""CHECKING!$J""&amp;ROW(J354))"),"NOT ENCODED")</f>
        <v>NOT ENCODED</v>
      </c>
      <c r="L142" s="19" t="str">
        <f>IFERROR(__xludf.DUMMYFUNCTION("IMPORTRANGE(""https://docs.google.com/spreadsheets/d/1otQjWHjy3Rq_-7Ie_93jllGR_QbNz_QcBUMPB-NJUP8/edit?gid=902639746#gid=902639746"", ""CHECKING!$K""&amp;ROW(K354))"),"NOT ENCODED")</f>
        <v>NOT ENCODED</v>
      </c>
      <c r="M142" s="19" t="str">
        <f>IFERROR(__xludf.DUMMYFUNCTION("IMPORTRANGE(""https://docs.google.com/spreadsheets/d/1otQjWHjy3Rq_-7Ie_93jllGR_QbNz_QcBUMPB-NJUP8/edit?gid=902639746#gid=902639746"", ""CHECKING!$L""&amp;ROW(L354))"),"NOT ENCODED")</f>
        <v>NOT ENCODED</v>
      </c>
    </row>
    <row r="143">
      <c r="A143" s="26" t="s">
        <v>19</v>
      </c>
      <c r="B143" s="27">
        <f>IFERROR(__xludf.DUMMYFUNCTION("IMPORTRANGE(""https://docs.google.com/spreadsheets/d/1sbaTJIEs8I7XTpGUl1gZ8em-J48uYWx8P9XF_jnHubM/edit?gid=91456061#gid=91456061"", ""SUMMARY!$B""&amp;ROW($B69))"),62.0)</f>
        <v>62</v>
      </c>
      <c r="C143" s="27" t="str">
        <f>IFERROR(__xludf.DUMMYFUNCTION("IMPORTRANGE(""https://docs.google.com/spreadsheets/d/1sbaTJIEs8I7XTpGUl1gZ8em-J48uYWx8P9XF_jnHubM/edit?gid=91456061#gid=91456061"", ""SUMMARY!$C""&amp;ROW($C69))"),"HOPPER")</f>
        <v>HOPPER</v>
      </c>
      <c r="D143" s="28" t="str">
        <f>IFERROR(__xludf.DUMMYFUNCTION("IMPORTRANGE(""https://docs.google.com/spreadsheets/d/1sbaTJIEs8I7XTpGUl1gZ8em-J48uYWx8P9XF_jnHubM/edit?gid=91456061#gid=91456061"", ""SUMMARY!$F""&amp;ROW($F69))"),"ICT-CSS")</f>
        <v>ICT-CSS</v>
      </c>
      <c r="E143" s="29" t="str">
        <f>IFERROR(__xludf.DUMMYFUNCTION("IMPORTRANGE(""https://docs.google.com/spreadsheets/d/1sbaTJIEs8I7XTpGUl1gZ8em-J48uYWx8P9XF_jnHubM/edit?gid=91456061#gid=91456061"", ""SUMMARY!$D""&amp;ROW($D69))"),"KARLOZ ROMIO E. COLOMA")</f>
        <v>KARLOZ ROMIO E. COLOMA</v>
      </c>
      <c r="F143" s="29" t="str">
        <f>IFERROR(__xludf.DUMMYFUNCTION("IMPORTRANGE(""https://docs.google.com/spreadsheets/d/1sbaTJIEs8I7XTpGUl1gZ8em-J48uYWx8P9XF_jnHubM/edit?gid=91456061#gid=91456061"", ""SUMMARY!$E""&amp;ROW($E69))"),"ENGLISH")</f>
        <v>ENGLISH</v>
      </c>
      <c r="G143" s="19" t="str">
        <f>IFERROR(__xludf.DUMMYFUNCTION("IMPORTRANGE(""https://docs.google.com/spreadsheets/d/1otQjWHjy3Rq_-7Ie_93jllGR_QbNz_QcBUMPB-NJUP8/edit?gid=902639746#gid=902639746"", ""CHECKING!$F""&amp;COLUMN(F355))"),"ENCODED")</f>
        <v>ENCODED</v>
      </c>
      <c r="H143" s="19" t="str">
        <f>IFERROR(__xludf.DUMMYFUNCTION("IMPORTRANGE(""https://docs.google.com/spreadsheets/d/1otQjWHjy3Rq_-7Ie_93jllGR_QbNz_QcBUMPB-NJUP8/edit?gid=902639746#gid=902639746"", ""CHECKING!$G""&amp;ROW(G355))"),"ENCODED")</f>
        <v>ENCODED</v>
      </c>
      <c r="I143" s="19" t="str">
        <f>IFERROR(__xludf.DUMMYFUNCTION("IMPORTRANGE(""https://docs.google.com/spreadsheets/d/1otQjWHjy3Rq_-7Ie_93jllGR_QbNz_QcBUMPB-NJUP8/edit?gid=902639746#gid=902639746"", ""CHECKING!$H""&amp;ROW(H355))"),"ENCODED")</f>
        <v>ENCODED</v>
      </c>
      <c r="J143" s="19" t="str">
        <f>IFERROR(__xludf.DUMMYFUNCTION("IMPORTRANGE(""https://docs.google.com/spreadsheets/d/1otQjWHjy3Rq_-7Ie_93jllGR_QbNz_QcBUMPB-NJUP8/edit?gid=902639746#gid=902639746"", ""CHECKING!$I""&amp;ROW(I355))"),"ENCODED")</f>
        <v>ENCODED</v>
      </c>
      <c r="K143" s="19" t="str">
        <f>IFERROR(__xludf.DUMMYFUNCTION("IMPORTRANGE(""https://docs.google.com/spreadsheets/d/1otQjWHjy3Rq_-7Ie_93jllGR_QbNz_QcBUMPB-NJUP8/edit?gid=902639746#gid=902639746"", ""CHECKING!$J""&amp;ROW(J355))"),"NOT ENCODED")</f>
        <v>NOT ENCODED</v>
      </c>
      <c r="L143" s="19" t="str">
        <f>IFERROR(__xludf.DUMMYFUNCTION("IMPORTRANGE(""https://docs.google.com/spreadsheets/d/1otQjWHjy3Rq_-7Ie_93jllGR_QbNz_QcBUMPB-NJUP8/edit?gid=902639746#gid=902639746"", ""CHECKING!$K""&amp;ROW(K355))"),"NOT ENCODED")</f>
        <v>NOT ENCODED</v>
      </c>
      <c r="M143" s="19" t="str">
        <f>IFERROR(__xludf.DUMMYFUNCTION("IMPORTRANGE(""https://docs.google.com/spreadsheets/d/1otQjWHjy3Rq_-7Ie_93jllGR_QbNz_QcBUMPB-NJUP8/edit?gid=902639746#gid=902639746"", ""CHECKING!$L""&amp;ROW(L355))"),"NOT ENCODED")</f>
        <v>NOT ENCODED</v>
      </c>
    </row>
    <row r="144">
      <c r="A144" s="26" t="s">
        <v>19</v>
      </c>
      <c r="B144" s="27">
        <f>IFERROR(__xludf.DUMMYFUNCTION("IMPORTRANGE(""https://docs.google.com/spreadsheets/d/1sbaTJIEs8I7XTpGUl1gZ8em-J48uYWx8P9XF_jnHubM/edit?gid=91456061#gid=91456061"", ""SUMMARY!$B""&amp;ROW($B70))"),63.0)</f>
        <v>63</v>
      </c>
      <c r="C144" s="27" t="str">
        <f>IFERROR(__xludf.DUMMYFUNCTION("IMPORTRANGE(""https://docs.google.com/spreadsheets/d/1sbaTJIEs8I7XTpGUl1gZ8em-J48uYWx8P9XF_jnHubM/edit?gid=91456061#gid=91456061"", ""SUMMARY!$C""&amp;ROW($C70))"),"JOBS")</f>
        <v>JOBS</v>
      </c>
      <c r="D144" s="28" t="str">
        <f>IFERROR(__xludf.DUMMYFUNCTION("IMPORTRANGE(""https://docs.google.com/spreadsheets/d/1sbaTJIEs8I7XTpGUl1gZ8em-J48uYWx8P9XF_jnHubM/edit?gid=91456061#gid=91456061"", ""SUMMARY!$F""&amp;ROW($F70))"),"ICT-CSS")</f>
        <v>ICT-CSS</v>
      </c>
      <c r="E144" s="29" t="str">
        <f>IFERROR(__xludf.DUMMYFUNCTION("IMPORTRANGE(""https://docs.google.com/spreadsheets/d/1sbaTJIEs8I7XTpGUl1gZ8em-J48uYWx8P9XF_jnHubM/edit?gid=91456061#gid=91456061"", ""SUMMARY!$D""&amp;ROW($D70))"),"MARC LIEL L. DELA PEÑA")</f>
        <v>MARC LIEL L. DELA PEÑA</v>
      </c>
      <c r="F144" s="29" t="str">
        <f>IFERROR(__xludf.DUMMYFUNCTION("IMPORTRANGE(""https://docs.google.com/spreadsheets/d/1sbaTJIEs8I7XTpGUl1gZ8em-J48uYWx8P9XF_jnHubM/edit?gid=91456061#gid=91456061"", ""SUMMARY!$E""&amp;ROW($E70))"),"HUMSS")</f>
        <v>HUMSS</v>
      </c>
      <c r="G144" s="19" t="str">
        <f>IFERROR(__xludf.DUMMYFUNCTION("IMPORTRANGE(""https://docs.google.com/spreadsheets/d/1otQjWHjy3Rq_-7Ie_93jllGR_QbNz_QcBUMPB-NJUP8/edit?gid=902639746#gid=902639746"", ""CHECKING!$F""&amp;COLUMN(F356))"),"ENCODED")</f>
        <v>ENCODED</v>
      </c>
      <c r="H144" s="19" t="str">
        <f>IFERROR(__xludf.DUMMYFUNCTION("IMPORTRANGE(""https://docs.google.com/spreadsheets/d/1otQjWHjy3Rq_-7Ie_93jllGR_QbNz_QcBUMPB-NJUP8/edit?gid=902639746#gid=902639746"", ""CHECKING!$G""&amp;ROW(G356))"),"ENCODED")</f>
        <v>ENCODED</v>
      </c>
      <c r="I144" s="19" t="str">
        <f>IFERROR(__xludf.DUMMYFUNCTION("IMPORTRANGE(""https://docs.google.com/spreadsheets/d/1otQjWHjy3Rq_-7Ie_93jllGR_QbNz_QcBUMPB-NJUP8/edit?gid=902639746#gid=902639746"", ""CHECKING!$H""&amp;ROW(H356))"),"ENCODED")</f>
        <v>ENCODED</v>
      </c>
      <c r="J144" s="19" t="str">
        <f>IFERROR(__xludf.DUMMYFUNCTION("IMPORTRANGE(""https://docs.google.com/spreadsheets/d/1otQjWHjy3Rq_-7Ie_93jllGR_QbNz_QcBUMPB-NJUP8/edit?gid=902639746#gid=902639746"", ""CHECKING!$I""&amp;ROW(I356))"),"ENCODED")</f>
        <v>ENCODED</v>
      </c>
      <c r="K144" s="19" t="str">
        <f>IFERROR(__xludf.DUMMYFUNCTION("IMPORTRANGE(""https://docs.google.com/spreadsheets/d/1otQjWHjy3Rq_-7Ie_93jllGR_QbNz_QcBUMPB-NJUP8/edit?gid=902639746#gid=902639746"", ""CHECKING!$J""&amp;ROW(J356))"),"NOT ENCODED")</f>
        <v>NOT ENCODED</v>
      </c>
      <c r="L144" s="19" t="str">
        <f>IFERROR(__xludf.DUMMYFUNCTION("IMPORTRANGE(""https://docs.google.com/spreadsheets/d/1otQjWHjy3Rq_-7Ie_93jllGR_QbNz_QcBUMPB-NJUP8/edit?gid=902639746#gid=902639746"", ""CHECKING!$K""&amp;ROW(K356))"),"NOT ENCODED")</f>
        <v>NOT ENCODED</v>
      </c>
      <c r="M144" s="19" t="str">
        <f>IFERROR(__xludf.DUMMYFUNCTION("IMPORTRANGE(""https://docs.google.com/spreadsheets/d/1otQjWHjy3Rq_-7Ie_93jllGR_QbNz_QcBUMPB-NJUP8/edit?gid=902639746#gid=902639746"", ""CHECKING!$L""&amp;ROW(L356))"),"NOT ENCODED")</f>
        <v>NOT ENCODED</v>
      </c>
    </row>
    <row r="145">
      <c r="A145" s="26" t="s">
        <v>19</v>
      </c>
      <c r="B145" s="27">
        <f>IFERROR(__xludf.DUMMYFUNCTION("IMPORTRANGE(""https://docs.google.com/spreadsheets/d/1sbaTJIEs8I7XTpGUl1gZ8em-J48uYWx8P9XF_jnHubM/edit?gid=91456061#gid=91456061"", ""SUMMARY!$B""&amp;ROW($B71))"),64.0)</f>
        <v>64</v>
      </c>
      <c r="C145" s="27" t="str">
        <f>IFERROR(__xludf.DUMMYFUNCTION("IMPORTRANGE(""https://docs.google.com/spreadsheets/d/1sbaTJIEs8I7XTpGUl1gZ8em-J48uYWx8P9XF_jnHubM/edit?gid=91456061#gid=91456061"", ""SUMMARY!$C""&amp;ROW($C71))"),"NEUMANN")</f>
        <v>NEUMANN</v>
      </c>
      <c r="D145" s="28" t="str">
        <f>IFERROR(__xludf.DUMMYFUNCTION("IMPORTRANGE(""https://docs.google.com/spreadsheets/d/1sbaTJIEs8I7XTpGUl1gZ8em-J48uYWx8P9XF_jnHubM/edit?gid=91456061#gid=91456061"", ""SUMMARY!$F""&amp;ROW($F71))"),"ICT-CSS")</f>
        <v>ICT-CSS</v>
      </c>
      <c r="E145" s="29" t="str">
        <f>IFERROR(__xludf.DUMMYFUNCTION("IMPORTRANGE(""https://docs.google.com/spreadsheets/d/1sbaTJIEs8I7XTpGUl1gZ8em-J48uYWx8P9XF_jnHubM/edit?gid=91456061#gid=91456061"", ""SUMMARY!$D""&amp;ROW($D71))"),"FRANK C. DUCA")</f>
        <v>FRANK C. DUCA</v>
      </c>
      <c r="F145" s="29" t="str">
        <f>IFERROR(__xludf.DUMMYFUNCTION("IMPORTRANGE(""https://docs.google.com/spreadsheets/d/1sbaTJIEs8I7XTpGUl1gZ8em-J48uYWx8P9XF_jnHubM/edit?gid=91456061#gid=91456061"", ""SUMMARY!$E""&amp;ROW($E71))"),"HUMSS")</f>
        <v>HUMSS</v>
      </c>
      <c r="G145" s="19" t="str">
        <f>IFERROR(__xludf.DUMMYFUNCTION("IMPORTRANGE(""https://docs.google.com/spreadsheets/d/1otQjWHjy3Rq_-7Ie_93jllGR_QbNz_QcBUMPB-NJUP8/edit?gid=902639746#gid=902639746"", ""CHECKING!$F""&amp;COLUMN(F357))"),"ENCODED")</f>
        <v>ENCODED</v>
      </c>
      <c r="H145" s="19" t="str">
        <f>IFERROR(__xludf.DUMMYFUNCTION("IMPORTRANGE(""https://docs.google.com/spreadsheets/d/1otQjWHjy3Rq_-7Ie_93jllGR_QbNz_QcBUMPB-NJUP8/edit?gid=902639746#gid=902639746"", ""CHECKING!$G""&amp;ROW(G357))"),"ENCODED")</f>
        <v>ENCODED</v>
      </c>
      <c r="I145" s="19" t="str">
        <f>IFERROR(__xludf.DUMMYFUNCTION("IMPORTRANGE(""https://docs.google.com/spreadsheets/d/1otQjWHjy3Rq_-7Ie_93jllGR_QbNz_QcBUMPB-NJUP8/edit?gid=902639746#gid=902639746"", ""CHECKING!$H""&amp;ROW(H357))"),"ENCODED")</f>
        <v>ENCODED</v>
      </c>
      <c r="J145" s="19" t="str">
        <f>IFERROR(__xludf.DUMMYFUNCTION("IMPORTRANGE(""https://docs.google.com/spreadsheets/d/1otQjWHjy3Rq_-7Ie_93jllGR_QbNz_QcBUMPB-NJUP8/edit?gid=902639746#gid=902639746"", ""CHECKING!$I""&amp;ROW(I357))"),"NOT ENCODED")</f>
        <v>NOT ENCODED</v>
      </c>
      <c r="K145" s="19" t="str">
        <f>IFERROR(__xludf.DUMMYFUNCTION("IMPORTRANGE(""https://docs.google.com/spreadsheets/d/1otQjWHjy3Rq_-7Ie_93jllGR_QbNz_QcBUMPB-NJUP8/edit?gid=902639746#gid=902639746"", ""CHECKING!$J""&amp;ROW(J357))"),"NOT ENCODED")</f>
        <v>NOT ENCODED</v>
      </c>
      <c r="L145" s="19" t="str">
        <f>IFERROR(__xludf.DUMMYFUNCTION("IMPORTRANGE(""https://docs.google.com/spreadsheets/d/1otQjWHjy3Rq_-7Ie_93jllGR_QbNz_QcBUMPB-NJUP8/edit?gid=902639746#gid=902639746"", ""CHECKING!$K""&amp;ROW(K357))"),"NOT ENCODED")</f>
        <v>NOT ENCODED</v>
      </c>
      <c r="M145" s="19" t="str">
        <f>IFERROR(__xludf.DUMMYFUNCTION("IMPORTRANGE(""https://docs.google.com/spreadsheets/d/1otQjWHjy3Rq_-7Ie_93jllGR_QbNz_QcBUMPB-NJUP8/edit?gid=902639746#gid=902639746"", ""CHECKING!$L""&amp;ROW(L357))"),"NOT ENCODED")</f>
        <v>NOT ENCODED</v>
      </c>
    </row>
    <row r="146">
      <c r="A146" s="26" t="s">
        <v>19</v>
      </c>
      <c r="B146" s="27">
        <f>IFERROR(__xludf.DUMMYFUNCTION("IMPORTRANGE(""https://docs.google.com/spreadsheets/d/1sbaTJIEs8I7XTpGUl1gZ8em-J48uYWx8P9XF_jnHubM/edit?gid=91456061#gid=91456061"", ""SUMMARY!$B""&amp;ROW($B72))"),65.0)</f>
        <v>65</v>
      </c>
      <c r="C146" s="27" t="str">
        <f>IFERROR(__xludf.DUMMYFUNCTION("IMPORTRANGE(""https://docs.google.com/spreadsheets/d/1sbaTJIEs8I7XTpGUl1gZ8em-J48uYWx8P9XF_jnHubM/edit?gid=91456061#gid=91456061"", ""SUMMARY!$C""&amp;ROW($C72))"),"TURING")</f>
        <v>TURING</v>
      </c>
      <c r="D146" s="28" t="str">
        <f>IFERROR(__xludf.DUMMYFUNCTION("IMPORTRANGE(""https://docs.google.com/spreadsheets/d/1sbaTJIEs8I7XTpGUl1gZ8em-J48uYWx8P9XF_jnHubM/edit?gid=91456061#gid=91456061"", ""SUMMARY!$F""&amp;ROW($F72))"),"ICT-CSS")</f>
        <v>ICT-CSS</v>
      </c>
      <c r="E146" s="29" t="str">
        <f>IFERROR(__xludf.DUMMYFUNCTION("IMPORTRANGE(""https://docs.google.com/spreadsheets/d/1sbaTJIEs8I7XTpGUl1gZ8em-J48uYWx8P9XF_jnHubM/edit?gid=91456061#gid=91456061"", ""SUMMARY!$D""&amp;ROW($D72))"),"EDDIE JR. A. RUBI")</f>
        <v>EDDIE JR. A. RUBI</v>
      </c>
      <c r="F146" s="29" t="str">
        <f>IFERROR(__xludf.DUMMYFUNCTION("IMPORTRANGE(""https://docs.google.com/spreadsheets/d/1sbaTJIEs8I7XTpGUl1gZ8em-J48uYWx8P9XF_jnHubM/edit?gid=91456061#gid=91456061"", ""SUMMARY!$E""&amp;ROW($E72))"),"ENGLISH")</f>
        <v>ENGLISH</v>
      </c>
      <c r="G146" s="19" t="str">
        <f>IFERROR(__xludf.DUMMYFUNCTION("IMPORTRANGE(""https://docs.google.com/spreadsheets/d/1otQjWHjy3Rq_-7Ie_93jllGR_QbNz_QcBUMPB-NJUP8/edit?gid=902639746#gid=902639746"", ""CHECKING!$F""&amp;COLUMN(F358))"),"ENCODED")</f>
        <v>ENCODED</v>
      </c>
      <c r="H146" s="19" t="str">
        <f>IFERROR(__xludf.DUMMYFUNCTION("IMPORTRANGE(""https://docs.google.com/spreadsheets/d/1otQjWHjy3Rq_-7Ie_93jllGR_QbNz_QcBUMPB-NJUP8/edit?gid=902639746#gid=902639746"", ""CHECKING!$G""&amp;ROW(G358))"),"ENCODED")</f>
        <v>ENCODED</v>
      </c>
      <c r="I146" s="19" t="str">
        <f>IFERROR(__xludf.DUMMYFUNCTION("IMPORTRANGE(""https://docs.google.com/spreadsheets/d/1otQjWHjy3Rq_-7Ie_93jllGR_QbNz_QcBUMPB-NJUP8/edit?gid=902639746#gid=902639746"", ""CHECKING!$H""&amp;ROW(H358))"),"ENCODED")</f>
        <v>ENCODED</v>
      </c>
      <c r="J146" s="19" t="str">
        <f>IFERROR(__xludf.DUMMYFUNCTION("IMPORTRANGE(""https://docs.google.com/spreadsheets/d/1otQjWHjy3Rq_-7Ie_93jllGR_QbNz_QcBUMPB-NJUP8/edit?gid=902639746#gid=902639746"", ""CHECKING!$I""&amp;ROW(I358))"),"NOT ENCODED")</f>
        <v>NOT ENCODED</v>
      </c>
      <c r="K146" s="19" t="str">
        <f>IFERROR(__xludf.DUMMYFUNCTION("IMPORTRANGE(""https://docs.google.com/spreadsheets/d/1otQjWHjy3Rq_-7Ie_93jllGR_QbNz_QcBUMPB-NJUP8/edit?gid=902639746#gid=902639746"", ""CHECKING!$J""&amp;ROW(J358))"),"NOT ENCODED")</f>
        <v>NOT ENCODED</v>
      </c>
      <c r="L146" s="19" t="str">
        <f>IFERROR(__xludf.DUMMYFUNCTION("IMPORTRANGE(""https://docs.google.com/spreadsheets/d/1otQjWHjy3Rq_-7Ie_93jllGR_QbNz_QcBUMPB-NJUP8/edit?gid=902639746#gid=902639746"", ""CHECKING!$K""&amp;ROW(K358))"),"NOT ENCODED")</f>
        <v>NOT ENCODED</v>
      </c>
      <c r="M146" s="19" t="str">
        <f>IFERROR(__xludf.DUMMYFUNCTION("IMPORTRANGE(""https://docs.google.com/spreadsheets/d/1otQjWHjy3Rq_-7Ie_93jllGR_QbNz_QcBUMPB-NJUP8/edit?gid=902639746#gid=902639746"", ""CHECKING!$L""&amp;ROW(L358))"),"NOT ENCODED")</f>
        <v>NOT ENCODED</v>
      </c>
    </row>
    <row r="147" ht="19.5" customHeight="1">
      <c r="A147" s="26" t="s">
        <v>19</v>
      </c>
      <c r="B147" s="27">
        <f>IFERROR(__xludf.DUMMYFUNCTION("IMPORTRANGE(""https://docs.google.com/spreadsheets/d/1sbaTJIEs8I7XTpGUl1gZ8em-J48uYWx8P9XF_jnHubM/edit?gid=91456061#gid=91456061"", ""SUMMARY!$B""&amp;ROW($B73))"),66.0)</f>
        <v>66</v>
      </c>
      <c r="C147" s="27" t="str">
        <f>IFERROR(__xludf.DUMMYFUNCTION("IMPORTRANGE(""https://docs.google.com/spreadsheets/d/1sbaTJIEs8I7XTpGUl1gZ8em-J48uYWx8P9XF_jnHubM/edit?gid=91456061#gid=91456061"", ""SUMMARY!$C""&amp;ROW($C73))"),"ARDEN")</f>
        <v>ARDEN</v>
      </c>
      <c r="D147" s="28" t="str">
        <f>IFERROR(__xludf.DUMMYFUNCTION("IMPORTRANGE(""https://docs.google.com/spreadsheets/d/1sbaTJIEs8I7XTpGUl1gZ8em-J48uYWx8P9XF_jnHubM/edit?gid=91456061#gid=91456061"", ""SUMMARY!$F""&amp;ROW($F73))"),"BEAUTY CARE")</f>
        <v>BEAUTY CARE</v>
      </c>
      <c r="E147" s="29" t="str">
        <f>IFERROR(__xludf.DUMMYFUNCTION("IMPORTRANGE(""https://docs.google.com/spreadsheets/d/1sbaTJIEs8I7XTpGUl1gZ8em-J48uYWx8P9XF_jnHubM/edit?gid=91456061#gid=91456061"", ""SUMMARY!$D""&amp;ROW($D73))"),"GINALYN A. SILVA")</f>
        <v>GINALYN A. SILVA</v>
      </c>
      <c r="F147" s="29" t="str">
        <f>IFERROR(__xludf.DUMMYFUNCTION("IMPORTRANGE(""https://docs.google.com/spreadsheets/d/1sbaTJIEs8I7XTpGUl1gZ8em-J48uYWx8P9XF_jnHubM/edit?gid=91456061#gid=91456061"", ""SUMMARY!$E""&amp;ROW($E73))"),"ABM")</f>
        <v>ABM</v>
      </c>
      <c r="G147" s="19" t="str">
        <f>IFERROR(__xludf.DUMMYFUNCTION("IMPORTRANGE(""https://docs.google.com/spreadsheets/d/1otQjWHjy3Rq_-7Ie_93jllGR_QbNz_QcBUMPB-NJUP8/edit?gid=902639746#gid=902639746"", ""CHECKING!$F""&amp;COLUMN(F359))"),"ENCODED")</f>
        <v>ENCODED</v>
      </c>
      <c r="H147" s="19" t="str">
        <f>IFERROR(__xludf.DUMMYFUNCTION("IMPORTRANGE(""https://docs.google.com/spreadsheets/d/1otQjWHjy3Rq_-7Ie_93jllGR_QbNz_QcBUMPB-NJUP8/edit?gid=902639746#gid=902639746"", ""CHECKING!$G""&amp;ROW(G359))"),"ENCODED")</f>
        <v>ENCODED</v>
      </c>
      <c r="I147" s="19" t="str">
        <f>IFERROR(__xludf.DUMMYFUNCTION("IMPORTRANGE(""https://docs.google.com/spreadsheets/d/1otQjWHjy3Rq_-7Ie_93jllGR_QbNz_QcBUMPB-NJUP8/edit?gid=902639746#gid=902639746"", ""CHECKING!$H""&amp;ROW(H359))"),"ENCODED")</f>
        <v>ENCODED</v>
      </c>
      <c r="J147" s="19" t="str">
        <f>IFERROR(__xludf.DUMMYFUNCTION("IMPORTRANGE(""https://docs.google.com/spreadsheets/d/1otQjWHjy3Rq_-7Ie_93jllGR_QbNz_QcBUMPB-NJUP8/edit?gid=902639746#gid=902639746"", ""CHECKING!$I""&amp;ROW(I359))"),"ENCODED")</f>
        <v>ENCODED</v>
      </c>
      <c r="K147" s="19" t="str">
        <f>IFERROR(__xludf.DUMMYFUNCTION("IMPORTRANGE(""https://docs.google.com/spreadsheets/d/1otQjWHjy3Rq_-7Ie_93jllGR_QbNz_QcBUMPB-NJUP8/edit?gid=902639746#gid=902639746"", ""CHECKING!$J""&amp;ROW(J359))"),"ENCODED")</f>
        <v>ENCODED</v>
      </c>
      <c r="L147" s="19" t="str">
        <f>IFERROR(__xludf.DUMMYFUNCTION("IMPORTRANGE(""https://docs.google.com/spreadsheets/d/1otQjWHjy3Rq_-7Ie_93jllGR_QbNz_QcBUMPB-NJUP8/edit?gid=902639746#gid=902639746"", ""CHECKING!$K""&amp;ROW(K359))"),"NOT ENCODED")</f>
        <v>NOT ENCODED</v>
      </c>
      <c r="M147" s="19" t="str">
        <f>IFERROR(__xludf.DUMMYFUNCTION("IMPORTRANGE(""https://docs.google.com/spreadsheets/d/1otQjWHjy3Rq_-7Ie_93jllGR_QbNz_QcBUMPB-NJUP8/edit?gid=902639746#gid=902639746"", ""CHECKING!$L""&amp;ROW(L359))"),"NOT ENCODED")</f>
        <v>NOT ENCODED</v>
      </c>
    </row>
    <row r="148" ht="20.25" customHeight="1">
      <c r="A148" s="26" t="s">
        <v>19</v>
      </c>
      <c r="B148" s="27">
        <f>IFERROR(__xludf.DUMMYFUNCTION("IMPORTRANGE(""https://docs.google.com/spreadsheets/d/1sbaTJIEs8I7XTpGUl1gZ8em-J48uYWx8P9XF_jnHubM/edit?gid=91456061#gid=91456061"", ""SUMMARY!$B""&amp;ROW($B74))"),67.0)</f>
        <v>67</v>
      </c>
      <c r="C148" s="27" t="str">
        <f>IFERROR(__xludf.DUMMYFUNCTION("IMPORTRANGE(""https://docs.google.com/spreadsheets/d/1sbaTJIEs8I7XTpGUl1gZ8em-J48uYWx8P9XF_jnHubM/edit?gid=91456061#gid=91456061"", ""SUMMARY!$C""&amp;ROW($C74))"),"POMPADOUR")</f>
        <v>POMPADOUR</v>
      </c>
      <c r="D148" s="28" t="str">
        <f>IFERROR(__xludf.DUMMYFUNCTION("IMPORTRANGE(""https://docs.google.com/spreadsheets/d/1sbaTJIEs8I7XTpGUl1gZ8em-J48uYWx8P9XF_jnHubM/edit?gid=91456061#gid=91456061"", ""SUMMARY!$F""&amp;ROW($F74))"),"BEAUTY CARE")</f>
        <v>BEAUTY CARE</v>
      </c>
      <c r="E148" s="29" t="str">
        <f>IFERROR(__xludf.DUMMYFUNCTION("IMPORTRANGE(""https://docs.google.com/spreadsheets/d/1sbaTJIEs8I7XTpGUl1gZ8em-J48uYWx8P9XF_jnHubM/edit?gid=91456061#gid=91456061"", ""SUMMARY!$D""&amp;ROW($D74))"),"WELMA C. LIPATA")</f>
        <v>WELMA C. LIPATA</v>
      </c>
      <c r="F148" s="29" t="str">
        <f>IFERROR(__xludf.DUMMYFUNCTION("IMPORTRANGE(""https://docs.google.com/spreadsheets/d/1sbaTJIEs8I7XTpGUl1gZ8em-J48uYWx8P9XF_jnHubM/edit?gid=91456061#gid=91456061"", ""SUMMARY!$E""&amp;ROW($E74))"),"TVL - ICT")</f>
        <v>TVL - ICT</v>
      </c>
      <c r="G148" s="19" t="str">
        <f>IFERROR(__xludf.DUMMYFUNCTION("IMPORTRANGE(""https://docs.google.com/spreadsheets/d/1otQjWHjy3Rq_-7Ie_93jllGR_QbNz_QcBUMPB-NJUP8/edit?gid=902639746#gid=902639746"", ""CHECKING!$F""&amp;COLUMN(F360))"),"ENCODED")</f>
        <v>ENCODED</v>
      </c>
      <c r="H148" s="19" t="str">
        <f>IFERROR(__xludf.DUMMYFUNCTION("IMPORTRANGE(""https://docs.google.com/spreadsheets/d/1otQjWHjy3Rq_-7Ie_93jllGR_QbNz_QcBUMPB-NJUP8/edit?gid=902639746#gid=902639746"", ""CHECKING!$G""&amp;ROW(G360))"),"ENCODED")</f>
        <v>ENCODED</v>
      </c>
      <c r="I148" s="19" t="str">
        <f>IFERROR(__xludf.DUMMYFUNCTION("IMPORTRANGE(""https://docs.google.com/spreadsheets/d/1otQjWHjy3Rq_-7Ie_93jllGR_QbNz_QcBUMPB-NJUP8/edit?gid=902639746#gid=902639746"", ""CHECKING!$H""&amp;ROW(H360))"),"ENCODED")</f>
        <v>ENCODED</v>
      </c>
      <c r="J148" s="19" t="str">
        <f>IFERROR(__xludf.DUMMYFUNCTION("IMPORTRANGE(""https://docs.google.com/spreadsheets/d/1otQjWHjy3Rq_-7Ie_93jllGR_QbNz_QcBUMPB-NJUP8/edit?gid=902639746#gid=902639746"", ""CHECKING!$I""&amp;ROW(I360))"),"ENCODED")</f>
        <v>ENCODED</v>
      </c>
      <c r="K148" s="19" t="str">
        <f>IFERROR(__xludf.DUMMYFUNCTION("IMPORTRANGE(""https://docs.google.com/spreadsheets/d/1otQjWHjy3Rq_-7Ie_93jllGR_QbNz_QcBUMPB-NJUP8/edit?gid=902639746#gid=902639746"", ""CHECKING!$J""&amp;ROW(J360))"),"NOT ENCODED")</f>
        <v>NOT ENCODED</v>
      </c>
      <c r="L148" s="19" t="str">
        <f>IFERROR(__xludf.DUMMYFUNCTION("IMPORTRANGE(""https://docs.google.com/spreadsheets/d/1otQjWHjy3Rq_-7Ie_93jllGR_QbNz_QcBUMPB-NJUP8/edit?gid=902639746#gid=902639746"", ""CHECKING!$K""&amp;ROW(K360))"),"NOT ENCODED")</f>
        <v>NOT ENCODED</v>
      </c>
      <c r="M148" s="19" t="str">
        <f>IFERROR(__xludf.DUMMYFUNCTION("IMPORTRANGE(""https://docs.google.com/spreadsheets/d/1otQjWHjy3Rq_-7Ie_93jllGR_QbNz_QcBUMPB-NJUP8/edit?gid=902639746#gid=902639746"", ""CHECKING!$L""&amp;ROW(L360))"),"NOT ENCODED")</f>
        <v>NOT ENCODED</v>
      </c>
    </row>
    <row r="149" ht="18.0" customHeight="1">
      <c r="A149" s="26" t="s">
        <v>19</v>
      </c>
      <c r="B149" s="27">
        <f>IFERROR(__xludf.DUMMYFUNCTION("IMPORTRANGE(""https://docs.google.com/spreadsheets/d/1sbaTJIEs8I7XTpGUl1gZ8em-J48uYWx8P9XF_jnHubM/edit?gid=91456061#gid=91456061"", ""SUMMARY!$B""&amp;ROW($B75))"),68.0)</f>
        <v>68</v>
      </c>
      <c r="C149" s="27" t="str">
        <f>IFERROR(__xludf.DUMMYFUNCTION("IMPORTRANGE(""https://docs.google.com/spreadsheets/d/1sbaTJIEs8I7XTpGUl1gZ8em-J48uYWx8P9XF_jnHubM/edit?gid=91456061#gid=91456061"", ""SUMMARY!$C""&amp;ROW($C75))"),"PRADA")</f>
        <v>PRADA</v>
      </c>
      <c r="D149" s="28" t="str">
        <f>IFERROR(__xludf.DUMMYFUNCTION("IMPORTRANGE(""https://docs.google.com/spreadsheets/d/1sbaTJIEs8I7XTpGUl1gZ8em-J48uYWx8P9XF_jnHubM/edit?gid=91456061#gid=91456061"", ""SUMMARY!$F""&amp;ROW($F75))"),"DRESSMAKING")</f>
        <v>DRESSMAKING</v>
      </c>
      <c r="E149" s="29" t="str">
        <f>IFERROR(__xludf.DUMMYFUNCTION("IMPORTRANGE(""https://docs.google.com/spreadsheets/d/1sbaTJIEs8I7XTpGUl1gZ8em-J48uYWx8P9XF_jnHubM/edit?gid=91456061#gid=91456061"", ""SUMMARY!$D""&amp;ROW($D75))"),"JANEL R. RABINO")</f>
        <v>JANEL R. RABINO</v>
      </c>
      <c r="F149" s="29" t="str">
        <f>IFERROR(__xludf.DUMMYFUNCTION("IMPORTRANGE(""https://docs.google.com/spreadsheets/d/1sbaTJIEs8I7XTpGUl1gZ8em-J48uYWx8P9XF_jnHubM/edit?gid=91456061#gid=91456061"", ""SUMMARY!$E""&amp;ROW($E75))"),"TVL - ICT")</f>
        <v>TVL - ICT</v>
      </c>
      <c r="G149" s="19" t="str">
        <f>IFERROR(__xludf.DUMMYFUNCTION("IMPORTRANGE(""https://docs.google.com/spreadsheets/d/1otQjWHjy3Rq_-7Ie_93jllGR_QbNz_QcBUMPB-NJUP8/edit?gid=902639746#gid=902639746"", ""CHECKING!$F""&amp;COLUMN(F361))"),"ENCODED")</f>
        <v>ENCODED</v>
      </c>
      <c r="H149" s="19" t="str">
        <f>IFERROR(__xludf.DUMMYFUNCTION("IMPORTRANGE(""https://docs.google.com/spreadsheets/d/1otQjWHjy3Rq_-7Ie_93jllGR_QbNz_QcBUMPB-NJUP8/edit?gid=902639746#gid=902639746"", ""CHECKING!$G""&amp;ROW(G361))"),"ENCODED")</f>
        <v>ENCODED</v>
      </c>
      <c r="I149" s="19" t="str">
        <f>IFERROR(__xludf.DUMMYFUNCTION("IMPORTRANGE(""https://docs.google.com/spreadsheets/d/1otQjWHjy3Rq_-7Ie_93jllGR_QbNz_QcBUMPB-NJUP8/edit?gid=902639746#gid=902639746"", ""CHECKING!$H""&amp;ROW(H361))"),"ENCODED")</f>
        <v>ENCODED</v>
      </c>
      <c r="J149" s="19" t="str">
        <f>IFERROR(__xludf.DUMMYFUNCTION("IMPORTRANGE(""https://docs.google.com/spreadsheets/d/1otQjWHjy3Rq_-7Ie_93jllGR_QbNz_QcBUMPB-NJUP8/edit?gid=902639746#gid=902639746"", ""CHECKING!$I""&amp;ROW(I361))"),"NOT ENCODED")</f>
        <v>NOT ENCODED</v>
      </c>
      <c r="K149" s="19" t="str">
        <f>IFERROR(__xludf.DUMMYFUNCTION("IMPORTRANGE(""https://docs.google.com/spreadsheets/d/1otQjWHjy3Rq_-7Ie_93jllGR_QbNz_QcBUMPB-NJUP8/edit?gid=902639746#gid=902639746"", ""CHECKING!$J""&amp;ROW(J361))"),"NOT ENCODED")</f>
        <v>NOT ENCODED</v>
      </c>
      <c r="L149" s="19" t="str">
        <f>IFERROR(__xludf.DUMMYFUNCTION("IMPORTRANGE(""https://docs.google.com/spreadsheets/d/1otQjWHjy3Rq_-7Ie_93jllGR_QbNz_QcBUMPB-NJUP8/edit?gid=902639746#gid=902639746"", ""CHECKING!$K""&amp;ROW(K361))"),"NOT ENCODED")</f>
        <v>NOT ENCODED</v>
      </c>
      <c r="M149" s="19" t="str">
        <f>IFERROR(__xludf.DUMMYFUNCTION("IMPORTRANGE(""https://docs.google.com/spreadsheets/d/1otQjWHjy3Rq_-7Ie_93jllGR_QbNz_QcBUMPB-NJUP8/edit?gid=902639746#gid=902639746"", ""CHECKING!$L""&amp;ROW(L361))"),"NOT ENCODED")</f>
        <v>NOT ENCODED</v>
      </c>
    </row>
    <row r="150">
      <c r="A150" s="26" t="s">
        <v>19</v>
      </c>
      <c r="B150" s="27">
        <f>IFERROR(__xludf.DUMMYFUNCTION("IMPORTRANGE(""https://docs.google.com/spreadsheets/d/1sbaTJIEs8I7XTpGUl1gZ8em-J48uYWx8P9XF_jnHubM/edit?gid=91456061#gid=91456061"", ""SUMMARY!$B""&amp;ROW($B76))"),69.0)</f>
        <v>69</v>
      </c>
      <c r="C150" s="27" t="str">
        <f>IFERROR(__xludf.DUMMYFUNCTION("IMPORTRANGE(""https://docs.google.com/spreadsheets/d/1sbaTJIEs8I7XTpGUl1gZ8em-J48uYWx8P9XF_jnHubM/edit?gid=91456061#gid=91456061"", ""SUMMARY!$C""&amp;ROW($C76))"),"EDISON")</f>
        <v>EDISON</v>
      </c>
      <c r="D150" s="28" t="str">
        <f>IFERROR(__xludf.DUMMYFUNCTION("IMPORTRANGE(""https://docs.google.com/spreadsheets/d/1sbaTJIEs8I7XTpGUl1gZ8em-J48uYWx8P9XF_jnHubM/edit?gid=91456061#gid=91456061"", ""SUMMARY!$F""&amp;ROW($F76))"),"EIM")</f>
        <v>EIM</v>
      </c>
      <c r="E150" s="29" t="str">
        <f>IFERROR(__xludf.DUMMYFUNCTION("IMPORTRANGE(""https://docs.google.com/spreadsheets/d/1sbaTJIEs8I7XTpGUl1gZ8em-J48uYWx8P9XF_jnHubM/edit?gid=91456061#gid=91456061"", ""SUMMARY!$D""&amp;ROW($D76))"),"ARMAND JOSEPH MATIAS")</f>
        <v>ARMAND JOSEPH MATIAS</v>
      </c>
      <c r="F150" s="29" t="str">
        <f>IFERROR(__xludf.DUMMYFUNCTION("IMPORTRANGE(""https://docs.google.com/spreadsheets/d/1sbaTJIEs8I7XTpGUl1gZ8em-J48uYWx8P9XF_jnHubM/edit?gid=91456061#gid=91456061"", ""SUMMARY!$E""&amp;ROW($E76))"),"ABM")</f>
        <v>ABM</v>
      </c>
      <c r="G150" s="19" t="str">
        <f>IFERROR(__xludf.DUMMYFUNCTION("IMPORTRANGE(""https://docs.google.com/spreadsheets/d/1otQjWHjy3Rq_-7Ie_93jllGR_QbNz_QcBUMPB-NJUP8/edit?gid=902639746#gid=902639746"", ""CHECKING!$F""&amp;COLUMN(F362))"),"ENCODED")</f>
        <v>ENCODED</v>
      </c>
      <c r="H150" s="19" t="str">
        <f>IFERROR(__xludf.DUMMYFUNCTION("IMPORTRANGE(""https://docs.google.com/spreadsheets/d/1otQjWHjy3Rq_-7Ie_93jllGR_QbNz_QcBUMPB-NJUP8/edit?gid=902639746#gid=902639746"", ""CHECKING!$G""&amp;ROW(G362))"),"ENCODED")</f>
        <v>ENCODED</v>
      </c>
      <c r="I150" s="19" t="str">
        <f>IFERROR(__xludf.DUMMYFUNCTION("IMPORTRANGE(""https://docs.google.com/spreadsheets/d/1otQjWHjy3Rq_-7Ie_93jllGR_QbNz_QcBUMPB-NJUP8/edit?gid=902639746#gid=902639746"", ""CHECKING!$H""&amp;ROW(H362))"),"ENCODED")</f>
        <v>ENCODED</v>
      </c>
      <c r="J150" s="19" t="str">
        <f>IFERROR(__xludf.DUMMYFUNCTION("IMPORTRANGE(""https://docs.google.com/spreadsheets/d/1otQjWHjy3Rq_-7Ie_93jllGR_QbNz_QcBUMPB-NJUP8/edit?gid=902639746#gid=902639746"", ""CHECKING!$I""&amp;ROW(I362))"),"ENCODED")</f>
        <v>ENCODED</v>
      </c>
      <c r="K150" s="19" t="str">
        <f>IFERROR(__xludf.DUMMYFUNCTION("IMPORTRANGE(""https://docs.google.com/spreadsheets/d/1otQjWHjy3Rq_-7Ie_93jllGR_QbNz_QcBUMPB-NJUP8/edit?gid=902639746#gid=902639746"", ""CHECKING!$J""&amp;ROW(J362))"),"NOT ENCODED")</f>
        <v>NOT ENCODED</v>
      </c>
      <c r="L150" s="19" t="str">
        <f>IFERROR(__xludf.DUMMYFUNCTION("IMPORTRANGE(""https://docs.google.com/spreadsheets/d/1otQjWHjy3Rq_-7Ie_93jllGR_QbNz_QcBUMPB-NJUP8/edit?gid=902639746#gid=902639746"", ""CHECKING!$K""&amp;ROW(K362))"),"NOT ENCODED")</f>
        <v>NOT ENCODED</v>
      </c>
      <c r="M150" s="19" t="str">
        <f>IFERROR(__xludf.DUMMYFUNCTION("IMPORTRANGE(""https://docs.google.com/spreadsheets/d/1otQjWHjy3Rq_-7Ie_93jllGR_QbNz_QcBUMPB-NJUP8/edit?gid=902639746#gid=902639746"", ""CHECKING!$L""&amp;ROW(L362))"),"NOT ENCODED")</f>
        <v>NOT ENCODED</v>
      </c>
    </row>
    <row r="151">
      <c r="A151" s="26" t="s">
        <v>19</v>
      </c>
      <c r="B151" s="27">
        <f>IFERROR(__xludf.DUMMYFUNCTION("IMPORTRANGE(""https://docs.google.com/spreadsheets/d/1sbaTJIEs8I7XTpGUl1gZ8em-J48uYWx8P9XF_jnHubM/edit?gid=91456061#gid=91456061"", ""SUMMARY!$B""&amp;ROW($B77))"),70.0)</f>
        <v>70</v>
      </c>
      <c r="C151" s="27" t="str">
        <f>IFERROR(__xludf.DUMMYFUNCTION("IMPORTRANGE(""https://docs.google.com/spreadsheets/d/1sbaTJIEs8I7XTpGUl1gZ8em-J48uYWx8P9XF_jnHubM/edit?gid=91456061#gid=91456061"", ""SUMMARY!$C""&amp;ROW($C77))"),"AMPERE")</f>
        <v>AMPERE</v>
      </c>
      <c r="D151" s="28" t="str">
        <f>IFERROR(__xludf.DUMMYFUNCTION("IMPORTRANGE(""https://docs.google.com/spreadsheets/d/1sbaTJIEs8I7XTpGUl1gZ8em-J48uYWx8P9XF_jnHubM/edit?gid=91456061#gid=91456061"", ""SUMMARY!$F""&amp;ROW($F77))"),"EPAS")</f>
        <v>EPAS</v>
      </c>
      <c r="E151" s="29" t="str">
        <f>IFERROR(__xludf.DUMMYFUNCTION("IMPORTRANGE(""https://docs.google.com/spreadsheets/d/1sbaTJIEs8I7XTpGUl1gZ8em-J48uYWx8P9XF_jnHubM/edit?gid=91456061#gid=91456061"", ""SUMMARY!$D""&amp;ROW($D77))"),"VICTOR JOSHUA D. BALAGAN")</f>
        <v>VICTOR JOSHUA D. BALAGAN</v>
      </c>
      <c r="F151" s="29" t="str">
        <f>IFERROR(__xludf.DUMMYFUNCTION("IMPORTRANGE(""https://docs.google.com/spreadsheets/d/1sbaTJIEs8I7XTpGUl1gZ8em-J48uYWx8P9XF_jnHubM/edit?gid=91456061#gid=91456061"", ""SUMMARY!$E""&amp;ROW($E77))"),"ENGLISH")</f>
        <v>ENGLISH</v>
      </c>
      <c r="G151" s="19" t="str">
        <f>IFERROR(__xludf.DUMMYFUNCTION("IMPORTRANGE(""https://docs.google.com/spreadsheets/d/1otQjWHjy3Rq_-7Ie_93jllGR_QbNz_QcBUMPB-NJUP8/edit?gid=902639746#gid=902639746"", ""CHECKING!$F""&amp;COLUMN(F363))"),"ENCODED")</f>
        <v>ENCODED</v>
      </c>
      <c r="H151" s="19" t="str">
        <f>IFERROR(__xludf.DUMMYFUNCTION("IMPORTRANGE(""https://docs.google.com/spreadsheets/d/1otQjWHjy3Rq_-7Ie_93jllGR_QbNz_QcBUMPB-NJUP8/edit?gid=902639746#gid=902639746"", ""CHECKING!$G""&amp;ROW(G363))"),"ENCODED")</f>
        <v>ENCODED</v>
      </c>
      <c r="I151" s="19" t="str">
        <f>IFERROR(__xludf.DUMMYFUNCTION("IMPORTRANGE(""https://docs.google.com/spreadsheets/d/1otQjWHjy3Rq_-7Ie_93jllGR_QbNz_QcBUMPB-NJUP8/edit?gid=902639746#gid=902639746"", ""CHECKING!$H""&amp;ROW(H363))"),"ENCODED")</f>
        <v>ENCODED</v>
      </c>
      <c r="J151" s="19" t="str">
        <f>IFERROR(__xludf.DUMMYFUNCTION("IMPORTRANGE(""https://docs.google.com/spreadsheets/d/1otQjWHjy3Rq_-7Ie_93jllGR_QbNz_QcBUMPB-NJUP8/edit?gid=902639746#gid=902639746"", ""CHECKING!$I""&amp;ROW(I363))"),"ENCODED")</f>
        <v>ENCODED</v>
      </c>
      <c r="K151" s="19" t="str">
        <f>IFERROR(__xludf.DUMMYFUNCTION("IMPORTRANGE(""https://docs.google.com/spreadsheets/d/1otQjWHjy3Rq_-7Ie_93jllGR_QbNz_QcBUMPB-NJUP8/edit?gid=902639746#gid=902639746"", ""CHECKING!$J""&amp;ROW(J363))"),"NOT ENCODED")</f>
        <v>NOT ENCODED</v>
      </c>
      <c r="L151" s="19" t="str">
        <f>IFERROR(__xludf.DUMMYFUNCTION("IMPORTRANGE(""https://docs.google.com/spreadsheets/d/1otQjWHjy3Rq_-7Ie_93jllGR_QbNz_QcBUMPB-NJUP8/edit?gid=902639746#gid=902639746"", ""CHECKING!$K""&amp;ROW(K363))"),"NOT ENCODED")</f>
        <v>NOT ENCODED</v>
      </c>
      <c r="M151" s="19" t="str">
        <f>IFERROR(__xludf.DUMMYFUNCTION("IMPORTRANGE(""https://docs.google.com/spreadsheets/d/1otQjWHjy3Rq_-7Ie_93jllGR_QbNz_QcBUMPB-NJUP8/edit?gid=902639746#gid=902639746"", ""CHECKING!$L""&amp;ROW(L363))"),"NOT ENCODED")</f>
        <v>NOT ENCODED</v>
      </c>
    </row>
    <row r="152">
      <c r="A152" s="26" t="s">
        <v>19</v>
      </c>
      <c r="B152" s="27">
        <f>IFERROR(__xludf.DUMMYFUNCTION("IMPORTRANGE(""https://docs.google.com/spreadsheets/d/1sbaTJIEs8I7XTpGUl1gZ8em-J48uYWx8P9XF_jnHubM/edit?gid=91456061#gid=91456061"", ""SUMMARY!$B""&amp;ROW($B78))"),71.0)</f>
        <v>71</v>
      </c>
      <c r="C152" s="27" t="str">
        <f>IFERROR(__xludf.DUMMYFUNCTION("IMPORTRANGE(""https://docs.google.com/spreadsheets/d/1sbaTJIEs8I7XTpGUl1gZ8em-J48uYWx8P9XF_jnHubM/edit?gid=91456061#gid=91456061"", ""SUMMARY!$C""&amp;ROW($C78))"),"ALS / OHSP - A")</f>
        <v>ALS / OHSP - A</v>
      </c>
      <c r="D152" s="28" t="str">
        <f>IFERROR(__xludf.DUMMYFUNCTION("IMPORTRANGE(""https://docs.google.com/spreadsheets/d/1sbaTJIEs8I7XTpGUl1gZ8em-J48uYWx8P9XF_jnHubM/edit?gid=91456061#gid=91456061"", ""SUMMARY!$F""&amp;ROW($F78))"),"EIM")</f>
        <v>EIM</v>
      </c>
      <c r="E152" s="29" t="str">
        <f>IFERROR(__xludf.DUMMYFUNCTION("IMPORTRANGE(""https://docs.google.com/spreadsheets/d/1sbaTJIEs8I7XTpGUl1gZ8em-J48uYWx8P9XF_jnHubM/edit?gid=91456061#gid=91456061"", ""SUMMARY!$D""&amp;ROW($D78))"),"BERNADETTE C. BERNAL")</f>
        <v>BERNADETTE C. BERNAL</v>
      </c>
      <c r="F152" s="29" t="str">
        <f>IFERROR(__xludf.DUMMYFUNCTION("IMPORTRANGE(""https://docs.google.com/spreadsheets/d/1sbaTJIEs8I7XTpGUl1gZ8em-J48uYWx8P9XF_jnHubM/edit?gid=91456061#gid=91456061"", ""SUMMARY!$E""&amp;ROW($E78))"),"HUMSS")</f>
        <v>HUMSS</v>
      </c>
      <c r="G152" s="19" t="str">
        <f>IFERROR(__xludf.DUMMYFUNCTION("IMPORTRANGE(""https://docs.google.com/spreadsheets/d/1otQjWHjy3Rq_-7Ie_93jllGR_QbNz_QcBUMPB-NJUP8/edit?gid=902639746#gid=902639746"", ""CHECKING!$F""&amp;COLUMN(F364))"),"ENCODED")</f>
        <v>ENCODED</v>
      </c>
      <c r="H152" s="19" t="str">
        <f>IFERROR(__xludf.DUMMYFUNCTION("IMPORTRANGE(""https://docs.google.com/spreadsheets/d/1otQjWHjy3Rq_-7Ie_93jllGR_QbNz_QcBUMPB-NJUP8/edit?gid=902639746#gid=902639746"", ""CHECKING!$G""&amp;ROW(G364))"),"ENCODED")</f>
        <v>ENCODED</v>
      </c>
      <c r="I152" s="19" t="str">
        <f>IFERROR(__xludf.DUMMYFUNCTION("IMPORTRANGE(""https://docs.google.com/spreadsheets/d/1otQjWHjy3Rq_-7Ie_93jllGR_QbNz_QcBUMPB-NJUP8/edit?gid=902639746#gid=902639746"", ""CHECKING!$H""&amp;ROW(H364))"),"ENCODED")</f>
        <v>ENCODED</v>
      </c>
      <c r="J152" s="19" t="str">
        <f>IFERROR(__xludf.DUMMYFUNCTION("IMPORTRANGE(""https://docs.google.com/spreadsheets/d/1otQjWHjy3Rq_-7Ie_93jllGR_QbNz_QcBUMPB-NJUP8/edit?gid=902639746#gid=902639746"", ""CHECKING!$I""&amp;ROW(I364))"),"NOT ENCODED")</f>
        <v>NOT ENCODED</v>
      </c>
      <c r="K152" s="19" t="str">
        <f>IFERROR(__xludf.DUMMYFUNCTION("IMPORTRANGE(""https://docs.google.com/spreadsheets/d/1otQjWHjy3Rq_-7Ie_93jllGR_QbNz_QcBUMPB-NJUP8/edit?gid=902639746#gid=902639746"", ""CHECKING!$J""&amp;ROW(J364))"),"NOT ENCODED")</f>
        <v>NOT ENCODED</v>
      </c>
      <c r="L152" s="19" t="str">
        <f>IFERROR(__xludf.DUMMYFUNCTION("IMPORTRANGE(""https://docs.google.com/spreadsheets/d/1otQjWHjy3Rq_-7Ie_93jllGR_QbNz_QcBUMPB-NJUP8/edit?gid=902639746#gid=902639746"", ""CHECKING!$K""&amp;ROW(K364))"),"NOT ENCODED")</f>
        <v>NOT ENCODED</v>
      </c>
      <c r="M152" s="19" t="str">
        <f>IFERROR(__xludf.DUMMYFUNCTION("IMPORTRANGE(""https://docs.google.com/spreadsheets/d/1otQjWHjy3Rq_-7Ie_93jllGR_QbNz_QcBUMPB-NJUP8/edit?gid=902639746#gid=902639746"", ""CHECKING!$L""&amp;ROW(L364))"),"NOT ENCODED")</f>
        <v>NOT ENCODED</v>
      </c>
    </row>
    <row r="153">
      <c r="A153" s="26" t="s">
        <v>19</v>
      </c>
      <c r="B153" s="27">
        <f>IFERROR(__xludf.DUMMYFUNCTION("IMPORTRANGE(""https://docs.google.com/spreadsheets/d/1sbaTJIEs8I7XTpGUl1gZ8em-J48uYWx8P9XF_jnHubM/edit?gid=91456061#gid=91456061"", ""SUMMARY!$B""&amp;ROW($B79))"),72.0)</f>
        <v>72</v>
      </c>
      <c r="C153" s="27" t="str">
        <f>IFERROR(__xludf.DUMMYFUNCTION("IMPORTRANGE(""https://docs.google.com/spreadsheets/d/1sbaTJIEs8I7XTpGUl1gZ8em-J48uYWx8P9XF_jnHubM/edit?gid=91456061#gid=91456061"", ""SUMMARY!$C""&amp;ROW($C79))"),"ALS / OHSP - B")</f>
        <v>ALS / OHSP - B</v>
      </c>
      <c r="D153" s="28" t="str">
        <f>IFERROR(__xludf.DUMMYFUNCTION("IMPORTRANGE(""https://docs.google.com/spreadsheets/d/1sbaTJIEs8I7XTpGUl1gZ8em-J48uYWx8P9XF_jnHubM/edit?gid=91456061#gid=91456061"", ""SUMMARY!$F""&amp;ROW($F79))"),"COOKERY")</f>
        <v>COOKERY</v>
      </c>
      <c r="E153" s="29" t="str">
        <f>IFERROR(__xludf.DUMMYFUNCTION("IMPORTRANGE(""https://docs.google.com/spreadsheets/d/1sbaTJIEs8I7XTpGUl1gZ8em-J48uYWx8P9XF_jnHubM/edit?gid=91456061#gid=91456061"", ""SUMMARY!$D""&amp;ROW($D79))"),"CHAREDEL E. BATALUNA")</f>
        <v>CHAREDEL E. BATALUNA</v>
      </c>
      <c r="F153" s="29" t="str">
        <f>IFERROR(__xludf.DUMMYFUNCTION("IMPORTRANGE(""https://docs.google.com/spreadsheets/d/1sbaTJIEs8I7XTpGUl1gZ8em-J48uYWx8P9XF_jnHubM/edit?gid=91456061#gid=91456061"", ""SUMMARY!$E""&amp;ROW($E79))"),"ABM")</f>
        <v>ABM</v>
      </c>
      <c r="G153" s="19" t="str">
        <f>IFERROR(__xludf.DUMMYFUNCTION("IMPORTRANGE(""https://docs.google.com/spreadsheets/d/1otQjWHjy3Rq_-7Ie_93jllGR_QbNz_QcBUMPB-NJUP8/edit?gid=902639746#gid=902639746"", ""CHECKING!$F""&amp;COLUMN(F365))"),"ENCODED")</f>
        <v>ENCODED</v>
      </c>
      <c r="H153" s="19" t="str">
        <f>IFERROR(__xludf.DUMMYFUNCTION("IMPORTRANGE(""https://docs.google.com/spreadsheets/d/1otQjWHjy3Rq_-7Ie_93jllGR_QbNz_QcBUMPB-NJUP8/edit?gid=902639746#gid=902639746"", ""CHECKING!$G""&amp;ROW(G365))"),"ENCODED")</f>
        <v>ENCODED</v>
      </c>
      <c r="I153" s="19" t="str">
        <f>IFERROR(__xludf.DUMMYFUNCTION("IMPORTRANGE(""https://docs.google.com/spreadsheets/d/1otQjWHjy3Rq_-7Ie_93jllGR_QbNz_QcBUMPB-NJUP8/edit?gid=902639746#gid=902639746"", ""CHECKING!$H""&amp;ROW(H365))"),"ENCODED")</f>
        <v>ENCODED</v>
      </c>
      <c r="J153" s="19" t="str">
        <f>IFERROR(__xludf.DUMMYFUNCTION("IMPORTRANGE(""https://docs.google.com/spreadsheets/d/1otQjWHjy3Rq_-7Ie_93jllGR_QbNz_QcBUMPB-NJUP8/edit?gid=902639746#gid=902639746"", ""CHECKING!$I""&amp;ROW(I365))"),"ENCODED")</f>
        <v>ENCODED</v>
      </c>
      <c r="K153" s="19" t="str">
        <f>IFERROR(__xludf.DUMMYFUNCTION("IMPORTRANGE(""https://docs.google.com/spreadsheets/d/1otQjWHjy3Rq_-7Ie_93jllGR_QbNz_QcBUMPB-NJUP8/edit?gid=902639746#gid=902639746"", ""CHECKING!$J""&amp;ROW(J365))"),"NOT ENCODED")</f>
        <v>NOT ENCODED</v>
      </c>
      <c r="L153" s="19" t="str">
        <f>IFERROR(__xludf.DUMMYFUNCTION("IMPORTRANGE(""https://docs.google.com/spreadsheets/d/1otQjWHjy3Rq_-7Ie_93jllGR_QbNz_QcBUMPB-NJUP8/edit?gid=902639746#gid=902639746"", ""CHECKING!$K""&amp;ROW(K365))"),"NOT ENCODED")</f>
        <v>NOT ENCODED</v>
      </c>
      <c r="M153" s="19" t="str">
        <f>IFERROR(__xludf.DUMMYFUNCTION("IMPORTRANGE(""https://docs.google.com/spreadsheets/d/1otQjWHjy3Rq_-7Ie_93jllGR_QbNz_QcBUMPB-NJUP8/edit?gid=902639746#gid=902639746"", ""CHECKING!$L""&amp;ROW(L365))"),"NOT ENCODED")</f>
        <v>NOT ENCODED</v>
      </c>
    </row>
    <row r="154">
      <c r="A154" s="26" t="s">
        <v>19</v>
      </c>
      <c r="B154" s="27">
        <f>IFERROR(__xludf.DUMMYFUNCTION("IMPORTRANGE(""https://docs.google.com/spreadsheets/d/1sbaTJIEs8I7XTpGUl1gZ8em-J48uYWx8P9XF_jnHubM/edit?gid=91456061#gid=91456061"", ""SUMMARY!$B""&amp;ROW($B80))"),73.0)</f>
        <v>73</v>
      </c>
      <c r="C154" s="27" t="str">
        <f>IFERROR(__xludf.DUMMYFUNCTION("IMPORTRANGE(""https://docs.google.com/spreadsheets/d/1sbaTJIEs8I7XTpGUl1gZ8em-J48uYWx8P9XF_jnHubM/edit?gid=91456061#gid=91456061"", ""SUMMARY!$C""&amp;ROW($C80))"),"ALS / OHSP - C")</f>
        <v>ALS / OHSP - C</v>
      </c>
      <c r="D154" s="28" t="str">
        <f>IFERROR(__xludf.DUMMYFUNCTION("IMPORTRANGE(""https://docs.google.com/spreadsheets/d/1sbaTJIEs8I7XTpGUl1gZ8em-J48uYWx8P9XF_jnHubM/edit?gid=91456061#gid=91456061"", ""SUMMARY!$F""&amp;ROW($F80))"),"COOKERY")</f>
        <v>COOKERY</v>
      </c>
      <c r="E154" s="29" t="str">
        <f>IFERROR(__xludf.DUMMYFUNCTION("IMPORTRANGE(""https://docs.google.com/spreadsheets/d/1sbaTJIEs8I7XTpGUl1gZ8em-J48uYWx8P9XF_jnHubM/edit?gid=91456061#gid=91456061"", ""SUMMARY!$D""&amp;ROW($D80))"),"IRISH DANIELLE I. HALLEGADO")</f>
        <v>IRISH DANIELLE I. HALLEGADO</v>
      </c>
      <c r="F154" s="29" t="str">
        <f>IFERROR(__xludf.DUMMYFUNCTION("IMPORTRANGE(""https://docs.google.com/spreadsheets/d/1sbaTJIEs8I7XTpGUl1gZ8em-J48uYWx8P9XF_jnHubM/edit?gid=91456061#gid=91456061"", ""SUMMARY!$E""&amp;ROW($E80))"),"ENGLISH")</f>
        <v>ENGLISH</v>
      </c>
      <c r="G154" s="19" t="str">
        <f>IFERROR(__xludf.DUMMYFUNCTION("IMPORTRANGE(""https://docs.google.com/spreadsheets/d/1otQjWHjy3Rq_-7Ie_93jllGR_QbNz_QcBUMPB-NJUP8/edit?gid=902639746#gid=902639746"", ""CHECKING!$F""&amp;COLUMN(F366))"),"ENCODED")</f>
        <v>ENCODED</v>
      </c>
      <c r="H154" s="19" t="str">
        <f>IFERROR(__xludf.DUMMYFUNCTION("IMPORTRANGE(""https://docs.google.com/spreadsheets/d/1otQjWHjy3Rq_-7Ie_93jllGR_QbNz_QcBUMPB-NJUP8/edit?gid=902639746#gid=902639746"", ""CHECKING!$G""&amp;ROW(G366))"),"ENCODED")</f>
        <v>ENCODED</v>
      </c>
      <c r="I154" s="19" t="str">
        <f>IFERROR(__xludf.DUMMYFUNCTION("IMPORTRANGE(""https://docs.google.com/spreadsheets/d/1otQjWHjy3Rq_-7Ie_93jllGR_QbNz_QcBUMPB-NJUP8/edit?gid=902639746#gid=902639746"", ""CHECKING!$H""&amp;ROW(H366))"),"ENCODED")</f>
        <v>ENCODED</v>
      </c>
      <c r="J154" s="19" t="str">
        <f>IFERROR(__xludf.DUMMYFUNCTION("IMPORTRANGE(""https://docs.google.com/spreadsheets/d/1otQjWHjy3Rq_-7Ie_93jllGR_QbNz_QcBUMPB-NJUP8/edit?gid=902639746#gid=902639746"", ""CHECKING!$I""&amp;ROW(I366))"),"NOT ENCODED")</f>
        <v>NOT ENCODED</v>
      </c>
      <c r="K154" s="19" t="str">
        <f>IFERROR(__xludf.DUMMYFUNCTION("IMPORTRANGE(""https://docs.google.com/spreadsheets/d/1otQjWHjy3Rq_-7Ie_93jllGR_QbNz_QcBUMPB-NJUP8/edit?gid=902639746#gid=902639746"", ""CHECKING!$J""&amp;ROW(J366))"),"NOT ENCODED")</f>
        <v>NOT ENCODED</v>
      </c>
      <c r="L154" s="19" t="str">
        <f>IFERROR(__xludf.DUMMYFUNCTION("IMPORTRANGE(""https://docs.google.com/spreadsheets/d/1otQjWHjy3Rq_-7Ie_93jllGR_QbNz_QcBUMPB-NJUP8/edit?gid=902639746#gid=902639746"", ""CHECKING!$K""&amp;ROW(K366))"),"NOT ENCODED")</f>
        <v>NOT ENCODED</v>
      </c>
      <c r="M154" s="19" t="str">
        <f>IFERROR(__xludf.DUMMYFUNCTION("IMPORTRANGE(""https://docs.google.com/spreadsheets/d/1otQjWHjy3Rq_-7Ie_93jllGR_QbNz_QcBUMPB-NJUP8/edit?gid=902639746#gid=902639746"", ""CHECKING!$L""&amp;ROW(L366))"),"NOT ENCODED")</f>
        <v>NOT ENCODED</v>
      </c>
    </row>
    <row r="155">
      <c r="A155" s="30" t="s">
        <v>18</v>
      </c>
      <c r="B155" s="11"/>
      <c r="C155" s="11"/>
      <c r="D155" s="11"/>
      <c r="E155" s="8"/>
      <c r="F155" s="31">
        <f>COUNTA(F82:F154)</f>
        <v>73</v>
      </c>
      <c r="G155" s="32">
        <f t="shared" ref="G155:M155" si="2">COUNTIF(G82:G154,"ENCODED")</f>
        <v>73</v>
      </c>
      <c r="H155" s="32">
        <f t="shared" si="2"/>
        <v>73</v>
      </c>
      <c r="I155" s="32">
        <f t="shared" si="2"/>
        <v>73</v>
      </c>
      <c r="J155" s="32">
        <f t="shared" si="2"/>
        <v>36</v>
      </c>
      <c r="K155" s="32">
        <f t="shared" si="2"/>
        <v>7</v>
      </c>
      <c r="L155" s="32">
        <f t="shared" si="2"/>
        <v>0</v>
      </c>
      <c r="M155" s="32">
        <f t="shared" si="2"/>
        <v>0</v>
      </c>
    </row>
    <row r="156">
      <c r="A156" s="33"/>
      <c r="B156" s="34"/>
      <c r="C156" s="34"/>
      <c r="D156" s="34"/>
      <c r="E156" s="33"/>
      <c r="F156" s="33"/>
      <c r="G156" s="35"/>
      <c r="H156" s="36"/>
      <c r="I156" s="36"/>
      <c r="J156" s="36"/>
      <c r="K156" s="36"/>
      <c r="L156" s="36"/>
      <c r="M156" s="36"/>
    </row>
    <row r="157" ht="30.75" customHeight="1">
      <c r="A157" s="37"/>
      <c r="B157" s="38"/>
      <c r="C157" s="38"/>
      <c r="D157" s="38"/>
      <c r="E157" s="39" t="s">
        <v>9</v>
      </c>
      <c r="F157" s="40" t="s">
        <v>20</v>
      </c>
      <c r="G157" s="41" t="s">
        <v>21</v>
      </c>
      <c r="H157" s="11"/>
      <c r="I157" s="11"/>
      <c r="J157" s="11"/>
      <c r="K157" s="11"/>
      <c r="L157" s="11"/>
      <c r="M157" s="8"/>
    </row>
    <row r="158">
      <c r="A158" s="34"/>
      <c r="B158" s="34"/>
      <c r="C158" s="34"/>
      <c r="D158" s="34"/>
      <c r="E158" s="42"/>
      <c r="F158" s="42"/>
      <c r="G158" s="43" t="s">
        <v>10</v>
      </c>
      <c r="H158" s="43" t="s">
        <v>11</v>
      </c>
      <c r="I158" s="43" t="s">
        <v>12</v>
      </c>
      <c r="J158" s="43" t="s">
        <v>13</v>
      </c>
      <c r="K158" s="43" t="s">
        <v>14</v>
      </c>
      <c r="L158" s="43" t="s">
        <v>15</v>
      </c>
      <c r="M158" s="43" t="s">
        <v>16</v>
      </c>
    </row>
    <row r="159">
      <c r="A159" s="34"/>
      <c r="B159" s="34"/>
      <c r="C159" s="34"/>
      <c r="D159" s="34"/>
      <c r="E159" s="44" t="s">
        <v>22</v>
      </c>
      <c r="F159" s="45">
        <f>COUNTIF(F$8:F$154, "ABM")</f>
        <v>23</v>
      </c>
      <c r="G159" s="46">
        <f t="shared" ref="G159:M159" si="3">COUNTIFS($F$8:$F$154, "ABM", G$8:G$154, "ENCODED")</f>
        <v>23</v>
      </c>
      <c r="H159" s="46">
        <f t="shared" si="3"/>
        <v>23</v>
      </c>
      <c r="I159" s="46">
        <f t="shared" si="3"/>
        <v>23</v>
      </c>
      <c r="J159" s="46">
        <f t="shared" si="3"/>
        <v>13</v>
      </c>
      <c r="K159" s="46">
        <f t="shared" si="3"/>
        <v>3</v>
      </c>
      <c r="L159" s="46">
        <f t="shared" si="3"/>
        <v>0</v>
      </c>
      <c r="M159" s="46">
        <f t="shared" si="3"/>
        <v>0</v>
      </c>
    </row>
    <row r="160">
      <c r="A160" s="47"/>
      <c r="B160" s="34"/>
      <c r="C160" s="34"/>
      <c r="D160" s="34"/>
      <c r="E160" s="44" t="s">
        <v>23</v>
      </c>
      <c r="F160" s="45">
        <f>COUNTIF(F$8:F$154, "ENGLISH")</f>
        <v>48</v>
      </c>
      <c r="G160" s="46">
        <f t="shared" ref="G160:M160" si="4">COUNTIFS($F$8:$F$154, "ENGLISH", G$8:G$154, "ENCODED")</f>
        <v>48</v>
      </c>
      <c r="H160" s="46">
        <f t="shared" si="4"/>
        <v>48</v>
      </c>
      <c r="I160" s="46">
        <f t="shared" si="4"/>
        <v>48</v>
      </c>
      <c r="J160" s="46">
        <f t="shared" si="4"/>
        <v>24</v>
      </c>
      <c r="K160" s="46">
        <f t="shared" si="4"/>
        <v>3</v>
      </c>
      <c r="L160" s="46">
        <f t="shared" si="4"/>
        <v>0</v>
      </c>
      <c r="M160" s="46">
        <f t="shared" si="4"/>
        <v>0</v>
      </c>
    </row>
    <row r="161" ht="18.0" customHeight="1">
      <c r="A161" s="48"/>
      <c r="B161" s="34"/>
      <c r="C161" s="34"/>
      <c r="D161" s="34"/>
      <c r="E161" s="44" t="s">
        <v>24</v>
      </c>
      <c r="F161" s="45">
        <f>COUNTIF(F$8:F$154, "ESP")</f>
        <v>3</v>
      </c>
      <c r="G161" s="46">
        <f t="shared" ref="G161:M161" si="5">COUNTIFS($F$8:$F$154, "ESP", G$8:G$154, "ENCODED")</f>
        <v>3</v>
      </c>
      <c r="H161" s="46">
        <f t="shared" si="5"/>
        <v>3</v>
      </c>
      <c r="I161" s="46">
        <f t="shared" si="5"/>
        <v>3</v>
      </c>
      <c r="J161" s="46">
        <f t="shared" si="5"/>
        <v>2</v>
      </c>
      <c r="K161" s="46">
        <f t="shared" si="5"/>
        <v>0</v>
      </c>
      <c r="L161" s="46">
        <f t="shared" si="5"/>
        <v>0</v>
      </c>
      <c r="M161" s="46">
        <f t="shared" si="5"/>
        <v>0</v>
      </c>
    </row>
    <row r="162">
      <c r="A162" s="34"/>
      <c r="B162" s="34"/>
      <c r="C162" s="34"/>
      <c r="D162" s="34"/>
      <c r="E162" s="44" t="s">
        <v>25</v>
      </c>
      <c r="F162" s="45">
        <f>COUNTIF(F$8:F$154, "FILIPINO")</f>
        <v>16</v>
      </c>
      <c r="G162" s="46">
        <f t="shared" ref="G162:M162" si="6">COUNTIFS($F$8:$F$154, "FILIPINO", G$8:G$154, "ENCODED")</f>
        <v>16</v>
      </c>
      <c r="H162" s="46">
        <f t="shared" si="6"/>
        <v>16</v>
      </c>
      <c r="I162" s="46">
        <f t="shared" si="6"/>
        <v>16</v>
      </c>
      <c r="J162" s="46">
        <f t="shared" si="6"/>
        <v>9</v>
      </c>
      <c r="K162" s="46">
        <f t="shared" si="6"/>
        <v>0</v>
      </c>
      <c r="L162" s="46">
        <f t="shared" si="6"/>
        <v>0</v>
      </c>
      <c r="M162" s="46">
        <f t="shared" si="6"/>
        <v>0</v>
      </c>
    </row>
    <row r="163">
      <c r="A163" s="34"/>
      <c r="B163" s="34"/>
      <c r="C163" s="34"/>
      <c r="D163" s="34"/>
      <c r="E163" s="44" t="s">
        <v>26</v>
      </c>
      <c r="F163" s="45">
        <f>COUNTIF(F$8:F$154, "HUMSS")</f>
        <v>21</v>
      </c>
      <c r="G163" s="46">
        <f t="shared" ref="G163:M163" si="7">COUNTIFS($F$8:$F$154, "HUMSS", G$8:G$154, "ENCODED")</f>
        <v>21</v>
      </c>
      <c r="H163" s="46">
        <f t="shared" si="7"/>
        <v>21</v>
      </c>
      <c r="I163" s="46">
        <f t="shared" si="7"/>
        <v>21</v>
      </c>
      <c r="J163" s="46">
        <f t="shared" si="7"/>
        <v>7</v>
      </c>
      <c r="K163" s="46">
        <f t="shared" si="7"/>
        <v>0</v>
      </c>
      <c r="L163" s="46">
        <f t="shared" si="7"/>
        <v>0</v>
      </c>
      <c r="M163" s="46">
        <f t="shared" si="7"/>
        <v>0</v>
      </c>
    </row>
    <row r="164">
      <c r="A164" s="34"/>
      <c r="B164" s="34"/>
      <c r="C164" s="34"/>
      <c r="D164" s="34"/>
      <c r="E164" s="44" t="s">
        <v>27</v>
      </c>
      <c r="F164" s="45">
        <f>COUNTIF(F$8:F$154, "MATH")</f>
        <v>11</v>
      </c>
      <c r="G164" s="46">
        <f t="shared" ref="G164:M164" si="8">COUNTIFS($F$8:$F$154, "MATH", G$8:G$154, "ENCODED")</f>
        <v>11</v>
      </c>
      <c r="H164" s="46">
        <f t="shared" si="8"/>
        <v>11</v>
      </c>
      <c r="I164" s="46">
        <f t="shared" si="8"/>
        <v>11</v>
      </c>
      <c r="J164" s="46">
        <f t="shared" si="8"/>
        <v>3</v>
      </c>
      <c r="K164" s="46">
        <f t="shared" si="8"/>
        <v>1</v>
      </c>
      <c r="L164" s="46">
        <f t="shared" si="8"/>
        <v>0</v>
      </c>
      <c r="M164" s="46">
        <f t="shared" si="8"/>
        <v>0</v>
      </c>
    </row>
    <row r="165">
      <c r="A165" s="34"/>
      <c r="B165" s="34"/>
      <c r="C165" s="34"/>
      <c r="D165" s="34"/>
      <c r="E165" s="44" t="s">
        <v>28</v>
      </c>
      <c r="F165" s="45">
        <f>COUNTIF(F$8:F$154, "SCIENCE")</f>
        <v>18</v>
      </c>
      <c r="G165" s="46">
        <f t="shared" ref="G165:M165" si="9">COUNTIFS($F$8:$F$154, "SCIENCE", G$8:G$154, "ENCODED")</f>
        <v>18</v>
      </c>
      <c r="H165" s="46">
        <f t="shared" si="9"/>
        <v>18</v>
      </c>
      <c r="I165" s="46">
        <f t="shared" si="9"/>
        <v>18</v>
      </c>
      <c r="J165" s="46">
        <f t="shared" si="9"/>
        <v>11</v>
      </c>
      <c r="K165" s="46">
        <f t="shared" si="9"/>
        <v>1</v>
      </c>
      <c r="L165" s="46">
        <f t="shared" si="9"/>
        <v>0</v>
      </c>
      <c r="M165" s="46">
        <f t="shared" si="9"/>
        <v>0</v>
      </c>
    </row>
    <row r="166">
      <c r="A166" s="34"/>
      <c r="B166" s="34"/>
      <c r="C166" s="34"/>
      <c r="D166" s="34"/>
      <c r="E166" s="49" t="s">
        <v>29</v>
      </c>
      <c r="F166" s="50">
        <f>COUNTIF(F$8:F$154, "TVL - ICT")</f>
        <v>4</v>
      </c>
      <c r="G166" s="51">
        <f t="shared" ref="G166:M166" si="10">COUNTIFS($F$8:$F$154, "TVL - ICT", G$8:G$154, "ENCODED")</f>
        <v>4</v>
      </c>
      <c r="H166" s="51">
        <f t="shared" si="10"/>
        <v>4</v>
      </c>
      <c r="I166" s="51">
        <f t="shared" si="10"/>
        <v>4</v>
      </c>
      <c r="J166" s="51">
        <f t="shared" si="10"/>
        <v>2</v>
      </c>
      <c r="K166" s="51">
        <f t="shared" si="10"/>
        <v>0</v>
      </c>
      <c r="L166" s="51">
        <f t="shared" si="10"/>
        <v>0</v>
      </c>
      <c r="M166" s="51">
        <f t="shared" si="10"/>
        <v>0</v>
      </c>
    </row>
    <row r="167">
      <c r="A167" s="34"/>
      <c r="B167" s="34"/>
      <c r="C167" s="34"/>
      <c r="D167" s="34"/>
      <c r="E167" s="52" t="s">
        <v>18</v>
      </c>
      <c r="F167" s="53">
        <f t="shared" ref="F167:M167" si="11">SUM(F159:F166)</f>
        <v>144</v>
      </c>
      <c r="G167" s="53">
        <f t="shared" si="11"/>
        <v>144</v>
      </c>
      <c r="H167" s="53">
        <f t="shared" si="11"/>
        <v>144</v>
      </c>
      <c r="I167" s="53">
        <f t="shared" si="11"/>
        <v>144</v>
      </c>
      <c r="J167" s="53">
        <f t="shared" si="11"/>
        <v>71</v>
      </c>
      <c r="K167" s="53">
        <f t="shared" si="11"/>
        <v>8</v>
      </c>
      <c r="L167" s="53">
        <f t="shared" si="11"/>
        <v>0</v>
      </c>
      <c r="M167" s="53">
        <f t="shared" si="11"/>
        <v>0</v>
      </c>
    </row>
    <row r="168">
      <c r="A168" s="34"/>
      <c r="B168" s="34"/>
      <c r="C168" s="34"/>
      <c r="D168" s="34"/>
      <c r="E168" s="33"/>
      <c r="F168" s="54"/>
      <c r="G168" s="55"/>
      <c r="H168" s="55"/>
      <c r="I168" s="55"/>
      <c r="J168" s="55"/>
      <c r="K168" s="55"/>
      <c r="L168" s="55"/>
      <c r="M168" s="55"/>
    </row>
    <row r="169">
      <c r="C169" s="56" t="s">
        <v>30</v>
      </c>
      <c r="D169" s="56"/>
      <c r="E169" s="57"/>
      <c r="F169" s="57" t="s">
        <v>31</v>
      </c>
      <c r="H169" s="56"/>
      <c r="I169" s="56"/>
      <c r="J169" s="34" t="s">
        <v>32</v>
      </c>
      <c r="K169" s="34"/>
      <c r="L169" s="55"/>
      <c r="M169" s="55"/>
    </row>
    <row r="170">
      <c r="C170" s="56"/>
      <c r="D170" s="56"/>
      <c r="E170" s="56"/>
      <c r="F170" s="57"/>
      <c r="H170" s="56"/>
      <c r="I170" s="56"/>
      <c r="J170" s="34"/>
      <c r="K170" s="34"/>
      <c r="L170" s="55"/>
      <c r="M170" s="55"/>
    </row>
    <row r="171">
      <c r="C171" s="58" t="s">
        <v>33</v>
      </c>
      <c r="D171" s="56"/>
      <c r="E171" s="57"/>
      <c r="F171" s="59" t="s">
        <v>34</v>
      </c>
      <c r="H171" s="56"/>
      <c r="I171" s="56"/>
      <c r="J171" s="54" t="s">
        <v>35</v>
      </c>
      <c r="K171" s="34"/>
      <c r="L171" s="55"/>
      <c r="M171" s="55"/>
    </row>
    <row r="172">
      <c r="C172" s="60" t="s">
        <v>36</v>
      </c>
      <c r="D172" s="56"/>
      <c r="E172" s="56"/>
      <c r="F172" s="57" t="s">
        <v>37</v>
      </c>
      <c r="H172" s="56"/>
      <c r="I172" s="56"/>
      <c r="J172" s="34" t="s">
        <v>38</v>
      </c>
      <c r="K172" s="34"/>
      <c r="L172" s="55"/>
      <c r="M172" s="55"/>
    </row>
    <row r="173">
      <c r="C173" s="56"/>
      <c r="D173" s="56"/>
      <c r="E173" s="56"/>
      <c r="F173" s="57"/>
      <c r="H173" s="56"/>
      <c r="I173" s="56"/>
      <c r="J173" s="56"/>
      <c r="K173" s="56"/>
      <c r="L173" s="55"/>
      <c r="M173" s="55"/>
    </row>
    <row r="174">
      <c r="C174" s="56"/>
      <c r="D174" s="56"/>
      <c r="E174" s="56"/>
      <c r="F174" s="59" t="s">
        <v>39</v>
      </c>
      <c r="I174" s="56"/>
      <c r="J174" s="56"/>
      <c r="K174" s="56"/>
      <c r="L174" s="55"/>
      <c r="M174" s="55"/>
    </row>
    <row r="175">
      <c r="C175" s="56"/>
      <c r="D175" s="56"/>
      <c r="E175" s="56"/>
      <c r="F175" s="57" t="s">
        <v>40</v>
      </c>
      <c r="I175" s="56"/>
      <c r="J175" s="56"/>
      <c r="K175" s="56"/>
      <c r="L175" s="55"/>
      <c r="M175" s="55"/>
    </row>
    <row r="176">
      <c r="C176" s="56"/>
      <c r="D176" s="56"/>
      <c r="E176" s="56"/>
      <c r="F176" s="56"/>
      <c r="G176" s="57"/>
      <c r="H176" s="56"/>
      <c r="I176" s="34"/>
      <c r="J176" s="34"/>
      <c r="K176" s="34"/>
      <c r="L176" s="55"/>
      <c r="M176" s="55"/>
    </row>
    <row r="178">
      <c r="A178" s="61" t="s">
        <v>41</v>
      </c>
      <c r="C178" s="56"/>
      <c r="D178" s="56"/>
      <c r="E178" s="56"/>
      <c r="F178" s="56"/>
      <c r="G178" s="57"/>
      <c r="H178" s="56"/>
      <c r="I178" s="34"/>
      <c r="J178" s="34"/>
      <c r="K178" s="34"/>
      <c r="L178" s="55"/>
      <c r="M178" s="55"/>
    </row>
    <row r="179" hidden="1">
      <c r="C179" s="56"/>
      <c r="D179" s="56"/>
      <c r="E179" s="56"/>
      <c r="F179" s="56"/>
      <c r="G179" s="57"/>
      <c r="H179" s="56"/>
      <c r="I179" s="34"/>
      <c r="J179" s="34"/>
      <c r="K179" s="34"/>
      <c r="L179" s="55"/>
      <c r="M179" s="55"/>
    </row>
    <row r="180" hidden="1">
      <c r="C180" s="56"/>
      <c r="D180" s="56"/>
      <c r="E180" s="56"/>
      <c r="F180" s="56"/>
      <c r="G180" s="57"/>
      <c r="H180" s="56"/>
      <c r="I180" s="34"/>
      <c r="J180" s="34"/>
      <c r="K180" s="34"/>
      <c r="L180" s="55"/>
      <c r="M180" s="55"/>
    </row>
    <row r="181" hidden="1">
      <c r="C181" s="56"/>
      <c r="D181" s="56"/>
      <c r="E181" s="56"/>
      <c r="F181" s="56"/>
      <c r="G181" s="57"/>
      <c r="H181" s="56"/>
      <c r="I181" s="34"/>
      <c r="J181" s="34"/>
      <c r="K181" s="34"/>
      <c r="L181" s="55"/>
      <c r="M181" s="55"/>
    </row>
  </sheetData>
  <mergeCells count="13">
    <mergeCell ref="A80:E80"/>
    <mergeCell ref="A81:F81"/>
    <mergeCell ref="A155:E155"/>
    <mergeCell ref="E157:E158"/>
    <mergeCell ref="F157:F158"/>
    <mergeCell ref="G157:M157"/>
    <mergeCell ref="A1:M1"/>
    <mergeCell ref="A2:M2"/>
    <mergeCell ref="A3:M3"/>
    <mergeCell ref="A4:M4"/>
    <mergeCell ref="A5:M5"/>
    <mergeCell ref="B7:C7"/>
    <mergeCell ref="A8:F8"/>
  </mergeCells>
  <conditionalFormatting sqref="G9:M79 G82:M154">
    <cfRule type="cellIs" dxfId="0" priority="1" operator="equal">
      <formula>"ENCODED"</formula>
    </cfRule>
  </conditionalFormatting>
  <conditionalFormatting sqref="G159:M167">
    <cfRule type="expression" dxfId="0" priority="2">
      <formula>G159=$F159</formula>
    </cfRule>
  </conditionalFormatting>
  <drawing r:id="rId1"/>
</worksheet>
</file>