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SHBOARD" sheetId="1" r:id="rId4"/>
    <sheet state="visible" name="ABM" sheetId="2" r:id="rId5"/>
    <sheet state="visible" name="ENG" sheetId="3" r:id="rId6"/>
    <sheet state="hidden" name="SHS-NUMBER" sheetId="4" r:id="rId7"/>
    <sheet state="visible" name="ESP" sheetId="5" r:id="rId8"/>
    <sheet state="visible" name="FIL" sheetId="6" r:id="rId9"/>
    <sheet state="visible" name="HumSS" sheetId="7" r:id="rId10"/>
    <sheet state="visible" name="MATH" sheetId="8" r:id="rId11"/>
    <sheet state="visible" name="PE" sheetId="9" r:id="rId12"/>
    <sheet state="visible" name="SCI" sheetId="10" r:id="rId13"/>
    <sheet state="visible" name="TVL" sheetId="11" r:id="rId14"/>
    <sheet state="visible" name="SHS- CONSO" sheetId="12" r:id="rId15"/>
  </sheets>
  <definedNames/>
  <calcPr/>
</workbook>
</file>

<file path=xl/sharedStrings.xml><?xml version="1.0" encoding="utf-8"?>
<sst xmlns="http://schemas.openxmlformats.org/spreadsheetml/2006/main" count="844" uniqueCount="170">
  <si>
    <t>SCHOOLS DIVISION OF PARANAQUE CITY</t>
  </si>
  <si>
    <t>PARANAQUE NATIONAL HIGH SCHOOL - MAIN</t>
  </si>
  <si>
    <t>SENIOR HIGH SCHOOL PROGRAM</t>
  </si>
  <si>
    <t>ASSESSMENT PERFORMANCE METRICS (MEAN, MPS, SD)</t>
  </si>
  <si>
    <t>SY 2025-2026</t>
  </si>
  <si>
    <t xml:space="preserve"> </t>
  </si>
  <si>
    <t>ASSESSMENT</t>
  </si>
  <si>
    <t>1ST PERIODIC TEST</t>
  </si>
  <si>
    <t>ABM</t>
  </si>
  <si>
    <t xml:space="preserve">GRADE LEVEL </t>
  </si>
  <si>
    <t>Enrollment based on LIS</t>
  </si>
  <si>
    <t>Number of Test Takers</t>
  </si>
  <si>
    <t>% of Test Takers</t>
  </si>
  <si>
    <t>Total Test Items</t>
  </si>
  <si>
    <t>Highest Scores</t>
  </si>
  <si>
    <t>Lowest Scores</t>
  </si>
  <si>
    <t>MEAN</t>
  </si>
  <si>
    <t>MPS</t>
  </si>
  <si>
    <t>SD</t>
  </si>
  <si>
    <t>TOP 5 ITEMS WITH THE MOST NUMBER OF INCORRECT RESPONSES</t>
  </si>
  <si>
    <t>Male</t>
  </si>
  <si>
    <t>Female</t>
  </si>
  <si>
    <t>Total</t>
  </si>
  <si>
    <t>Rank 1</t>
  </si>
  <si>
    <t>Rank 2</t>
  </si>
  <si>
    <t>Rank 3</t>
  </si>
  <si>
    <t>Rank 4</t>
  </si>
  <si>
    <t>Rank 5</t>
  </si>
  <si>
    <t>APPLIED SUBJECTS</t>
  </si>
  <si>
    <t>Entrepreneurship</t>
  </si>
  <si>
    <t>N/A</t>
  </si>
  <si>
    <t>SPECIALIZED SUBJECTS</t>
  </si>
  <si>
    <t>Applied Economics</t>
  </si>
  <si>
    <t>Business Ethics and Social Responsibility</t>
  </si>
  <si>
    <t>Business Finance</t>
  </si>
  <si>
    <t>Business Mathematics</t>
  </si>
  <si>
    <t>Fundamentals of Accountancy 1</t>
  </si>
  <si>
    <t>Fundamentals of Accountancy 2</t>
  </si>
  <si>
    <t>Organization and Management</t>
  </si>
  <si>
    <t>Principles of Marketing</t>
  </si>
  <si>
    <t>TOTAL</t>
  </si>
  <si>
    <t>ENGLISH</t>
  </si>
  <si>
    <t>CORE SUBJECTS</t>
  </si>
  <si>
    <t>21st Century Literature from the Philippines and the World</t>
  </si>
  <si>
    <t>Media and Information Literacy</t>
  </si>
  <si>
    <t>Oral Communication in Context</t>
  </si>
  <si>
    <t>Reading and Writing Skills</t>
  </si>
  <si>
    <t>English for Academic and Professional Purposes</t>
  </si>
  <si>
    <t>Research Project / Inquiries, Immersion, Investigation</t>
  </si>
  <si>
    <t>Practical Research 1</t>
  </si>
  <si>
    <t>Practical Research 2</t>
  </si>
  <si>
    <t>Creative Non-Fiction</t>
  </si>
  <si>
    <t>Creative Writing</t>
  </si>
  <si>
    <t>CONSOLIDATED SUMMARY OF TEST RESULTS ANALYSIS (MEAN, MPS, SD)</t>
  </si>
  <si>
    <t>PRE-TEST</t>
  </si>
  <si>
    <t>GRADE 11</t>
  </si>
  <si>
    <t>GRADE 12</t>
  </si>
  <si>
    <t>Contemporary Philippine Arts from the Region</t>
  </si>
  <si>
    <t>Disaster RIsk Reduction and Management</t>
  </si>
  <si>
    <t>Earth Science</t>
  </si>
  <si>
    <t>Earth and Life Science</t>
  </si>
  <si>
    <t>General Mathematics</t>
  </si>
  <si>
    <t>Introduction to the Philosophy of the Human Person</t>
  </si>
  <si>
    <t>Komunikasyon at Pananaliksik sa Wika at Kulturang Pilipino</t>
  </si>
  <si>
    <t>Pagbasa at Pagsusuri ng Iba't-ibang Teksto Tungo sa Pananaliksik</t>
  </si>
  <si>
    <t>Personal Development</t>
  </si>
  <si>
    <t>Physical Education and Health 1 and 2</t>
  </si>
  <si>
    <t>Physical Education and Health 3 and 4</t>
  </si>
  <si>
    <t>Physical Science</t>
  </si>
  <si>
    <t>Statistics and Probability</t>
  </si>
  <si>
    <t>Understanding Culture Society and Politics</t>
  </si>
  <si>
    <t>Empowerment Technologies: ICT for Professional Track</t>
  </si>
  <si>
    <t>Pagsulat sa Filipino sa Piling Larangan</t>
  </si>
  <si>
    <t>Fundamentals of Accountancy, Business and Management 1</t>
  </si>
  <si>
    <t>Fundamentals of Accountancy, Business and Management 2</t>
  </si>
  <si>
    <t>HUMSS</t>
  </si>
  <si>
    <t>Community Engagement, Solidarity and Citizenship</t>
  </si>
  <si>
    <t>Disciplines and Ideas in Applied Social Sciences</t>
  </si>
  <si>
    <t>Disciplines and Ideas in Social Sciences</t>
  </si>
  <si>
    <t>Introduction to World Religions and Beliefs System</t>
  </si>
  <si>
    <t>Philippine Politics and Governance</t>
  </si>
  <si>
    <t>Trends, Network and Critical Thinking</t>
  </si>
  <si>
    <t>STEM</t>
  </si>
  <si>
    <t>Basic Calculus</t>
  </si>
  <si>
    <t>General Biology 1</t>
  </si>
  <si>
    <t>General Biology 2</t>
  </si>
  <si>
    <t>General Chemistry 1</t>
  </si>
  <si>
    <t>General Chemistry 2</t>
  </si>
  <si>
    <t>General Physics 1</t>
  </si>
  <si>
    <t>General Physics 2</t>
  </si>
  <si>
    <t>Pre-Calculus</t>
  </si>
  <si>
    <t>AUTOMOTIVE SERVICING</t>
  </si>
  <si>
    <t>Automotive Servicing 1</t>
  </si>
  <si>
    <t>Automotive Servicing 2</t>
  </si>
  <si>
    <t>Automotive Servicing 3</t>
  </si>
  <si>
    <t>Automotive Servicing 4</t>
  </si>
  <si>
    <t>BEAUTY CARE / HAIRDESSING</t>
  </si>
  <si>
    <t>Beauty Care Full Qualification 1</t>
  </si>
  <si>
    <t>Beauty Care Full Qualification 2</t>
  </si>
  <si>
    <t>Beauty Care Full Qualification 3</t>
  </si>
  <si>
    <t>Beauty Care Full Qualification 4</t>
  </si>
  <si>
    <t>COOKERY</t>
  </si>
  <si>
    <t>Cookery 1</t>
  </si>
  <si>
    <t>Cookery 2</t>
  </si>
  <si>
    <t>Cookery 3 - Bread and Pastry Production</t>
  </si>
  <si>
    <t>Cookery 4 - Food and Beverage Services</t>
  </si>
  <si>
    <t>DRESSMAKING / TAILORING</t>
  </si>
  <si>
    <t>Dressmaking 1</t>
  </si>
  <si>
    <t>Dressmaking 2</t>
  </si>
  <si>
    <t>Dressmaking 3</t>
  </si>
  <si>
    <t>Dressmaking 4</t>
  </si>
  <si>
    <t>ELECTRICAL INSTALLATION AND MAINTENANCE</t>
  </si>
  <si>
    <t>Electrical Installation and Maintenance 1</t>
  </si>
  <si>
    <t>Electrical Installation and Maintenance 2</t>
  </si>
  <si>
    <t>Electrical Installation and Maintenance 3</t>
  </si>
  <si>
    <t>Electrical Installation and Maintenance 4</t>
  </si>
  <si>
    <t>ELECTRONIC PRODUCTS ASSEMBLY AND SERVICING</t>
  </si>
  <si>
    <t>Electronic Products Assembly and Servicing 1</t>
  </si>
  <si>
    <t>Electronic Products Assembly and Servicing 2</t>
  </si>
  <si>
    <t>Electronic Products Assembly and Servicing 3</t>
  </si>
  <si>
    <t>Electronic Products Assembly and Servicing 4</t>
  </si>
  <si>
    <t>COMPUTER SYSTEM SERVICING</t>
  </si>
  <si>
    <t>Computer System Servicing 1</t>
  </si>
  <si>
    <t>Computer System Servicing 2</t>
  </si>
  <si>
    <t>Computer System Servicing 3</t>
  </si>
  <si>
    <t>Computer System Servicing 4</t>
  </si>
  <si>
    <t>EDUKASYON SA PAGPAPAKATAO</t>
  </si>
  <si>
    <t>FILIPINO</t>
  </si>
  <si>
    <t>B</t>
  </si>
  <si>
    <t>MATH</t>
  </si>
  <si>
    <t>PE</t>
  </si>
  <si>
    <t>PE 1 and 2</t>
  </si>
  <si>
    <t>PE 3 and 4</t>
  </si>
  <si>
    <t>SCIENCE</t>
  </si>
  <si>
    <t>Disaster Risk Reduction Management</t>
  </si>
  <si>
    <t>TVL</t>
  </si>
  <si>
    <t>Beauty Care 1</t>
  </si>
  <si>
    <t>Beauty Care 2</t>
  </si>
  <si>
    <t>Beauty Care 3</t>
  </si>
  <si>
    <t>Beauty Care 4</t>
  </si>
  <si>
    <t>Cookery 3</t>
  </si>
  <si>
    <t>Cookery 4</t>
  </si>
  <si>
    <t>EIM 1</t>
  </si>
  <si>
    <t>EIM 2</t>
  </si>
  <si>
    <t>EIM 3</t>
  </si>
  <si>
    <t>EIM 4</t>
  </si>
  <si>
    <t>EPAS 1</t>
  </si>
  <si>
    <t>EPAS 2</t>
  </si>
  <si>
    <t>EPAS 3</t>
  </si>
  <si>
    <t>EPAS 4</t>
  </si>
  <si>
    <t>CSS 1 &amp; CSS 2</t>
  </si>
  <si>
    <t>CSS 2</t>
  </si>
  <si>
    <t>CSS 5 &amp; CSS 6</t>
  </si>
  <si>
    <t>CSS 4</t>
  </si>
  <si>
    <t>Disaster Risk Reduction and Management</t>
  </si>
  <si>
    <t>TVE - TOTAL</t>
  </si>
  <si>
    <t xml:space="preserve">Prepared by: </t>
  </si>
  <si>
    <t>Submitted to:</t>
  </si>
  <si>
    <t>Noted by:</t>
  </si>
  <si>
    <t>Approved by:</t>
  </si>
  <si>
    <t>EDGARDO JR. VIADOR</t>
  </si>
  <si>
    <t>LEMARK B. VILORIA</t>
  </si>
  <si>
    <t>Dr. ZENAIDA N. REGODON</t>
  </si>
  <si>
    <t>GERRY A. LUMABAN</t>
  </si>
  <si>
    <t>SHS LIS/BEIS Coordinator</t>
  </si>
  <si>
    <t>Registrar</t>
  </si>
  <si>
    <t>Assistant School Principal II</t>
  </si>
  <si>
    <t>School Principal IV</t>
  </si>
  <si>
    <t>RODEL H. VALLEJOS</t>
  </si>
  <si>
    <t>Assistant to the Principal- SHS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</si>
</sst>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0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b/>
      <sz val="10.0"/>
      <color rgb="FFFFFFFF"/>
      <name val="Arial"/>
    </font>
    <font>
      <b/>
      <sz val="12.0"/>
      <color rgb="FFFFFF00"/>
      <name val="Arial"/>
    </font>
    <font>
      <b/>
      <sz val="11.0"/>
      <color rgb="FFFFFFFF"/>
      <name val="Arial"/>
    </font>
    <font>
      <sz val="10.0"/>
      <color theme="1"/>
      <name val="Arial"/>
    </font>
    <font/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b/>
      <sz val="10.0"/>
      <color rgb="FF0000FF"/>
      <name val="Arial"/>
    </font>
    <font>
      <sz val="10.0"/>
      <color rgb="FFFFFFFF"/>
      <name val="Arial"/>
    </font>
    <font>
      <b/>
      <color theme="1"/>
      <name val="Arial"/>
    </font>
    <font>
      <i/>
      <color theme="1"/>
      <name val="Arial"/>
    </font>
    <font>
      <i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00045E"/>
        <bgColor rgb="FF00045E"/>
      </patternFill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90D5FF"/>
        <bgColor rgb="FF90D5FF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1155CC"/>
        <bgColor rgb="FF1155CC"/>
      </patternFill>
    </fill>
    <fill>
      <patternFill patternType="solid">
        <fgColor rgb="FFBDFFDF"/>
        <bgColor rgb="FFBDFFDF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2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Fill="1" applyFont="1"/>
    <xf borderId="0" fillId="2" fontId="3" numFmtId="0" xfId="0" applyAlignment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6" numFmtId="0" xfId="0" applyAlignment="1" applyFont="1">
      <alignment vertical="center"/>
    </xf>
    <xf borderId="0" fillId="2" fontId="6" numFmtId="3" xfId="0" applyAlignment="1" applyFont="1" applyNumberFormat="1">
      <alignment vertical="center"/>
    </xf>
    <xf borderId="0" fillId="2" fontId="6" numFmtId="3" xfId="0" applyAlignment="1" applyFont="1" applyNumberFormat="1">
      <alignment horizontal="center" vertical="center"/>
    </xf>
    <xf borderId="1" fillId="4" fontId="3" numFmtId="0" xfId="0" applyAlignment="1" applyBorder="1" applyFill="1" applyFont="1">
      <alignment vertical="center"/>
    </xf>
    <xf borderId="2" fillId="5" fontId="1" numFmtId="3" xfId="0" applyAlignment="1" applyBorder="1" applyFill="1" applyFont="1" applyNumberFormat="1">
      <alignment readingOrder="0" vertical="center"/>
    </xf>
    <xf borderId="3" fillId="0" fontId="7" numFmtId="0" xfId="0" applyBorder="1" applyFont="1"/>
    <xf borderId="4" fillId="0" fontId="7" numFmtId="0" xfId="0" applyBorder="1" applyFont="1"/>
    <xf borderId="0" fillId="0" fontId="1" numFmtId="0" xfId="0" applyAlignment="1" applyFont="1">
      <alignment vertical="center"/>
    </xf>
    <xf borderId="0" fillId="0" fontId="1" numFmtId="3" xfId="0" applyAlignment="1" applyFont="1" applyNumberFormat="1">
      <alignment vertical="center"/>
    </xf>
    <xf borderId="0" fillId="0" fontId="1" numFmtId="3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5" fillId="6" fontId="8" numFmtId="0" xfId="0" applyAlignment="1" applyBorder="1" applyFill="1" applyFont="1">
      <alignment horizontal="center" readingOrder="0" vertical="center"/>
    </xf>
    <xf borderId="6" fillId="0" fontId="7" numFmtId="0" xfId="0" applyBorder="1" applyFont="1"/>
    <xf borderId="7" fillId="0" fontId="7" numFmtId="0" xfId="0" applyBorder="1" applyFont="1"/>
    <xf borderId="8" fillId="7" fontId="8" numFmtId="0" xfId="0" applyAlignment="1" applyBorder="1" applyFill="1" applyFont="1">
      <alignment horizontal="center" vertical="center"/>
    </xf>
    <xf borderId="9" fillId="7" fontId="1" numFmtId="3" xfId="0" applyAlignment="1" applyBorder="1" applyFont="1" applyNumberFormat="1">
      <alignment horizontal="center" shrinkToFit="0" vertical="center" wrapText="1"/>
    </xf>
    <xf borderId="10" fillId="0" fontId="7" numFmtId="0" xfId="0" applyBorder="1" applyFont="1"/>
    <xf borderId="11" fillId="0" fontId="7" numFmtId="0" xfId="0" applyBorder="1" applyFont="1"/>
    <xf borderId="8" fillId="7" fontId="1" numFmtId="10" xfId="0" applyAlignment="1" applyBorder="1" applyFont="1" applyNumberFormat="1">
      <alignment horizontal="center" shrinkToFit="0" vertical="center" wrapText="1"/>
    </xf>
    <xf borderId="8" fillId="7" fontId="8" numFmtId="0" xfId="0" applyAlignment="1" applyBorder="1" applyFont="1">
      <alignment horizontal="center" shrinkToFit="0" vertical="center" wrapText="1"/>
    </xf>
    <xf borderId="9" fillId="7" fontId="1" numFmtId="0" xfId="0" applyAlignment="1" applyBorder="1" applyFont="1">
      <alignment horizontal="center" shrinkToFit="0" vertical="center" wrapText="1"/>
    </xf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8" fillId="7" fontId="1" numFmtId="3" xfId="0" applyAlignment="1" applyBorder="1" applyFont="1" applyNumberFormat="1">
      <alignment horizontal="center" shrinkToFit="0" vertical="center" wrapText="1"/>
    </xf>
    <xf borderId="18" fillId="0" fontId="7" numFmtId="0" xfId="0" applyBorder="1" applyFont="1"/>
    <xf borderId="19" fillId="7" fontId="1" numFmtId="0" xfId="0" applyAlignment="1" applyBorder="1" applyFont="1">
      <alignment horizontal="center" vertical="center"/>
    </xf>
    <xf borderId="5" fillId="8" fontId="3" numFmtId="0" xfId="0" applyAlignment="1" applyBorder="1" applyFill="1" applyFont="1">
      <alignment horizontal="center" vertical="center"/>
    </xf>
    <xf borderId="19" fillId="9" fontId="6" numFmtId="0" xfId="0" applyAlignment="1" applyBorder="1" applyFill="1" applyFont="1">
      <alignment horizontal="left"/>
    </xf>
    <xf borderId="19" fillId="0" fontId="6" numFmtId="3" xfId="0" applyAlignment="1" applyBorder="1" applyFont="1" applyNumberFormat="1">
      <alignment horizontal="center"/>
    </xf>
    <xf borderId="19" fillId="7" fontId="6" numFmtId="3" xfId="0" applyAlignment="1" applyBorder="1" applyFont="1" applyNumberFormat="1">
      <alignment horizontal="center"/>
    </xf>
    <xf borderId="19" fillId="0" fontId="6" numFmtId="3" xfId="0" applyAlignment="1" applyBorder="1" applyFont="1" applyNumberFormat="1">
      <alignment horizontal="center" readingOrder="0"/>
    </xf>
    <xf borderId="15" fillId="7" fontId="9" numFmtId="0" xfId="0" applyAlignment="1" applyBorder="1" applyFont="1">
      <alignment horizontal="center" readingOrder="0"/>
    </xf>
    <xf borderId="19" fillId="0" fontId="6" numFmtId="1" xfId="0" applyAlignment="1" applyBorder="1" applyFont="1" applyNumberFormat="1">
      <alignment horizontal="center" readingOrder="0"/>
    </xf>
    <xf borderId="19" fillId="0" fontId="6" numFmtId="2" xfId="0" applyAlignment="1" applyBorder="1" applyFont="1" applyNumberFormat="1">
      <alignment horizontal="center" readingOrder="0"/>
    </xf>
    <xf borderId="19" fillId="0" fontId="6" numFmtId="2" xfId="0" applyAlignment="1" applyBorder="1" applyFont="1" applyNumberFormat="1">
      <alignment horizontal="center" vertical="center"/>
    </xf>
    <xf borderId="19" fillId="0" fontId="6" numFmtId="0" xfId="0" applyAlignment="1" applyBorder="1" applyFont="1">
      <alignment horizontal="center" readingOrder="0"/>
    </xf>
    <xf borderId="19" fillId="0" fontId="6" numFmtId="0" xfId="0" applyAlignment="1" applyBorder="1" applyFont="1">
      <alignment horizontal="center" readingOrder="0" vertical="center"/>
    </xf>
    <xf borderId="5" fillId="10" fontId="3" numFmtId="0" xfId="0" applyAlignment="1" applyBorder="1" applyFill="1" applyFont="1">
      <alignment horizontal="center" vertical="center"/>
    </xf>
    <xf borderId="19" fillId="11" fontId="6" numFmtId="0" xfId="0" applyAlignment="1" applyBorder="1" applyFill="1" applyFont="1">
      <alignment horizontal="left"/>
    </xf>
    <xf borderId="19" fillId="12" fontId="6" numFmtId="3" xfId="0" applyAlignment="1" applyBorder="1" applyFill="1" applyFont="1" applyNumberFormat="1">
      <alignment horizontal="center"/>
    </xf>
    <xf borderId="19" fillId="13" fontId="6" numFmtId="3" xfId="0" applyAlignment="1" applyBorder="1" applyFill="1" applyFont="1" applyNumberFormat="1">
      <alignment horizontal="center"/>
    </xf>
    <xf borderId="19" fillId="0" fontId="9" numFmtId="3" xfId="0" applyAlignment="1" applyBorder="1" applyFont="1" applyNumberFormat="1">
      <alignment horizontal="center"/>
    </xf>
    <xf borderId="19" fillId="0" fontId="9" numFmtId="2" xfId="0" applyAlignment="1" applyBorder="1" applyFont="1" applyNumberFormat="1">
      <alignment horizontal="center"/>
    </xf>
    <xf borderId="19" fillId="0" fontId="6" numFmtId="0" xfId="0" applyAlignment="1" applyBorder="1" applyFont="1">
      <alignment horizontal="center" vertical="center"/>
    </xf>
    <xf borderId="19" fillId="12" fontId="10" numFmtId="3" xfId="0" applyAlignment="1" applyBorder="1" applyFont="1" applyNumberFormat="1">
      <alignment horizontal="center" readingOrder="0"/>
    </xf>
    <xf borderId="19" fillId="0" fontId="10" numFmtId="3" xfId="0" applyAlignment="1" applyBorder="1" applyFont="1" applyNumberFormat="1">
      <alignment horizontal="center" readingOrder="0"/>
    </xf>
    <xf borderId="19" fillId="0" fontId="9" numFmtId="0" xfId="0" applyAlignment="1" applyBorder="1" applyFont="1">
      <alignment horizontal="center" readingOrder="0"/>
    </xf>
    <xf borderId="19" fillId="0" fontId="11" numFmtId="0" xfId="0" applyAlignment="1" applyBorder="1" applyFont="1">
      <alignment horizontal="center" readingOrder="0"/>
    </xf>
    <xf borderId="19" fillId="0" fontId="11" numFmtId="2" xfId="0" applyAlignment="1" applyBorder="1" applyFont="1" applyNumberFormat="1">
      <alignment horizontal="center" readingOrder="0"/>
    </xf>
    <xf borderId="19" fillId="0" fontId="10" numFmtId="0" xfId="0" applyAlignment="1" applyBorder="1" applyFont="1">
      <alignment horizontal="center" readingOrder="0"/>
    </xf>
    <xf borderId="19" fillId="0" fontId="10" numFmtId="0" xfId="0" applyAlignment="1" applyBorder="1" applyFont="1">
      <alignment horizontal="center" readingOrder="0" vertical="center"/>
    </xf>
    <xf borderId="19" fillId="14" fontId="12" numFmtId="3" xfId="0" applyAlignment="1" applyBorder="1" applyFill="1" applyFont="1" applyNumberFormat="1">
      <alignment horizontal="center" readingOrder="0" vertical="bottom"/>
    </xf>
    <xf borderId="19" fillId="12" fontId="6" numFmtId="3" xfId="0" applyAlignment="1" applyBorder="1" applyFont="1" applyNumberFormat="1">
      <alignment horizontal="center" readingOrder="0"/>
    </xf>
    <xf borderId="19" fillId="0" fontId="9" numFmtId="2" xfId="0" applyAlignment="1" applyBorder="1" applyFont="1" applyNumberFormat="1">
      <alignment horizontal="center" readingOrder="0"/>
    </xf>
    <xf borderId="19" fillId="0" fontId="9" numFmtId="0" xfId="0" applyAlignment="1" applyBorder="1" applyFont="1">
      <alignment horizontal="center"/>
    </xf>
    <xf borderId="19" fillId="0" fontId="6" numFmtId="0" xfId="0" applyAlignment="1" applyBorder="1" applyFont="1">
      <alignment horizontal="center"/>
    </xf>
    <xf borderId="19" fillId="7" fontId="1" numFmtId="0" xfId="0" applyAlignment="1" applyBorder="1" applyFont="1">
      <alignment horizontal="center"/>
    </xf>
    <xf borderId="20" fillId="7" fontId="1" numFmtId="3" xfId="0" applyAlignment="1" applyBorder="1" applyFont="1" applyNumberFormat="1">
      <alignment horizontal="center"/>
    </xf>
    <xf borderId="20" fillId="7" fontId="1" numFmtId="1" xfId="0" applyAlignment="1" applyBorder="1" applyFont="1" applyNumberFormat="1">
      <alignment horizontal="center"/>
    </xf>
    <xf borderId="20" fillId="7" fontId="1" numFmtId="2" xfId="0" applyAlignment="1" applyBorder="1" applyFont="1" applyNumberFormat="1">
      <alignment horizontal="center"/>
    </xf>
    <xf borderId="8" fillId="7" fontId="13" numFmtId="0" xfId="0" applyAlignment="1" applyBorder="1" applyFont="1">
      <alignment horizontal="center" readingOrder="0" vertical="center"/>
    </xf>
    <xf borderId="9" fillId="7" fontId="14" numFmtId="3" xfId="0" applyAlignment="1" applyBorder="1" applyFont="1" applyNumberFormat="1">
      <alignment horizontal="center" readingOrder="0" shrinkToFit="0" vertical="center" wrapText="1"/>
    </xf>
    <xf borderId="5" fillId="5" fontId="8" numFmtId="0" xfId="0" applyAlignment="1" applyBorder="1" applyFont="1">
      <alignment horizontal="center" vertical="center"/>
    </xf>
    <xf borderId="19" fillId="9" fontId="6" numFmtId="0" xfId="0" applyAlignment="1" applyBorder="1" applyFont="1">
      <alignment horizontal="left" vertical="center"/>
    </xf>
    <xf borderId="19" fillId="12" fontId="6" numFmtId="3" xfId="0" applyAlignment="1" applyBorder="1" applyFont="1" applyNumberFormat="1">
      <alignment horizontal="center" readingOrder="0" vertical="center"/>
    </xf>
    <xf borderId="19" fillId="7" fontId="6" numFmtId="3" xfId="0" applyAlignment="1" applyBorder="1" applyFont="1" applyNumberFormat="1">
      <alignment horizontal="center" vertical="center"/>
    </xf>
    <xf borderId="19" fillId="14" fontId="6" numFmtId="0" xfId="0" applyAlignment="1" applyBorder="1" applyFont="1">
      <alignment horizontal="center" readingOrder="0" vertical="center"/>
    </xf>
    <xf borderId="19" fillId="0" fontId="6" numFmtId="3" xfId="0" applyAlignment="1" applyBorder="1" applyFont="1" applyNumberFormat="1">
      <alignment horizontal="center" readingOrder="0" vertical="center"/>
    </xf>
    <xf borderId="15" fillId="7" fontId="9" numFmtId="0" xfId="0" applyAlignment="1" applyBorder="1" applyFont="1">
      <alignment horizontal="center" readingOrder="0" vertical="center"/>
    </xf>
    <xf borderId="19" fillId="0" fontId="9" numFmtId="0" xfId="0" applyAlignment="1" applyBorder="1" applyFont="1">
      <alignment horizontal="center" readingOrder="0" vertical="center"/>
    </xf>
    <xf borderId="19" fillId="0" fontId="9" numFmtId="2" xfId="0" applyAlignment="1" applyBorder="1" applyFont="1" applyNumberFormat="1">
      <alignment horizontal="center" readingOrder="0" vertical="center"/>
    </xf>
    <xf borderId="19" fillId="0" fontId="6" numFmtId="3" xfId="0" applyAlignment="1" applyBorder="1" applyFont="1" applyNumberFormat="1">
      <alignment horizontal="center" vertical="center"/>
    </xf>
    <xf borderId="19" fillId="0" fontId="6" numFmtId="1" xfId="0" applyAlignment="1" applyBorder="1" applyFont="1" applyNumberFormat="1">
      <alignment horizontal="center" readingOrder="0" vertical="center"/>
    </xf>
    <xf borderId="19" fillId="0" fontId="6" numFmtId="2" xfId="0" applyAlignment="1" applyBorder="1" applyFont="1" applyNumberFormat="1">
      <alignment horizontal="center" readingOrder="0" vertical="center"/>
    </xf>
    <xf borderId="19" fillId="14" fontId="9" numFmtId="3" xfId="0" applyAlignment="1" applyBorder="1" applyFont="1" applyNumberFormat="1">
      <alignment horizontal="center" readingOrder="0" vertical="center"/>
    </xf>
    <xf borderId="19" fillId="0" fontId="10" numFmtId="3" xfId="0" applyAlignment="1" applyBorder="1" applyFont="1" applyNumberFormat="1">
      <alignment horizontal="center" vertical="center"/>
    </xf>
    <xf borderId="19" fillId="0" fontId="10" numFmtId="3" xfId="0" applyAlignment="1" applyBorder="1" applyFont="1" applyNumberFormat="1">
      <alignment horizontal="center" readingOrder="0" vertical="center"/>
    </xf>
    <xf borderId="19" fillId="12" fontId="6" numFmtId="1" xfId="0" applyAlignment="1" applyBorder="1" applyFont="1" applyNumberFormat="1">
      <alignment horizontal="center" readingOrder="0" vertical="center"/>
    </xf>
    <xf borderId="19" fillId="12" fontId="6" numFmtId="2" xfId="0" applyAlignment="1" applyBorder="1" applyFont="1" applyNumberFormat="1">
      <alignment horizontal="center" readingOrder="0" vertical="center"/>
    </xf>
    <xf borderId="19" fillId="12" fontId="6" numFmtId="0" xfId="0" applyAlignment="1" applyBorder="1" applyFont="1">
      <alignment horizontal="center" readingOrder="0" vertical="center"/>
    </xf>
    <xf borderId="19" fillId="12" fontId="6" numFmtId="3" xfId="0" applyAlignment="1" applyBorder="1" applyFont="1" applyNumberFormat="1">
      <alignment horizontal="center" vertical="center"/>
    </xf>
    <xf borderId="19" fillId="0" fontId="9" numFmtId="164" xfId="0" applyAlignment="1" applyBorder="1" applyFont="1" applyNumberFormat="1">
      <alignment horizontal="center" readingOrder="0" vertical="center"/>
    </xf>
    <xf borderId="19" fillId="12" fontId="6" numFmtId="4" xfId="0" applyAlignment="1" applyBorder="1" applyFont="1" applyNumberFormat="1">
      <alignment horizontal="center" vertical="center"/>
    </xf>
    <xf borderId="19" fillId="12" fontId="6" numFmtId="4" xfId="0" applyAlignment="1" applyBorder="1" applyFont="1" applyNumberFormat="1">
      <alignment horizontal="center" readingOrder="0" vertical="center"/>
    </xf>
    <xf borderId="19" fillId="0" fontId="12" numFmtId="2" xfId="0" applyAlignment="1" applyBorder="1" applyFont="1" applyNumberFormat="1">
      <alignment horizontal="center" vertical="center"/>
    </xf>
    <xf borderId="7" fillId="0" fontId="12" numFmtId="2" xfId="0" applyAlignment="1" applyBorder="1" applyFont="1" applyNumberFormat="1">
      <alignment horizontal="center" vertical="center"/>
    </xf>
    <xf borderId="19" fillId="0" fontId="12" numFmtId="0" xfId="0" applyAlignment="1" applyBorder="1" applyFont="1">
      <alignment horizontal="center" vertical="center"/>
    </xf>
    <xf borderId="19" fillId="9" fontId="6" numFmtId="0" xfId="0" applyAlignment="1" applyBorder="1" applyFont="1">
      <alignment horizontal="center" vertical="center"/>
    </xf>
    <xf borderId="20" fillId="7" fontId="1" numFmtId="3" xfId="0" applyAlignment="1" applyBorder="1" applyFont="1" applyNumberFormat="1">
      <alignment horizontal="center" vertical="center"/>
    </xf>
    <xf borderId="20" fillId="7" fontId="1" numFmtId="1" xfId="0" applyAlignment="1" applyBorder="1" applyFont="1" applyNumberFormat="1">
      <alignment horizontal="center" vertical="center"/>
    </xf>
    <xf borderId="20" fillId="7" fontId="1" numFmtId="2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6" numFmtId="2" xfId="0" applyFont="1" applyNumberFormat="1"/>
    <xf borderId="0" fillId="0" fontId="1" numFmtId="3" xfId="0" applyAlignment="1" applyFont="1" applyNumberFormat="1">
      <alignment horizontal="center"/>
    </xf>
    <xf borderId="0" fillId="0" fontId="1" numFmtId="3" xfId="0" applyAlignment="1" applyFont="1" applyNumberFormat="1">
      <alignment horizontal="center" readingOrder="0"/>
    </xf>
    <xf borderId="0" fillId="14" fontId="8" numFmtId="3" xfId="0" applyAlignment="1" applyFont="1" applyNumberFormat="1">
      <alignment horizontal="center" readingOrder="0"/>
    </xf>
    <xf borderId="0" fillId="14" fontId="2" numFmtId="0" xfId="0" applyFont="1"/>
    <xf borderId="0" fillId="0" fontId="1" numFmtId="0" xfId="0" applyAlignment="1" applyFont="1">
      <alignment horizontal="center" readingOrder="0" vertical="center"/>
    </xf>
    <xf borderId="0" fillId="14" fontId="1" numFmtId="3" xfId="0" applyFont="1" applyNumberFormat="1"/>
    <xf borderId="0" fillId="14" fontId="1" numFmtId="3" xfId="0" applyAlignment="1" applyFont="1" applyNumberFormat="1">
      <alignment readingOrder="0" vertical="center"/>
    </xf>
    <xf borderId="0" fillId="0" fontId="1" numFmtId="3" xfId="0" applyFont="1" applyNumberFormat="1"/>
    <xf borderId="0" fillId="0" fontId="6" numFmtId="3" xfId="0" applyFont="1" applyNumberFormat="1"/>
    <xf borderId="5" fillId="11" fontId="15" numFmtId="3" xfId="0" applyAlignment="1" applyBorder="1" applyFont="1" applyNumberFormat="1">
      <alignment horizontal="center"/>
    </xf>
    <xf borderId="8" fillId="15" fontId="8" numFmtId="3" xfId="0" applyAlignment="1" applyBorder="1" applyFill="1" applyFont="1" applyNumberFormat="1">
      <alignment horizontal="center" vertical="center"/>
    </xf>
    <xf borderId="9" fillId="15" fontId="1" numFmtId="3" xfId="0" applyAlignment="1" applyBorder="1" applyFont="1" applyNumberFormat="1">
      <alignment horizontal="center" shrinkToFit="0" vertical="center" wrapText="1"/>
    </xf>
    <xf borderId="8" fillId="15" fontId="1" numFmtId="3" xfId="0" applyAlignment="1" applyBorder="1" applyFont="1" applyNumberFormat="1">
      <alignment horizontal="center" shrinkToFit="0" vertical="center" wrapText="1"/>
    </xf>
    <xf borderId="21" fillId="11" fontId="6" numFmtId="3" xfId="0" applyAlignment="1" applyBorder="1" applyFont="1" applyNumberFormat="1">
      <alignment horizontal="left"/>
    </xf>
    <xf borderId="15" fillId="0" fontId="9" numFmtId="3" xfId="0" applyAlignment="1" applyBorder="1" applyFont="1" applyNumberFormat="1">
      <alignment horizontal="center"/>
    </xf>
    <xf borderId="19" fillId="13" fontId="1" numFmtId="3" xfId="0" applyAlignment="1" applyBorder="1" applyFont="1" applyNumberFormat="1">
      <alignment horizontal="center"/>
    </xf>
    <xf borderId="20" fillId="13" fontId="1" numFmtId="3" xfId="0" applyAlignment="1" applyBorder="1" applyFont="1" applyNumberFormat="1">
      <alignment horizontal="center"/>
    </xf>
    <xf borderId="22" fillId="15" fontId="8" numFmtId="3" xfId="0" applyAlignment="1" applyBorder="1" applyFont="1" applyNumberFormat="1">
      <alignment horizontal="center" vertical="center"/>
    </xf>
    <xf borderId="21" fillId="12" fontId="6" numFmtId="3" xfId="0" applyAlignment="1" applyBorder="1" applyFont="1" applyNumberFormat="1">
      <alignment horizontal="center"/>
    </xf>
    <xf borderId="21" fillId="13" fontId="6" numFmtId="3" xfId="0" applyAlignment="1" applyBorder="1" applyFont="1" applyNumberFormat="1">
      <alignment horizontal="center"/>
    </xf>
    <xf borderId="23" fillId="13" fontId="6" numFmtId="3" xfId="0" applyAlignment="1" applyBorder="1" applyFont="1" applyNumberFormat="1">
      <alignment horizontal="center"/>
    </xf>
    <xf borderId="21" fillId="11" fontId="6" numFmtId="3" xfId="0" applyBorder="1" applyFont="1" applyNumberFormat="1"/>
    <xf borderId="19" fillId="14" fontId="6" numFmtId="3" xfId="0" applyAlignment="1" applyBorder="1" applyFont="1" applyNumberFormat="1">
      <alignment horizontal="center"/>
    </xf>
    <xf borderId="5" fillId="0" fontId="6" numFmtId="3" xfId="0" applyAlignment="1" applyBorder="1" applyFont="1" applyNumberFormat="1">
      <alignment horizontal="center"/>
    </xf>
    <xf borderId="19" fillId="14" fontId="6" numFmtId="3" xfId="0" applyBorder="1" applyFont="1" applyNumberFormat="1"/>
    <xf borderId="5" fillId="0" fontId="6" numFmtId="3" xfId="0" applyBorder="1" applyFont="1" applyNumberFormat="1"/>
    <xf borderId="15" fillId="0" fontId="6" numFmtId="3" xfId="0" applyAlignment="1" applyBorder="1" applyFont="1" applyNumberFormat="1">
      <alignment horizontal="center"/>
    </xf>
    <xf borderId="5" fillId="0" fontId="1" numFmtId="3" xfId="0" applyAlignment="1" applyBorder="1" applyFont="1" applyNumberFormat="1">
      <alignment horizontal="center"/>
    </xf>
    <xf borderId="21" fillId="9" fontId="6" numFmtId="0" xfId="0" applyAlignment="1" applyBorder="1" applyFont="1">
      <alignment horizontal="left"/>
    </xf>
    <xf borderId="20" fillId="7" fontId="1" numFmtId="4" xfId="0" applyAlignment="1" applyBorder="1" applyFont="1" applyNumberFormat="1">
      <alignment horizontal="center"/>
    </xf>
    <xf borderId="20" fillId="7" fontId="1" numFmtId="0" xfId="0" applyAlignment="1" applyBorder="1" applyFont="1">
      <alignment horizontal="center"/>
    </xf>
    <xf borderId="0" fillId="0" fontId="6" numFmtId="2" xfId="0" applyAlignment="1" applyFont="1" applyNumberFormat="1">
      <alignment horizontal="center"/>
    </xf>
    <xf borderId="19" fillId="0" fontId="10" numFmtId="1" xfId="0" applyAlignment="1" applyBorder="1" applyFont="1" applyNumberFormat="1">
      <alignment horizontal="center" readingOrder="0"/>
    </xf>
    <xf borderId="19" fillId="14" fontId="10" numFmtId="3" xfId="0" applyAlignment="1" applyBorder="1" applyFont="1" applyNumberFormat="1">
      <alignment horizontal="center" readingOrder="0"/>
    </xf>
    <xf borderId="19" fillId="14" fontId="6" numFmtId="3" xfId="0" applyAlignment="1" applyBorder="1" applyFont="1" applyNumberFormat="1">
      <alignment horizontal="center" readingOrder="0"/>
    </xf>
    <xf borderId="19" fillId="14" fontId="10" numFmtId="2" xfId="0" applyAlignment="1" applyBorder="1" applyFont="1" applyNumberFormat="1">
      <alignment horizontal="center" readingOrder="0"/>
    </xf>
    <xf borderId="0" fillId="0" fontId="1" numFmtId="0" xfId="0" applyFont="1"/>
    <xf borderId="0" fillId="2" fontId="1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2" fontId="16" numFmtId="3" xfId="0" applyAlignment="1" applyFont="1" applyNumberFormat="1">
      <alignment vertical="center"/>
    </xf>
    <xf borderId="0" fillId="2" fontId="16" numFmtId="3" xfId="0" applyAlignment="1" applyFont="1" applyNumberFormat="1">
      <alignment horizontal="center" vertical="center"/>
    </xf>
    <xf borderId="15" fillId="0" fontId="9" numFmtId="0" xfId="0" applyAlignment="1" applyBorder="1" applyFont="1">
      <alignment horizontal="center" readingOrder="0"/>
    </xf>
    <xf borderId="7" fillId="0" fontId="9" numFmtId="2" xfId="0" applyAlignment="1" applyBorder="1" applyFont="1" applyNumberFormat="1">
      <alignment horizontal="center" readingOrder="0"/>
    </xf>
    <xf borderId="19" fillId="0" fontId="10" numFmtId="2" xfId="0" applyAlignment="1" applyBorder="1" applyFont="1" applyNumberFormat="1">
      <alignment horizontal="center" readingOrder="0"/>
    </xf>
    <xf borderId="15" fillId="0" fontId="9" numFmtId="0" xfId="0" applyAlignment="1" applyBorder="1" applyFont="1">
      <alignment horizontal="center"/>
    </xf>
    <xf borderId="7" fillId="0" fontId="9" numFmtId="2" xfId="0" applyAlignment="1" applyBorder="1" applyFont="1" applyNumberFormat="1">
      <alignment horizontal="center"/>
    </xf>
    <xf borderId="21" fillId="12" fontId="6" numFmtId="3" xfId="0" applyAlignment="1" applyBorder="1" applyFont="1" applyNumberFormat="1">
      <alignment horizontal="center" readingOrder="0"/>
    </xf>
    <xf borderId="23" fillId="12" fontId="9" numFmtId="0" xfId="0" applyAlignment="1" applyBorder="1" applyFont="1">
      <alignment horizontal="center" readingOrder="0"/>
    </xf>
    <xf borderId="19" fillId="12" fontId="9" numFmtId="2" xfId="0" applyAlignment="1" applyBorder="1" applyFont="1" applyNumberFormat="1">
      <alignment horizontal="center" readingOrder="0"/>
    </xf>
    <xf borderId="20" fillId="12" fontId="9" numFmtId="2" xfId="0" applyAlignment="1" applyBorder="1" applyFont="1" applyNumberFormat="1">
      <alignment horizontal="center" readingOrder="0"/>
    </xf>
    <xf borderId="19" fillId="12" fontId="6" numFmtId="0" xfId="0" applyAlignment="1" applyBorder="1" applyFont="1">
      <alignment horizontal="center" readingOrder="0"/>
    </xf>
    <xf borderId="15" fillId="7" fontId="9" numFmtId="0" xfId="0" applyAlignment="1" applyBorder="1" applyFont="1">
      <alignment horizontal="center"/>
    </xf>
    <xf borderId="5" fillId="14" fontId="12" numFmtId="3" xfId="0" applyAlignment="1" applyBorder="1" applyFont="1" applyNumberFormat="1">
      <alignment horizontal="center"/>
    </xf>
    <xf borderId="19" fillId="14" fontId="12" numFmtId="3" xfId="0" applyAlignment="1" applyBorder="1" applyFont="1" applyNumberFormat="1">
      <alignment horizontal="center"/>
    </xf>
    <xf borderId="15" fillId="0" fontId="12" numFmtId="0" xfId="0" applyAlignment="1" applyBorder="1" applyFont="1">
      <alignment horizontal="center"/>
    </xf>
    <xf borderId="19" fillId="0" fontId="12" numFmtId="2" xfId="0" applyAlignment="1" applyBorder="1" applyFont="1" applyNumberFormat="1">
      <alignment horizontal="center"/>
    </xf>
    <xf borderId="7" fillId="0" fontId="12" numFmtId="2" xfId="0" applyAlignment="1" applyBorder="1" applyFont="1" applyNumberFormat="1">
      <alignment horizontal="center"/>
    </xf>
    <xf borderId="19" fillId="0" fontId="12" numFmtId="0" xfId="0" applyAlignment="1" applyBorder="1" applyFont="1">
      <alignment horizontal="center"/>
    </xf>
    <xf borderId="15" fillId="0" fontId="12" numFmtId="1" xfId="0" applyAlignment="1" applyBorder="1" applyFont="1" applyNumberFormat="1">
      <alignment horizontal="center"/>
    </xf>
    <xf borderId="19" fillId="7" fontId="9" numFmtId="0" xfId="0" applyAlignment="1" applyBorder="1" applyFont="1">
      <alignment horizontal="center"/>
    </xf>
    <xf borderId="20" fillId="7" fontId="6" numFmtId="2" xfId="0" applyAlignment="1" applyBorder="1" applyFont="1" applyNumberFormat="1">
      <alignment horizontal="center"/>
    </xf>
    <xf borderId="5" fillId="14" fontId="6" numFmtId="3" xfId="0" applyAlignment="1" applyBorder="1" applyFont="1" applyNumberFormat="1">
      <alignment horizontal="center"/>
    </xf>
    <xf borderId="19" fillId="14" fontId="6" numFmtId="1" xfId="0" applyAlignment="1" applyBorder="1" applyFont="1" applyNumberFormat="1">
      <alignment horizontal="center" readingOrder="0"/>
    </xf>
    <xf borderId="19" fillId="14" fontId="6" numFmtId="2" xfId="0" applyAlignment="1" applyBorder="1" applyFont="1" applyNumberFormat="1">
      <alignment horizontal="center" readingOrder="0"/>
    </xf>
    <xf borderId="19" fillId="14" fontId="6" numFmtId="0" xfId="0" applyAlignment="1" applyBorder="1" applyFont="1">
      <alignment horizontal="center" readingOrder="0"/>
    </xf>
    <xf borderId="20" fillId="7" fontId="17" numFmtId="2" xfId="0" applyAlignment="1" applyBorder="1" applyFont="1" applyNumberFormat="1">
      <alignment horizontal="center" vertical="bottom"/>
    </xf>
    <xf borderId="21" fillId="9" fontId="6" numFmtId="0" xfId="0" applyAlignment="1" applyBorder="1" applyFont="1">
      <alignment horizontal="left" readingOrder="0"/>
    </xf>
    <xf borderId="0" fillId="0" fontId="12" numFmtId="0" xfId="0" applyAlignment="1" applyFont="1">
      <alignment vertical="bottom"/>
    </xf>
    <xf borderId="19" fillId="9" fontId="12" numFmtId="0" xfId="0" applyAlignment="1" applyBorder="1" applyFont="1">
      <alignment vertical="bottom"/>
    </xf>
    <xf borderId="19" fillId="14" fontId="12" numFmtId="3" xfId="0" applyAlignment="1" applyBorder="1" applyFont="1" applyNumberFormat="1">
      <alignment horizontal="center" vertical="bottom"/>
    </xf>
    <xf borderId="19" fillId="7" fontId="12" numFmtId="3" xfId="0" applyAlignment="1" applyBorder="1" applyFont="1" applyNumberFormat="1">
      <alignment horizontal="center" vertical="bottom"/>
    </xf>
    <xf borderId="19" fillId="14" fontId="12" numFmtId="4" xfId="0" applyAlignment="1" applyBorder="1" applyFont="1" applyNumberFormat="1">
      <alignment horizontal="center" readingOrder="0" vertical="bottom"/>
    </xf>
    <xf borderId="21" fillId="9" fontId="6" numFmtId="0" xfId="0" applyAlignment="1" applyBorder="1" applyFont="1">
      <alignment horizontal="left" vertical="center"/>
    </xf>
    <xf borderId="21" fillId="12" fontId="6" numFmtId="3" xfId="0" applyAlignment="1" applyBorder="1" applyFont="1" applyNumberFormat="1">
      <alignment horizontal="center" readingOrder="0" vertical="center"/>
    </xf>
    <xf borderId="21" fillId="7" fontId="6" numFmtId="3" xfId="0" applyAlignment="1" applyBorder="1" applyFont="1" applyNumberFormat="1">
      <alignment horizontal="center" vertical="center"/>
    </xf>
    <xf borderId="7" fillId="0" fontId="6" numFmtId="3" xfId="0" applyAlignment="1" applyBorder="1" applyFont="1" applyNumberFormat="1">
      <alignment horizontal="center" readingOrder="0" vertical="center"/>
    </xf>
    <xf borderId="23" fillId="7" fontId="6" numFmtId="3" xfId="0" applyAlignment="1" applyBorder="1" applyFont="1" applyNumberForma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7" fillId="0" fontId="9" numFmtId="2" xfId="0" applyAlignment="1" applyBorder="1" applyFont="1" applyNumberFormat="1">
      <alignment horizontal="center" readingOrder="0" vertical="center"/>
    </xf>
    <xf borderId="5" fillId="12" fontId="12" numFmtId="3" xfId="0" applyAlignment="1" applyBorder="1" applyFont="1" applyNumberFormat="1">
      <alignment horizontal="center" readingOrder="0" vertical="bottom"/>
    </xf>
    <xf borderId="19" fillId="12" fontId="12" numFmtId="3" xfId="0" applyAlignment="1" applyBorder="1" applyFont="1" applyNumberFormat="1">
      <alignment horizontal="center" vertical="bottom"/>
    </xf>
    <xf borderId="5" fillId="12" fontId="12" numFmtId="3" xfId="0" applyAlignment="1" applyBorder="1" applyFont="1" applyNumberFormat="1">
      <alignment horizontal="center" vertical="bottom"/>
    </xf>
    <xf borderId="15" fillId="16" fontId="12" numFmtId="0" xfId="0" applyBorder="1" applyFill="1" applyFont="1"/>
    <xf borderId="19" fillId="16" fontId="12" numFmtId="2" xfId="0" applyBorder="1" applyFont="1" applyNumberFormat="1"/>
    <xf borderId="7" fillId="16" fontId="12" numFmtId="2" xfId="0" applyBorder="1" applyFont="1" applyNumberFormat="1"/>
    <xf borderId="19" fillId="16" fontId="12" numFmtId="0" xfId="0" applyBorder="1" applyFont="1"/>
    <xf borderId="19" fillId="0" fontId="12" numFmtId="3" xfId="0" applyAlignment="1" applyBorder="1" applyFont="1" applyNumberFormat="1">
      <alignment horizontal="center" vertical="bottom"/>
    </xf>
    <xf borderId="0" fillId="0" fontId="2" numFmtId="0" xfId="0" applyAlignment="1" applyFont="1">
      <alignment readingOrder="0"/>
    </xf>
    <xf borderId="23" fillId="7" fontId="6" numFmtId="10" xfId="0" applyAlignment="1" applyBorder="1" applyFont="1" applyNumberFormat="1">
      <alignment horizontal="center" vertical="center"/>
    </xf>
    <xf borderId="15" fillId="0" fontId="9" numFmtId="0" xfId="0" applyAlignment="1" applyBorder="1" applyFont="1">
      <alignment horizontal="center" vertical="center"/>
    </xf>
    <xf borderId="15" fillId="0" fontId="9" numFmtId="2" xfId="0" applyAlignment="1" applyBorder="1" applyFont="1" applyNumberFormat="1">
      <alignment horizontal="center" vertical="center"/>
    </xf>
    <xf borderId="21" fillId="9" fontId="6" numFmtId="0" xfId="0" applyAlignment="1" applyBorder="1" applyFont="1">
      <alignment horizontal="left" readingOrder="0" vertical="center"/>
    </xf>
    <xf borderId="15" fillId="0" fontId="9" numFmtId="1" xfId="0" applyAlignment="1" applyBorder="1" applyFont="1" applyNumberFormat="1">
      <alignment horizontal="center" vertical="center"/>
    </xf>
    <xf borderId="15" fillId="0" fontId="9" numFmtId="1" xfId="0" applyAlignment="1" applyBorder="1" applyFont="1" applyNumberFormat="1">
      <alignment horizontal="center" readingOrder="0" vertical="center"/>
    </xf>
    <xf borderId="15" fillId="0" fontId="9" numFmtId="3" xfId="0" applyAlignment="1" applyBorder="1" applyFont="1" applyNumberFormat="1">
      <alignment horizontal="center" vertical="center"/>
    </xf>
    <xf borderId="20" fillId="7" fontId="1" numFmtId="10" xfId="0" applyAlignment="1" applyBorder="1" applyFont="1" applyNumberFormat="1">
      <alignment horizontal="center" vertical="center"/>
    </xf>
    <xf borderId="20" fillId="7" fontId="1" numFmtId="0" xfId="0" applyAlignment="1" applyBorder="1" applyFont="1">
      <alignment horizontal="center" vertical="center"/>
    </xf>
    <xf borderId="0" fillId="0" fontId="6" numFmtId="3" xfId="0" applyAlignment="1" applyFont="1" applyNumberFormat="1">
      <alignment vertical="center"/>
    </xf>
    <xf borderId="0" fillId="0" fontId="6" numFmtId="3" xfId="0" applyAlignment="1" applyFont="1" applyNumberFormat="1">
      <alignment horizontal="center" vertical="center"/>
    </xf>
    <xf borderId="0" fillId="0" fontId="6" numFmtId="2" xfId="0" applyAlignment="1" applyFont="1" applyNumberFormat="1">
      <alignment vertical="center"/>
    </xf>
    <xf borderId="0" fillId="0" fontId="6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22" fillId="7" fontId="8" numFmtId="0" xfId="0" applyAlignment="1" applyBorder="1" applyFont="1">
      <alignment horizontal="center" vertical="center"/>
    </xf>
    <xf borderId="19" fillId="0" fontId="6" numFmtId="4" xfId="0" applyAlignment="1" applyBorder="1" applyFont="1" applyNumberFormat="1">
      <alignment horizontal="center" vertical="center"/>
    </xf>
    <xf borderId="15" fillId="0" fontId="9" numFmtId="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" fillId="6" fontId="8" numFmtId="0" xfId="0" applyAlignment="1" applyBorder="1" applyFont="1">
      <alignment horizontal="center" vertical="center"/>
    </xf>
    <xf borderId="21" fillId="11" fontId="6" numFmtId="0" xfId="0" applyAlignment="1" applyBorder="1" applyFont="1">
      <alignment horizontal="left" vertical="center"/>
    </xf>
    <xf borderId="21" fillId="13" fontId="6" numFmtId="3" xfId="0" applyAlignment="1" applyBorder="1" applyFont="1" applyNumberFormat="1">
      <alignment horizontal="center" vertical="center"/>
    </xf>
    <xf borderId="7" fillId="0" fontId="6" numFmtId="3" xfId="0" applyAlignment="1" applyBorder="1" applyFont="1" applyNumberFormat="1">
      <alignment horizontal="center" vertical="center"/>
    </xf>
    <xf borderId="23" fillId="13" fontId="6" numFmtId="3" xfId="0" applyAlignment="1" applyBorder="1" applyFont="1" applyNumberFormat="1">
      <alignment horizontal="center" vertical="center"/>
    </xf>
    <xf borderId="23" fillId="16" fontId="6" numFmtId="10" xfId="0" applyAlignment="1" applyBorder="1" applyFont="1" applyNumberFormat="1">
      <alignment horizontal="center" vertical="center"/>
    </xf>
    <xf borderId="19" fillId="0" fontId="9" numFmtId="2" xfId="0" applyAlignment="1" applyBorder="1" applyFont="1" applyNumberFormat="1">
      <alignment horizontal="center" vertical="center"/>
    </xf>
    <xf borderId="7" fillId="0" fontId="9" numFmtId="2" xfId="0" applyAlignment="1" applyBorder="1" applyFont="1" applyNumberFormat="1">
      <alignment horizontal="center" vertical="center"/>
    </xf>
    <xf borderId="19" fillId="0" fontId="9" numFmtId="4" xfId="0" applyAlignment="1" applyBorder="1" applyFont="1" applyNumberFormat="1">
      <alignment horizontal="center" vertical="center"/>
    </xf>
    <xf borderId="7" fillId="0" fontId="9" numFmtId="4" xfId="0" applyAlignment="1" applyBorder="1" applyFont="1" applyNumberFormat="1">
      <alignment horizontal="center" vertical="center"/>
    </xf>
    <xf borderId="21" fillId="12" fontId="6" numFmtId="3" xfId="0" applyAlignment="1" applyBorder="1" applyFont="1" applyNumberFormat="1">
      <alignment horizontal="center" vertical="center"/>
    </xf>
    <xf borderId="19" fillId="0" fontId="6" numFmtId="4" xfId="0" applyAlignment="1" applyBorder="1" applyFont="1" applyNumberFormat="1">
      <alignment horizontal="center" readingOrder="0" vertical="center"/>
    </xf>
    <xf borderId="20" fillId="7" fontId="1" numFmtId="0" xfId="0" applyAlignment="1" applyBorder="1" applyFont="1">
      <alignment horizontal="center" readingOrder="0" vertical="center"/>
    </xf>
    <xf borderId="19" fillId="7" fontId="1" numFmtId="10" xfId="0" applyAlignment="1" applyBorder="1" applyFont="1" applyNumberFormat="1">
      <alignment horizontal="center" vertical="center"/>
    </xf>
    <xf borderId="19" fillId="7" fontId="1" numFmtId="3" xfId="0" applyAlignment="1" applyBorder="1" applyFont="1" applyNumberFormat="1">
      <alignment horizontal="center" vertical="center"/>
    </xf>
    <xf borderId="19" fillId="7" fontId="1" numFmtId="2" xfId="0" applyAlignment="1" applyBorder="1" applyFont="1" applyNumberFormat="1">
      <alignment horizontal="center" vertical="center"/>
    </xf>
    <xf borderId="19" fillId="7" fontId="1" numFmtId="4" xfId="0" applyAlignment="1" applyBorder="1" applyFont="1" applyNumberFormat="1">
      <alignment horizontal="center" vertical="center"/>
    </xf>
    <xf borderId="0" fillId="0" fontId="12" numFmtId="0" xfId="0" applyAlignment="1" applyFont="1">
      <alignment vertical="bottom"/>
    </xf>
    <xf borderId="0" fillId="0" fontId="12" numFmtId="3" xfId="0" applyAlignment="1" applyFont="1" applyNumberFormat="1">
      <alignment readingOrder="0" vertical="bottom"/>
    </xf>
    <xf borderId="0" fillId="0" fontId="12" numFmtId="3" xfId="0" applyAlignment="1" applyFont="1" applyNumberFormat="1">
      <alignment vertical="bottom"/>
    </xf>
    <xf borderId="0" fillId="0" fontId="12" numFmtId="0" xfId="0" applyFont="1"/>
    <xf borderId="0" fillId="14" fontId="12" numFmtId="10" xfId="0" applyAlignment="1" applyFont="1" applyNumberFormat="1">
      <alignment vertical="bottom"/>
    </xf>
    <xf borderId="0" fillId="0" fontId="12" numFmtId="3" xfId="0" applyFont="1" applyNumberFormat="1"/>
    <xf borderId="0" fillId="0" fontId="17" numFmtId="0" xfId="0" applyAlignment="1" applyFont="1">
      <alignment vertical="bottom"/>
    </xf>
    <xf borderId="0" fillId="0" fontId="17" numFmtId="3" xfId="0" applyAlignment="1" applyFont="1" applyNumberFormat="1">
      <alignment readingOrder="0" vertical="bottom"/>
    </xf>
    <xf borderId="0" fillId="0" fontId="17" numFmtId="0" xfId="0" applyAlignment="1" applyFont="1">
      <alignment vertical="bottom"/>
    </xf>
    <xf borderId="0" fillId="0" fontId="17" numFmtId="3" xfId="0" applyFont="1" applyNumberFormat="1"/>
    <xf borderId="0" fillId="0" fontId="18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0" fontId="19" numFmtId="0" xfId="0" applyFont="1"/>
    <xf borderId="0" fillId="0" fontId="18" numFmtId="0" xfId="0" applyFont="1"/>
    <xf borderId="0" fillId="0" fontId="17" numFmtId="3" xfId="0" applyAlignment="1" applyFont="1" applyNumberForma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73763"/>
                </a:solidFill>
                <a:latin typeface="+mn-lt"/>
              </a:defRPr>
            </a:pPr>
            <a:r>
              <a:rPr b="1">
                <a:solidFill>
                  <a:srgbClr val="073763"/>
                </a:solidFill>
                <a:latin typeface="+mn-lt"/>
              </a:rPr>
              <a:t>MEAN (CORE SUBJECTS)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8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00FFFF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4A86E8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FF00FF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rgbClr val="90D5FF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'SHS- CONSO'!$L$17:$L$35</c:f>
              <c:numCache/>
            </c:numRef>
          </c:val>
        </c:ser>
        <c:axId val="1932370954"/>
        <c:axId val="3601176"/>
      </c:bar3DChart>
      <c:catAx>
        <c:axId val="1932370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01176"/>
      </c:catAx>
      <c:valAx>
        <c:axId val="3601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37095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16</xdr:row>
      <xdr:rowOff>171450</xdr:rowOff>
    </xdr:from>
    <xdr:ext cx="2952750" cy="1219200"/>
    <xdr:pic>
      <xdr:nvPicPr>
        <xdr:cNvPr id="39291716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11</xdr:row>
      <xdr:rowOff>76200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581025</xdr:colOff>
      <xdr:row>0</xdr:row>
      <xdr:rowOff>0</xdr:rowOff>
    </xdr:from>
    <xdr:ext cx="1943100" cy="7620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723900</xdr:colOff>
      <xdr:row>11</xdr:row>
      <xdr:rowOff>76200</xdr:rowOff>
    </xdr:from>
    <xdr:ext cx="895350" cy="89535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0</xdr:row>
      <xdr:rowOff>0</xdr:rowOff>
    </xdr:from>
    <xdr:ext cx="1419225" cy="5524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0</xdr:row>
      <xdr:rowOff>0</xdr:rowOff>
    </xdr:from>
    <xdr:ext cx="1543050" cy="609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352425</xdr:colOff>
      <xdr:row>0</xdr:row>
      <xdr:rowOff>0</xdr:rowOff>
    </xdr:from>
    <xdr:ext cx="1543050" cy="609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0</xdr:row>
      <xdr:rowOff>0</xdr:rowOff>
    </xdr:from>
    <xdr:ext cx="1552575" cy="609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457200</xdr:colOff>
      <xdr:row>0</xdr:row>
      <xdr:rowOff>0</xdr:rowOff>
    </xdr:from>
    <xdr:ext cx="1543050" cy="609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0</xdr:row>
      <xdr:rowOff>0</xdr:rowOff>
    </xdr:from>
    <xdr:ext cx="1543050" cy="609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0</xdr:row>
      <xdr:rowOff>0</xdr:rowOff>
    </xdr:from>
    <xdr:ext cx="1543050" cy="609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238125</xdr:colOff>
      <xdr:row>0</xdr:row>
      <xdr:rowOff>0</xdr:rowOff>
    </xdr:from>
    <xdr:ext cx="1543050" cy="609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0</xdr:row>
      <xdr:rowOff>0</xdr:rowOff>
    </xdr:from>
    <xdr:ext cx="1533525" cy="590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0</xdr:row>
      <xdr:rowOff>0</xdr:rowOff>
    </xdr:from>
    <xdr:ext cx="1476375" cy="581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hidden="1" min="20" max="24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2"/>
      <c r="W1" s="2"/>
      <c r="X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2"/>
      <c r="V2" s="2"/>
      <c r="W2" s="2"/>
      <c r="X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"/>
      <c r="U3" s="2"/>
      <c r="V3" s="2"/>
      <c r="W3" s="2"/>
      <c r="X3" s="2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2"/>
      <c r="U4" s="2"/>
      <c r="V4" s="2"/>
      <c r="W4" s="2"/>
      <c r="X4" s="2"/>
    </row>
    <row r="5">
      <c r="A5" s="3" t="s">
        <v>0</v>
      </c>
      <c r="T5" s="2"/>
      <c r="U5" s="2"/>
      <c r="V5" s="2"/>
      <c r="W5" s="2"/>
      <c r="X5" s="2"/>
    </row>
    <row r="6">
      <c r="A6" s="4" t="s">
        <v>1</v>
      </c>
      <c r="T6" s="2"/>
      <c r="U6" s="2"/>
      <c r="V6" s="2"/>
      <c r="W6" s="2"/>
      <c r="X6" s="2"/>
    </row>
    <row r="7">
      <c r="A7" s="4" t="s">
        <v>2</v>
      </c>
      <c r="T7" s="2"/>
      <c r="U7" s="2"/>
      <c r="V7" s="2"/>
      <c r="W7" s="2"/>
      <c r="X7" s="2"/>
    </row>
    <row r="8">
      <c r="A8" s="5" t="s">
        <v>3</v>
      </c>
      <c r="T8" s="2"/>
      <c r="U8" s="2"/>
      <c r="V8" s="2"/>
      <c r="W8" s="2"/>
      <c r="X8" s="2"/>
    </row>
    <row r="9">
      <c r="A9" s="6" t="s">
        <v>4</v>
      </c>
      <c r="T9" s="2"/>
      <c r="U9" s="2"/>
      <c r="V9" s="2"/>
      <c r="W9" s="2"/>
      <c r="X9" s="2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2"/>
      <c r="U10" s="2"/>
      <c r="V10" s="2"/>
      <c r="W10" s="2"/>
      <c r="X10" s="2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2"/>
      <c r="U11" s="2"/>
      <c r="V11" s="2"/>
      <c r="W11" s="2"/>
      <c r="X11" s="2"/>
    </row>
    <row r="12">
      <c r="A12" s="7"/>
      <c r="B12" s="7"/>
      <c r="C12" s="7"/>
      <c r="D12" s="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2"/>
      <c r="U12" s="2"/>
      <c r="V12" s="2"/>
      <c r="W12" s="2"/>
      <c r="X12" s="2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2"/>
      <c r="U13" s="2"/>
      <c r="V13" s="2"/>
      <c r="W13" s="2"/>
      <c r="X13" s="2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2"/>
      <c r="U14" s="2"/>
      <c r="V14" s="2"/>
      <c r="W14" s="2"/>
      <c r="X14" s="2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2"/>
      <c r="U15" s="2"/>
      <c r="V15" s="2"/>
      <c r="W15" s="2"/>
      <c r="X15" s="2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2"/>
      <c r="U16" s="2"/>
      <c r="V16" s="2"/>
      <c r="W16" s="2"/>
      <c r="X16" s="2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2"/>
      <c r="U17" s="2"/>
      <c r="V17" s="2"/>
      <c r="W17" s="2"/>
      <c r="X17" s="2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2"/>
      <c r="U18" s="2"/>
      <c r="V18" s="2"/>
      <c r="W18" s="2"/>
      <c r="X18" s="2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2"/>
      <c r="U19" s="2"/>
      <c r="V19" s="2"/>
      <c r="W19" s="2"/>
      <c r="X19" s="2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2"/>
      <c r="U20" s="2"/>
      <c r="V20" s="2"/>
      <c r="W20" s="2"/>
      <c r="X20" s="2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2"/>
      <c r="U21" s="2"/>
      <c r="V21" s="2"/>
      <c r="W21" s="2"/>
      <c r="X21" s="2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2"/>
      <c r="U22" s="2"/>
      <c r="V22" s="2"/>
      <c r="W22" s="2"/>
      <c r="X22" s="2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2"/>
      <c r="U23" s="2"/>
      <c r="V23" s="2"/>
      <c r="W23" s="2"/>
      <c r="X23" s="2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2"/>
      <c r="U24" s="2"/>
      <c r="V24" s="2"/>
      <c r="W24" s="2"/>
      <c r="X24" s="2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2"/>
      <c r="U25" s="2"/>
      <c r="V25" s="2"/>
      <c r="W25" s="2"/>
      <c r="X25" s="2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2"/>
      <c r="U26" s="2"/>
      <c r="V26" s="2"/>
      <c r="W26" s="2"/>
      <c r="X26" s="2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2"/>
      <c r="U27" s="2"/>
      <c r="V27" s="2"/>
      <c r="W27" s="2"/>
      <c r="X27" s="2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2"/>
      <c r="U28" s="2"/>
      <c r="V28" s="2"/>
      <c r="W28" s="2"/>
      <c r="X28" s="2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2"/>
      <c r="U29" s="2"/>
      <c r="V29" s="2"/>
      <c r="W29" s="2"/>
      <c r="X29" s="2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2"/>
      <c r="U30" s="2"/>
      <c r="V30" s="2"/>
      <c r="W30" s="2"/>
      <c r="X30" s="2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2"/>
      <c r="U31" s="2"/>
      <c r="V31" s="2"/>
      <c r="W31" s="2"/>
      <c r="X31" s="2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2"/>
      <c r="U32" s="2"/>
      <c r="V32" s="2"/>
      <c r="W32" s="2"/>
      <c r="X32" s="2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2"/>
      <c r="U33" s="2"/>
      <c r="V33" s="2"/>
      <c r="W33" s="2"/>
      <c r="X33" s="2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2"/>
      <c r="U34" s="2"/>
      <c r="V34" s="2"/>
      <c r="W34" s="2"/>
      <c r="X34" s="2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2"/>
      <c r="U35" s="2"/>
      <c r="V35" s="2"/>
      <c r="W35" s="2"/>
      <c r="X35" s="2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2"/>
      <c r="U36" s="2"/>
      <c r="V36" s="2"/>
      <c r="W36" s="2"/>
      <c r="X36" s="2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2"/>
      <c r="U37" s="2"/>
      <c r="V37" s="2"/>
      <c r="W37" s="2"/>
      <c r="X37" s="2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2"/>
      <c r="U38" s="2"/>
      <c r="V38" s="2"/>
      <c r="W38" s="2"/>
      <c r="X38" s="2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2"/>
      <c r="U39" s="2"/>
      <c r="V39" s="2"/>
      <c r="W39" s="2"/>
      <c r="X39" s="2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2"/>
      <c r="U40" s="2"/>
      <c r="V40" s="2"/>
      <c r="W40" s="2"/>
      <c r="X40" s="2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2"/>
      <c r="U41" s="2"/>
      <c r="V41" s="2"/>
      <c r="W41" s="2"/>
      <c r="X41" s="2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2"/>
      <c r="U42" s="2"/>
      <c r="V42" s="2"/>
      <c r="W42" s="2"/>
      <c r="X42" s="2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2"/>
      <c r="U43" s="2"/>
      <c r="V43" s="2"/>
      <c r="W43" s="2"/>
      <c r="X43" s="2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2"/>
      <c r="U44" s="2"/>
      <c r="V44" s="2"/>
      <c r="W44" s="2"/>
      <c r="X44" s="2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2"/>
      <c r="U45" s="2"/>
      <c r="V45" s="2"/>
      <c r="W45" s="2"/>
      <c r="X45" s="2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2"/>
      <c r="U46" s="2"/>
      <c r="V46" s="2"/>
      <c r="W46" s="2"/>
      <c r="X46" s="2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2"/>
      <c r="U47" s="2"/>
      <c r="V47" s="2"/>
      <c r="W47" s="2"/>
      <c r="X47" s="2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2"/>
      <c r="U48" s="2"/>
      <c r="V48" s="2"/>
      <c r="W48" s="2"/>
      <c r="X48" s="2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2"/>
      <c r="U49" s="2"/>
      <c r="V49" s="2"/>
      <c r="W49" s="2"/>
      <c r="X49" s="2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2"/>
      <c r="U50" s="2"/>
      <c r="V50" s="2"/>
      <c r="W50" s="2"/>
      <c r="X50" s="2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2"/>
      <c r="U51" s="2"/>
      <c r="V51" s="2"/>
      <c r="W51" s="2"/>
      <c r="X51" s="2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2"/>
      <c r="U52" s="2"/>
      <c r="V52" s="2"/>
      <c r="W52" s="2"/>
      <c r="X52" s="2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2"/>
      <c r="U53" s="2"/>
      <c r="V53" s="2"/>
      <c r="W53" s="2"/>
      <c r="X53" s="2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2"/>
      <c r="U54" s="2"/>
      <c r="V54" s="2"/>
      <c r="W54" s="2"/>
      <c r="X54" s="2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2"/>
      <c r="U55" s="2"/>
      <c r="V55" s="2"/>
      <c r="W55" s="2"/>
      <c r="X55" s="2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2"/>
      <c r="U56" s="2"/>
      <c r="V56" s="2"/>
      <c r="W56" s="2"/>
      <c r="X56" s="2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2"/>
      <c r="U57" s="2"/>
      <c r="V57" s="2"/>
      <c r="W57" s="2"/>
      <c r="X57" s="2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2"/>
      <c r="U58" s="2"/>
      <c r="V58" s="2"/>
      <c r="W58" s="2"/>
      <c r="X58" s="2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2"/>
      <c r="U59" s="2"/>
      <c r="V59" s="2"/>
      <c r="W59" s="2"/>
      <c r="X59" s="2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2"/>
      <c r="U60" s="2"/>
      <c r="V60" s="2"/>
      <c r="W60" s="2"/>
      <c r="X60" s="2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2"/>
      <c r="U61" s="2"/>
      <c r="V61" s="2"/>
      <c r="W61" s="2"/>
      <c r="X61" s="2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2"/>
      <c r="U62" s="2"/>
      <c r="V62" s="2"/>
      <c r="W62" s="2"/>
      <c r="X62" s="2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2"/>
      <c r="U63" s="2"/>
      <c r="V63" s="2"/>
      <c r="W63" s="2"/>
      <c r="X63" s="2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2"/>
      <c r="U64" s="2"/>
      <c r="V64" s="2"/>
      <c r="W64" s="2"/>
      <c r="X64" s="2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2"/>
      <c r="U65" s="2"/>
      <c r="V65" s="2"/>
      <c r="W65" s="2"/>
      <c r="X65" s="2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2"/>
      <c r="U66" s="2"/>
      <c r="V66" s="2"/>
      <c r="W66" s="2"/>
      <c r="X66" s="2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2"/>
      <c r="U67" s="2"/>
      <c r="V67" s="2"/>
      <c r="W67" s="2"/>
      <c r="X67" s="2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2"/>
      <c r="U68" s="2"/>
      <c r="V68" s="2"/>
      <c r="W68" s="2"/>
      <c r="X68" s="2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2"/>
      <c r="U69" s="2"/>
      <c r="V69" s="2"/>
      <c r="W69" s="2"/>
      <c r="X69" s="2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2"/>
      <c r="U70" s="2"/>
      <c r="V70" s="2"/>
      <c r="W70" s="2"/>
      <c r="X70" s="2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2"/>
      <c r="U71" s="2"/>
      <c r="V71" s="2"/>
      <c r="W71" s="2"/>
      <c r="X71" s="2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2"/>
      <c r="U72" s="2"/>
      <c r="V72" s="2"/>
      <c r="W72" s="2"/>
      <c r="X72" s="2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2"/>
      <c r="U73" s="2"/>
      <c r="V73" s="2"/>
      <c r="W73" s="2"/>
      <c r="X73" s="2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2"/>
      <c r="U74" s="2"/>
      <c r="V74" s="2"/>
      <c r="W74" s="2"/>
      <c r="X74" s="2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2"/>
      <c r="U75" s="2"/>
      <c r="V75" s="2"/>
      <c r="W75" s="2"/>
      <c r="X75" s="2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2"/>
      <c r="U76" s="2"/>
      <c r="V76" s="2"/>
      <c r="W76" s="2"/>
      <c r="X76" s="2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2"/>
      <c r="U77" s="2"/>
      <c r="V77" s="2"/>
      <c r="W77" s="2"/>
      <c r="X77" s="2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2"/>
      <c r="U78" s="2"/>
      <c r="V78" s="2"/>
      <c r="W78" s="2"/>
      <c r="X78" s="2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2"/>
      <c r="U79" s="2"/>
      <c r="V79" s="2"/>
      <c r="W79" s="2"/>
      <c r="X79" s="2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2"/>
      <c r="U80" s="2"/>
      <c r="V80" s="2"/>
      <c r="W80" s="2"/>
      <c r="X80" s="2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2"/>
      <c r="U81" s="2"/>
      <c r="V81" s="2"/>
      <c r="W81" s="2"/>
      <c r="X81" s="2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2"/>
      <c r="U82" s="2"/>
      <c r="V82" s="2"/>
      <c r="W82" s="2"/>
      <c r="X82" s="2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2"/>
      <c r="U83" s="2"/>
      <c r="V83" s="2"/>
      <c r="W83" s="2"/>
      <c r="X83" s="2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2"/>
      <c r="U84" s="2"/>
      <c r="V84" s="2"/>
      <c r="W84" s="2"/>
      <c r="X84" s="2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2"/>
      <c r="U85" s="2"/>
      <c r="V85" s="2"/>
      <c r="W85" s="2"/>
      <c r="X85" s="2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2"/>
      <c r="U86" s="2"/>
      <c r="V86" s="2"/>
      <c r="W86" s="2"/>
      <c r="X86" s="2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2"/>
      <c r="U87" s="2"/>
      <c r="V87" s="2"/>
      <c r="W87" s="2"/>
      <c r="X87" s="2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2"/>
      <c r="U88" s="2"/>
      <c r="V88" s="2"/>
      <c r="W88" s="2"/>
      <c r="X88" s="2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2"/>
      <c r="U89" s="2"/>
      <c r="V89" s="2"/>
      <c r="W89" s="2"/>
      <c r="X89" s="2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2"/>
      <c r="U90" s="2"/>
      <c r="V90" s="2"/>
      <c r="W90" s="2"/>
      <c r="X90" s="2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</sheetData>
  <mergeCells count="5">
    <mergeCell ref="A5:S5"/>
    <mergeCell ref="A6:S6"/>
    <mergeCell ref="A7:S7"/>
    <mergeCell ref="A8:S8"/>
    <mergeCell ref="A9:S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28.88"/>
    <col customWidth="1" min="2" max="19" width="8.2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5.75" customHeight="1">
      <c r="A4" s="3" t="s">
        <v>0</v>
      </c>
    </row>
    <row r="5" ht="15.75" customHeight="1">
      <c r="A5" s="4" t="s">
        <v>1</v>
      </c>
    </row>
    <row r="6" ht="15.75" customHeight="1">
      <c r="A6" s="4" t="s">
        <v>2</v>
      </c>
    </row>
    <row r="7" ht="15.75" customHeight="1">
      <c r="A7" s="4" t="s">
        <v>3</v>
      </c>
    </row>
    <row r="8" ht="15.75" customHeight="1">
      <c r="A8" s="4" t="s">
        <v>4</v>
      </c>
    </row>
    <row r="9" ht="15.75" customHeight="1">
      <c r="A9" s="9" t="s">
        <v>5</v>
      </c>
      <c r="B9" s="10"/>
      <c r="C9" s="10"/>
      <c r="D9" s="10"/>
      <c r="E9" s="10"/>
      <c r="F9" s="10"/>
      <c r="G9" s="10"/>
      <c r="H9" s="11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ht="18.0" customHeight="1">
      <c r="A10" s="12" t="s">
        <v>6</v>
      </c>
      <c r="B10" s="13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/>
    </row>
    <row r="11" ht="15.75" customHeight="1">
      <c r="A11" s="16"/>
      <c r="B11" s="17"/>
      <c r="C11" s="17"/>
      <c r="D11" s="17"/>
      <c r="E11" s="17"/>
      <c r="F11" s="17"/>
      <c r="G11" s="17"/>
      <c r="H11" s="18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ht="15.75" customHeight="1">
      <c r="A12" s="20" t="s">
        <v>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/>
    </row>
    <row r="13" ht="15.75" customHeight="1">
      <c r="A13" s="23" t="s">
        <v>9</v>
      </c>
      <c r="B13" s="24" t="s">
        <v>10</v>
      </c>
      <c r="C13" s="25"/>
      <c r="D13" s="26"/>
      <c r="E13" s="24" t="s">
        <v>11</v>
      </c>
      <c r="F13" s="25"/>
      <c r="G13" s="26"/>
      <c r="H13" s="27" t="s">
        <v>12</v>
      </c>
      <c r="I13" s="28" t="s">
        <v>13</v>
      </c>
      <c r="J13" s="28" t="s">
        <v>14</v>
      </c>
      <c r="K13" s="28" t="s">
        <v>15</v>
      </c>
      <c r="L13" s="23" t="s">
        <v>16</v>
      </c>
      <c r="M13" s="28" t="s">
        <v>17</v>
      </c>
      <c r="N13" s="28" t="s">
        <v>18</v>
      </c>
      <c r="O13" s="29" t="s">
        <v>19</v>
      </c>
      <c r="P13" s="25"/>
      <c r="Q13" s="25"/>
      <c r="R13" s="25"/>
      <c r="S13" s="26"/>
    </row>
    <row r="14" ht="15.75" customHeight="1">
      <c r="A14" s="30"/>
      <c r="B14" s="31"/>
      <c r="C14" s="32"/>
      <c r="D14" s="33"/>
      <c r="E14" s="31"/>
      <c r="F14" s="32"/>
      <c r="G14" s="33"/>
      <c r="H14" s="30"/>
      <c r="I14" s="30"/>
      <c r="J14" s="30"/>
      <c r="K14" s="30"/>
      <c r="L14" s="30"/>
      <c r="M14" s="30"/>
      <c r="N14" s="30"/>
      <c r="O14" s="34"/>
      <c r="S14" s="35"/>
    </row>
    <row r="15" ht="15.75" customHeight="1">
      <c r="A15" s="30"/>
      <c r="B15" s="36" t="s">
        <v>20</v>
      </c>
      <c r="C15" s="36" t="s">
        <v>21</v>
      </c>
      <c r="D15" s="36" t="s">
        <v>22</v>
      </c>
      <c r="E15" s="36" t="s">
        <v>20</v>
      </c>
      <c r="F15" s="36" t="s">
        <v>21</v>
      </c>
      <c r="G15" s="36" t="s">
        <v>22</v>
      </c>
      <c r="H15" s="30"/>
      <c r="I15" s="30"/>
      <c r="J15" s="30"/>
      <c r="K15" s="30"/>
      <c r="L15" s="30"/>
      <c r="M15" s="30"/>
      <c r="N15" s="30"/>
      <c r="O15" s="31"/>
      <c r="P15" s="32"/>
      <c r="Q15" s="32"/>
      <c r="R15" s="32"/>
      <c r="S15" s="33"/>
    </row>
    <row r="1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8" t="s">
        <v>23</v>
      </c>
      <c r="P16" s="38" t="s">
        <v>24</v>
      </c>
      <c r="Q16" s="38" t="s">
        <v>25</v>
      </c>
      <c r="R16" s="38" t="s">
        <v>26</v>
      </c>
      <c r="S16" s="38" t="s">
        <v>27</v>
      </c>
    </row>
    <row r="17" ht="15.75" customHeight="1">
      <c r="A17" s="39" t="s">
        <v>28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</row>
    <row r="18" ht="15.75" customHeight="1">
      <c r="A18" s="40" t="s">
        <v>29</v>
      </c>
      <c r="B18" s="41">
        <f>'SHS- CONSO'!B33</f>
        <v>769</v>
      </c>
      <c r="C18" s="41">
        <f>'SHS- CONSO'!C33</f>
        <v>891</v>
      </c>
      <c r="D18" s="42">
        <f>'SHS- CONSO'!D33</f>
        <v>1660</v>
      </c>
      <c r="E18" s="43">
        <v>1661.0</v>
      </c>
      <c r="F18" s="43">
        <v>1579.0</v>
      </c>
      <c r="G18" s="42">
        <f>sum(E18:F18)</f>
        <v>3240</v>
      </c>
      <c r="H18" s="44" t="s">
        <v>30</v>
      </c>
      <c r="I18" s="45">
        <v>40.0</v>
      </c>
      <c r="J18" s="45">
        <v>39.0</v>
      </c>
      <c r="K18" s="46">
        <v>3.0</v>
      </c>
      <c r="L18" s="46">
        <v>28.96</v>
      </c>
      <c r="M18" s="47">
        <f>IFERROR(((L18/I18)*100)," ")</f>
        <v>72.4</v>
      </c>
      <c r="N18" s="48">
        <v>6.21</v>
      </c>
      <c r="O18" s="48">
        <v>16.0</v>
      </c>
      <c r="P18" s="48">
        <v>24.0</v>
      </c>
      <c r="Q18" s="48">
        <v>17.0</v>
      </c>
      <c r="R18" s="48">
        <v>18.0</v>
      </c>
      <c r="S18" s="49">
        <v>28.0</v>
      </c>
    </row>
    <row r="19" ht="15.75" customHeight="1">
      <c r="A19" s="50" t="s">
        <v>31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2"/>
    </row>
    <row r="20" ht="15.75" hidden="1" customHeight="1">
      <c r="A20" s="51" t="s">
        <v>32</v>
      </c>
      <c r="B20" s="52">
        <f>'SHS- CONSO'!B45</f>
        <v>848</v>
      </c>
      <c r="C20" s="52">
        <f>'SHS- CONSO'!C45</f>
        <v>966</v>
      </c>
      <c r="D20" s="53">
        <f>'SHS- CONSO'!D45</f>
        <v>1814</v>
      </c>
      <c r="E20" s="52">
        <f>'SHS- CONSO'!E45</f>
        <v>730</v>
      </c>
      <c r="F20" s="41">
        <f>'SHS- CONSO'!F45</f>
        <v>915</v>
      </c>
      <c r="G20" s="53">
        <f>'SHS- CONSO'!G45</f>
        <v>1645</v>
      </c>
      <c r="H20" s="54">
        <f>'SHS- CONSO'!I45</f>
        <v>40</v>
      </c>
      <c r="I20" s="54">
        <f>'SHS- CONSO'!J45</f>
        <v>36</v>
      </c>
      <c r="J20" s="54">
        <f>'SHS- CONSO'!K45</f>
        <v>10</v>
      </c>
      <c r="K20" s="55">
        <f>'SHS- CONSO'!L45</f>
        <v>23.51</v>
      </c>
      <c r="L20" s="55">
        <f>'SHS- CONSO'!M45</f>
        <v>58.775</v>
      </c>
      <c r="M20" s="55">
        <f>'SHS- CONSO'!N45</f>
        <v>5.53</v>
      </c>
      <c r="N20" s="41">
        <f>'SHS- CONSO'!O45</f>
        <v>40</v>
      </c>
      <c r="O20" s="41">
        <f>'SHS- CONSO'!P45</f>
        <v>30</v>
      </c>
      <c r="P20" s="41">
        <f>'SHS- CONSO'!Q45</f>
        <v>26</v>
      </c>
      <c r="Q20" s="41">
        <f>'SHS- CONSO'!R45</f>
        <v>22</v>
      </c>
      <c r="R20" s="41">
        <f>'SHS- CONSO'!S45</f>
        <v>24</v>
      </c>
      <c r="S20" s="56"/>
    </row>
    <row r="21" ht="15.75" hidden="1" customHeight="1">
      <c r="A21" s="51" t="s">
        <v>33</v>
      </c>
      <c r="B21" s="52">
        <f>'SHS- CONSO'!B46</f>
        <v>769</v>
      </c>
      <c r="C21" s="52">
        <f>'SHS- CONSO'!C46</f>
        <v>891</v>
      </c>
      <c r="D21" s="53">
        <f>'SHS- CONSO'!D46</f>
        <v>1660</v>
      </c>
      <c r="E21" s="52">
        <f>'SHS- CONSO'!E46</f>
        <v>747</v>
      </c>
      <c r="F21" s="41">
        <f>'SHS- CONSO'!F46</f>
        <v>871</v>
      </c>
      <c r="G21" s="53">
        <f>'SHS- CONSO'!G46</f>
        <v>1618</v>
      </c>
      <c r="H21" s="54">
        <f>'SHS- CONSO'!I46</f>
        <v>40</v>
      </c>
      <c r="I21" s="54">
        <f>'SHS- CONSO'!J46</f>
        <v>40</v>
      </c>
      <c r="J21" s="54">
        <f>'SHS- CONSO'!K46</f>
        <v>9</v>
      </c>
      <c r="K21" s="55">
        <f>'SHS- CONSO'!L46</f>
        <v>27.56</v>
      </c>
      <c r="L21" s="55">
        <f>'SHS- CONSO'!M46</f>
        <v>68.9</v>
      </c>
      <c r="M21" s="55">
        <f>'SHS- CONSO'!N46</f>
        <v>6.57</v>
      </c>
      <c r="N21" s="41">
        <f>'SHS- CONSO'!O46</f>
        <v>11</v>
      </c>
      <c r="O21" s="41">
        <f>'SHS- CONSO'!P46</f>
        <v>2</v>
      </c>
      <c r="P21" s="41">
        <f>'SHS- CONSO'!Q46</f>
        <v>21</v>
      </c>
      <c r="Q21" s="41">
        <f>'SHS- CONSO'!R46</f>
        <v>26</v>
      </c>
      <c r="R21" s="41">
        <f>'SHS- CONSO'!S46</f>
        <v>10</v>
      </c>
      <c r="S21" s="56"/>
    </row>
    <row r="22" ht="15.75" customHeight="1">
      <c r="A22" s="40" t="s">
        <v>34</v>
      </c>
      <c r="B22" s="57">
        <v>255.0</v>
      </c>
      <c r="C22" s="57">
        <v>412.0</v>
      </c>
      <c r="D22" s="42">
        <f t="shared" ref="D22:D26" si="1">sum(B22:C22)</f>
        <v>667</v>
      </c>
      <c r="E22" s="57">
        <v>251.0</v>
      </c>
      <c r="F22" s="58">
        <v>402.0</v>
      </c>
      <c r="G22" s="42">
        <f t="shared" ref="G22:G26" si="2">sum(E22:F22)</f>
        <v>653</v>
      </c>
      <c r="H22" s="44" t="s">
        <v>30</v>
      </c>
      <c r="I22" s="59">
        <v>40.0</v>
      </c>
      <c r="J22" s="60">
        <v>35.0</v>
      </c>
      <c r="K22" s="61">
        <v>4.0</v>
      </c>
      <c r="L22" s="61">
        <v>18.83</v>
      </c>
      <c r="M22" s="47">
        <f t="shared" ref="M22:M26" si="3">IFERROR(((L22/I22)*100)," ")</f>
        <v>47.075</v>
      </c>
      <c r="N22" s="62">
        <v>5.51</v>
      </c>
      <c r="O22" s="62">
        <v>13.0</v>
      </c>
      <c r="P22" s="62">
        <v>17.0</v>
      </c>
      <c r="Q22" s="62">
        <v>24.0</v>
      </c>
      <c r="R22" s="62">
        <v>19.0</v>
      </c>
      <c r="S22" s="63">
        <v>23.0</v>
      </c>
    </row>
    <row r="23" ht="15.75" customHeight="1">
      <c r="A23" s="40" t="s">
        <v>35</v>
      </c>
      <c r="B23" s="64" t="s">
        <v>30</v>
      </c>
      <c r="C23" s="64" t="s">
        <v>30</v>
      </c>
      <c r="D23" s="42">
        <f t="shared" si="1"/>
        <v>0</v>
      </c>
      <c r="E23" s="65">
        <v>258.0</v>
      </c>
      <c r="F23" s="43">
        <v>396.0</v>
      </c>
      <c r="G23" s="42">
        <f t="shared" si="2"/>
        <v>654</v>
      </c>
      <c r="H23" s="44" t="s">
        <v>30</v>
      </c>
      <c r="I23" s="59">
        <v>40.0</v>
      </c>
      <c r="J23" s="59">
        <v>36.0</v>
      </c>
      <c r="K23" s="66">
        <v>5.0</v>
      </c>
      <c r="L23" s="66">
        <v>18.3</v>
      </c>
      <c r="M23" s="47">
        <f t="shared" si="3"/>
        <v>45.75</v>
      </c>
      <c r="N23" s="48">
        <v>6.7</v>
      </c>
      <c r="O23" s="48">
        <v>6.0</v>
      </c>
      <c r="P23" s="48">
        <v>31.0</v>
      </c>
      <c r="Q23" s="48">
        <v>15.0</v>
      </c>
      <c r="R23" s="48">
        <v>32.0</v>
      </c>
      <c r="S23" s="49">
        <v>3.0</v>
      </c>
    </row>
    <row r="24" ht="15.75" hidden="1" customHeight="1">
      <c r="A24" s="40" t="s">
        <v>36</v>
      </c>
      <c r="B24" s="52" t="str">
        <f>'SHS- CONSO'!B49</f>
        <v/>
      </c>
      <c r="C24" s="52" t="str">
        <f>'SHS- CONSO'!C49</f>
        <v/>
      </c>
      <c r="D24" s="42">
        <f t="shared" si="1"/>
        <v>0</v>
      </c>
      <c r="E24" s="52"/>
      <c r="F24" s="41"/>
      <c r="G24" s="42">
        <f t="shared" si="2"/>
        <v>0</v>
      </c>
      <c r="H24" s="44" t="s">
        <v>30</v>
      </c>
      <c r="I24" s="67"/>
      <c r="J24" s="67"/>
      <c r="K24" s="55"/>
      <c r="L24" s="55"/>
      <c r="M24" s="47" t="str">
        <f t="shared" si="3"/>
        <v> </v>
      </c>
      <c r="N24" s="68"/>
      <c r="O24" s="68"/>
      <c r="P24" s="68"/>
      <c r="Q24" s="68"/>
      <c r="R24" s="68"/>
      <c r="S24" s="56"/>
    </row>
    <row r="25" ht="15.75" customHeight="1">
      <c r="A25" s="40" t="s">
        <v>37</v>
      </c>
      <c r="B25" s="65" t="s">
        <v>30</v>
      </c>
      <c r="C25" s="65" t="s">
        <v>30</v>
      </c>
      <c r="D25" s="42">
        <f t="shared" si="1"/>
        <v>0</v>
      </c>
      <c r="E25" s="65">
        <v>251.0</v>
      </c>
      <c r="F25" s="43">
        <v>402.0</v>
      </c>
      <c r="G25" s="42">
        <f t="shared" si="2"/>
        <v>653</v>
      </c>
      <c r="H25" s="44" t="s">
        <v>30</v>
      </c>
      <c r="I25" s="59">
        <v>40.0</v>
      </c>
      <c r="J25" s="59">
        <v>35.0</v>
      </c>
      <c r="K25" s="66">
        <v>5.0</v>
      </c>
      <c r="L25" s="66">
        <v>17.9</v>
      </c>
      <c r="M25" s="47">
        <f t="shared" si="3"/>
        <v>44.75</v>
      </c>
      <c r="N25" s="48">
        <v>5.9</v>
      </c>
      <c r="O25" s="48">
        <v>12.0</v>
      </c>
      <c r="P25" s="48">
        <v>15.0</v>
      </c>
      <c r="Q25" s="48">
        <v>39.0</v>
      </c>
      <c r="R25" s="48">
        <v>40.0</v>
      </c>
      <c r="S25" s="49">
        <v>18.0</v>
      </c>
    </row>
    <row r="26" ht="15.75" customHeight="1">
      <c r="A26" s="40" t="s">
        <v>38</v>
      </c>
      <c r="B26" s="65" t="s">
        <v>30</v>
      </c>
      <c r="C26" s="65" t="s">
        <v>30</v>
      </c>
      <c r="D26" s="42">
        <f t="shared" si="1"/>
        <v>0</v>
      </c>
      <c r="E26" s="65">
        <v>260.0</v>
      </c>
      <c r="F26" s="43">
        <v>400.0</v>
      </c>
      <c r="G26" s="42">
        <f t="shared" si="2"/>
        <v>660</v>
      </c>
      <c r="H26" s="44" t="s">
        <v>30</v>
      </c>
      <c r="I26" s="59">
        <v>40.0</v>
      </c>
      <c r="J26" s="59">
        <v>37.0</v>
      </c>
      <c r="K26" s="66">
        <v>5.0</v>
      </c>
      <c r="L26" s="66">
        <v>21.87</v>
      </c>
      <c r="M26" s="47">
        <f t="shared" si="3"/>
        <v>54.675</v>
      </c>
      <c r="N26" s="48">
        <v>5.9</v>
      </c>
      <c r="O26" s="48">
        <v>38.0</v>
      </c>
      <c r="P26" s="48">
        <v>9.0</v>
      </c>
      <c r="Q26" s="48">
        <v>18.0</v>
      </c>
      <c r="R26" s="48">
        <v>4.0</v>
      </c>
      <c r="S26" s="49">
        <v>8.0</v>
      </c>
    </row>
    <row r="27" ht="15.75" hidden="1" customHeight="1">
      <c r="A27" s="51" t="s">
        <v>39</v>
      </c>
      <c r="B27" s="52" t="str">
        <f>'SHS- CONSO'!B52</f>
        <v/>
      </c>
      <c r="C27" s="52" t="str">
        <f>'SHS- CONSO'!C52</f>
        <v/>
      </c>
      <c r="D27" s="53" t="str">
        <f>'SHS- CONSO'!D52</f>
        <v/>
      </c>
      <c r="E27" s="52" t="str">
        <f>'SHS- CONSO'!E52</f>
        <v/>
      </c>
      <c r="F27" s="41" t="str">
        <f>'SHS- CONSO'!F52</f>
        <v/>
      </c>
      <c r="G27" s="53" t="str">
        <f>'SHS- CONSO'!G52</f>
        <v/>
      </c>
      <c r="H27" s="67" t="str">
        <f>'SHS- CONSO'!I52</f>
        <v/>
      </c>
      <c r="I27" s="67" t="str">
        <f>'SHS- CONSO'!J52</f>
        <v/>
      </c>
      <c r="J27" s="67" t="str">
        <f>'SHS- CONSO'!K52</f>
        <v/>
      </c>
      <c r="K27" s="55" t="str">
        <f>'SHS- CONSO'!L52</f>
        <v/>
      </c>
      <c r="L27" s="55" t="str">
        <f>'SHS- CONSO'!M52</f>
        <v/>
      </c>
      <c r="M27" s="55" t="str">
        <f>'SHS- CONSO'!N52</f>
        <v/>
      </c>
      <c r="N27" s="68" t="str">
        <f>'SHS- CONSO'!O52</f>
        <v/>
      </c>
      <c r="O27" s="68" t="str">
        <f>'SHS- CONSO'!P52</f>
        <v/>
      </c>
      <c r="P27" s="68" t="str">
        <f>'SHS- CONSO'!Q52</f>
        <v/>
      </c>
      <c r="Q27" s="68" t="str">
        <f>'SHS- CONSO'!R52</f>
        <v/>
      </c>
      <c r="R27" s="68" t="str">
        <f>'SHS- CONSO'!S52</f>
        <v/>
      </c>
      <c r="S27" s="56"/>
    </row>
    <row r="28" ht="15.75" customHeight="1">
      <c r="A28" s="69" t="s">
        <v>40</v>
      </c>
      <c r="B28" s="70">
        <f t="shared" ref="B28:G28" si="4">SUM(B17:B27)</f>
        <v>2641</v>
      </c>
      <c r="C28" s="70">
        <f t="shared" si="4"/>
        <v>3160</v>
      </c>
      <c r="D28" s="70">
        <f t="shared" si="4"/>
        <v>5801</v>
      </c>
      <c r="E28" s="70">
        <f t="shared" si="4"/>
        <v>4158</v>
      </c>
      <c r="F28" s="70">
        <f t="shared" si="4"/>
        <v>4965</v>
      </c>
      <c r="G28" s="70">
        <f t="shared" si="4"/>
        <v>9123</v>
      </c>
      <c r="H28" s="71">
        <f t="shared" ref="H28:I28" si="5">AVERAGE(H17:H27)</f>
        <v>40</v>
      </c>
      <c r="I28" s="72">
        <f t="shared" si="5"/>
        <v>39.42857143</v>
      </c>
      <c r="J28" s="72">
        <f t="shared" ref="J28:S28" si="6">IFERROR((AVERAGE(J16:J19,J21:J24,J26:J27)),"")</f>
        <v>31.2</v>
      </c>
      <c r="K28" s="72">
        <f t="shared" si="6"/>
        <v>8.912</v>
      </c>
      <c r="L28" s="72">
        <f t="shared" si="6"/>
        <v>31.372</v>
      </c>
      <c r="M28" s="72">
        <f t="shared" si="6"/>
        <v>45.294</v>
      </c>
      <c r="N28" s="72">
        <f t="shared" si="6"/>
        <v>7.064</v>
      </c>
      <c r="O28" s="72">
        <f t="shared" si="6"/>
        <v>15</v>
      </c>
      <c r="P28" s="72">
        <f t="shared" si="6"/>
        <v>20.4</v>
      </c>
      <c r="Q28" s="72">
        <f t="shared" si="6"/>
        <v>20</v>
      </c>
      <c r="R28" s="72">
        <f t="shared" si="6"/>
        <v>16.6</v>
      </c>
      <c r="S28" s="72">
        <f t="shared" si="6"/>
        <v>15.5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</sheetData>
  <mergeCells count="26">
    <mergeCell ref="A4:S4"/>
    <mergeCell ref="A5:S5"/>
    <mergeCell ref="A6:S6"/>
    <mergeCell ref="A7:S7"/>
    <mergeCell ref="A8:S8"/>
    <mergeCell ref="B10:S10"/>
    <mergeCell ref="A12:S12"/>
    <mergeCell ref="L13:L16"/>
    <mergeCell ref="M13:M16"/>
    <mergeCell ref="N13:N16"/>
    <mergeCell ref="O13:S15"/>
    <mergeCell ref="B15:B16"/>
    <mergeCell ref="C15:C16"/>
    <mergeCell ref="D15:D16"/>
    <mergeCell ref="E15:E16"/>
    <mergeCell ref="F15:F16"/>
    <mergeCell ref="G15:G16"/>
    <mergeCell ref="A17:S17"/>
    <mergeCell ref="A19:S19"/>
    <mergeCell ref="A13:A16"/>
    <mergeCell ref="B13:D14"/>
    <mergeCell ref="E13:G14"/>
    <mergeCell ref="H13:H16"/>
    <mergeCell ref="I13:I16"/>
    <mergeCell ref="J13:J16"/>
    <mergeCell ref="K13:K16"/>
  </mergeCells>
  <conditionalFormatting sqref="S18 S20:S27">
    <cfRule type="containsBlanks" dxfId="0" priority="1">
      <formula>LEN(TRIM(S18))=0</formula>
    </cfRule>
  </conditionalFormatting>
  <conditionalFormatting sqref="E18:F18 I18:R18 E22:F26 I22:R26">
    <cfRule type="containsBlanks" dxfId="0" priority="2">
      <formula>LEN(TRIM(E18))=0</formula>
    </cfRule>
  </conditionalFormatting>
  <printOptions/>
  <pageMargins bottom="0.3" footer="0.0" header="0.0" left="0.3" right="0.3" top="0.3"/>
  <pageSetup paperSize="14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44.13"/>
    <col customWidth="1" min="2" max="19" width="8.25"/>
    <col hidden="1" min="20" max="2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5.75" customHeight="1">
      <c r="A4" s="3" t="s">
        <v>0</v>
      </c>
    </row>
    <row r="5" ht="15.75" customHeight="1">
      <c r="A5" s="4" t="s">
        <v>1</v>
      </c>
    </row>
    <row r="6" ht="15.75" customHeight="1">
      <c r="A6" s="4" t="s">
        <v>2</v>
      </c>
    </row>
    <row r="7" ht="15.75" customHeight="1">
      <c r="A7" s="4" t="s">
        <v>3</v>
      </c>
    </row>
    <row r="8" ht="15.75" customHeight="1">
      <c r="A8" s="4" t="s">
        <v>4</v>
      </c>
    </row>
    <row r="9" ht="15.75" customHeight="1">
      <c r="A9" s="9" t="s">
        <v>5</v>
      </c>
      <c r="B9" s="10"/>
      <c r="C9" s="10"/>
      <c r="D9" s="10"/>
      <c r="E9" s="10"/>
      <c r="F9" s="10"/>
      <c r="G9" s="10"/>
      <c r="H9" s="11"/>
      <c r="I9" s="11"/>
      <c r="J9" s="9"/>
      <c r="K9" s="9"/>
      <c r="L9" s="9"/>
      <c r="M9" s="9"/>
      <c r="N9" s="9"/>
      <c r="O9" s="9"/>
      <c r="P9" s="9"/>
      <c r="Q9" s="9"/>
      <c r="R9" s="9"/>
      <c r="S9" s="9"/>
    </row>
    <row r="10" ht="15.75" customHeight="1">
      <c r="A10" s="12" t="s">
        <v>6</v>
      </c>
      <c r="B10" s="13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/>
    </row>
    <row r="11" ht="18.0" customHeight="1">
      <c r="A11" s="16"/>
      <c r="B11" s="17"/>
      <c r="C11" s="17"/>
      <c r="D11" s="17"/>
      <c r="E11" s="17"/>
      <c r="F11" s="17"/>
      <c r="G11" s="17"/>
      <c r="H11" s="18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ht="13.5" customHeight="1">
      <c r="A12" s="20" t="s">
        <v>41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/>
    </row>
    <row r="13" ht="15.75" customHeight="1">
      <c r="A13" s="73" t="s">
        <v>9</v>
      </c>
      <c r="B13" s="24" t="s">
        <v>10</v>
      </c>
      <c r="C13" s="25"/>
      <c r="D13" s="26"/>
      <c r="E13" s="74" t="s">
        <v>11</v>
      </c>
      <c r="F13" s="25"/>
      <c r="G13" s="26"/>
      <c r="H13" s="27" t="s">
        <v>12</v>
      </c>
      <c r="I13" s="28" t="s">
        <v>13</v>
      </c>
      <c r="J13" s="28" t="s">
        <v>14</v>
      </c>
      <c r="K13" s="28" t="s">
        <v>15</v>
      </c>
      <c r="L13" s="23" t="s">
        <v>16</v>
      </c>
      <c r="M13" s="28" t="s">
        <v>17</v>
      </c>
      <c r="N13" s="28" t="s">
        <v>18</v>
      </c>
      <c r="O13" s="29" t="s">
        <v>19</v>
      </c>
      <c r="P13" s="25"/>
      <c r="Q13" s="25"/>
      <c r="R13" s="25"/>
      <c r="S13" s="26"/>
    </row>
    <row r="14" ht="15.75" customHeight="1">
      <c r="A14" s="30"/>
      <c r="B14" s="31"/>
      <c r="C14" s="32"/>
      <c r="D14" s="33"/>
      <c r="E14" s="31"/>
      <c r="F14" s="32"/>
      <c r="G14" s="33"/>
      <c r="H14" s="30"/>
      <c r="I14" s="30"/>
      <c r="J14" s="30"/>
      <c r="K14" s="30"/>
      <c r="L14" s="30"/>
      <c r="M14" s="30"/>
      <c r="N14" s="30"/>
      <c r="O14" s="34"/>
      <c r="S14" s="35"/>
    </row>
    <row r="15" ht="15.75" customHeight="1">
      <c r="A15" s="30"/>
      <c r="B15" s="36" t="s">
        <v>20</v>
      </c>
      <c r="C15" s="36" t="s">
        <v>21</v>
      </c>
      <c r="D15" s="36" t="s">
        <v>22</v>
      </c>
      <c r="E15" s="36" t="s">
        <v>20</v>
      </c>
      <c r="F15" s="36" t="s">
        <v>21</v>
      </c>
      <c r="G15" s="36" t="s">
        <v>22</v>
      </c>
      <c r="H15" s="30"/>
      <c r="I15" s="30"/>
      <c r="J15" s="30"/>
      <c r="K15" s="30"/>
      <c r="L15" s="30"/>
      <c r="M15" s="30"/>
      <c r="N15" s="30"/>
      <c r="O15" s="31"/>
      <c r="P15" s="32"/>
      <c r="Q15" s="32"/>
      <c r="R15" s="32"/>
      <c r="S15" s="33"/>
    </row>
    <row r="1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8" t="s">
        <v>23</v>
      </c>
      <c r="P16" s="38" t="s">
        <v>24</v>
      </c>
      <c r="Q16" s="38" t="s">
        <v>25</v>
      </c>
      <c r="R16" s="38" t="s">
        <v>26</v>
      </c>
      <c r="S16" s="38" t="s">
        <v>27</v>
      </c>
    </row>
    <row r="17" ht="15.75" customHeight="1">
      <c r="A17" s="75" t="s">
        <v>42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</row>
    <row r="18" ht="15.75" customHeight="1">
      <c r="A18" s="76" t="s">
        <v>43</v>
      </c>
      <c r="B18" s="77">
        <f>'SHS- CONSO'!B17</f>
        <v>980</v>
      </c>
      <c r="C18" s="77">
        <f>'SHS- CONSO'!C17</f>
        <v>926</v>
      </c>
      <c r="D18" s="78">
        <f t="shared" ref="D18:D21" si="1">sum(B18:C18)</f>
        <v>1906</v>
      </c>
      <c r="E18" s="79">
        <v>813.0</v>
      </c>
      <c r="F18" s="80">
        <v>801.0</v>
      </c>
      <c r="G18" s="78">
        <f t="shared" ref="G18:G21" si="2">sum(E18:F18)</f>
        <v>1614</v>
      </c>
      <c r="H18" s="81" t="s">
        <v>30</v>
      </c>
      <c r="I18" s="82">
        <v>40.0</v>
      </c>
      <c r="J18" s="82">
        <v>38.0</v>
      </c>
      <c r="K18" s="82">
        <v>11.0</v>
      </c>
      <c r="L18" s="83">
        <v>24.5</v>
      </c>
      <c r="M18" s="47">
        <f t="shared" ref="M18:M21" si="3">IFERROR(((L18/I18)*100)," ")</f>
        <v>61.25</v>
      </c>
      <c r="N18" s="83">
        <v>4.5</v>
      </c>
      <c r="O18" s="49">
        <v>4.0</v>
      </c>
      <c r="P18" s="49">
        <v>11.0</v>
      </c>
      <c r="Q18" s="49">
        <v>17.0</v>
      </c>
      <c r="R18" s="49">
        <v>33.0</v>
      </c>
      <c r="S18" s="49">
        <v>38.0</v>
      </c>
    </row>
    <row r="19" ht="15.75" customHeight="1">
      <c r="A19" s="76" t="s">
        <v>44</v>
      </c>
      <c r="B19" s="84">
        <f>'SHS- CONSO'!B25</f>
        <v>848</v>
      </c>
      <c r="C19" s="84">
        <f>'SHS- CONSO'!C25</f>
        <v>966</v>
      </c>
      <c r="D19" s="78">
        <f t="shared" si="1"/>
        <v>1814</v>
      </c>
      <c r="E19" s="80">
        <v>799.0</v>
      </c>
      <c r="F19" s="80">
        <v>963.0</v>
      </c>
      <c r="G19" s="78">
        <f t="shared" si="2"/>
        <v>1762</v>
      </c>
      <c r="H19" s="81" t="s">
        <v>30</v>
      </c>
      <c r="I19" s="85">
        <v>40.0</v>
      </c>
      <c r="J19" s="85">
        <v>39.0</v>
      </c>
      <c r="K19" s="85">
        <v>9.0</v>
      </c>
      <c r="L19" s="86">
        <v>26.2</v>
      </c>
      <c r="M19" s="47">
        <f t="shared" si="3"/>
        <v>65.5</v>
      </c>
      <c r="N19" s="86">
        <v>5.4</v>
      </c>
      <c r="O19" s="49">
        <v>23.0</v>
      </c>
      <c r="P19" s="49">
        <v>21.0</v>
      </c>
      <c r="Q19" s="49">
        <v>16.0</v>
      </c>
      <c r="R19" s="49">
        <v>34.0</v>
      </c>
      <c r="S19" s="49">
        <v>15.0</v>
      </c>
    </row>
    <row r="20" ht="15.75" customHeight="1">
      <c r="A20" s="76" t="s">
        <v>45</v>
      </c>
      <c r="B20" s="80">
        <f>'SHS- CONSO'!B26</f>
        <v>721</v>
      </c>
      <c r="C20" s="80">
        <f>'SHS- CONSO'!C26</f>
        <v>621</v>
      </c>
      <c r="D20" s="78">
        <f t="shared" si="1"/>
        <v>1342</v>
      </c>
      <c r="E20" s="87">
        <v>726.0</v>
      </c>
      <c r="F20" s="87">
        <v>562.0</v>
      </c>
      <c r="G20" s="78">
        <f t="shared" si="2"/>
        <v>1288</v>
      </c>
      <c r="H20" s="81" t="s">
        <v>30</v>
      </c>
      <c r="I20" s="85">
        <v>40.0</v>
      </c>
      <c r="J20" s="85">
        <v>40.0</v>
      </c>
      <c r="K20" s="85">
        <v>5.0</v>
      </c>
      <c r="L20" s="83">
        <v>21.89</v>
      </c>
      <c r="M20" s="47">
        <f t="shared" si="3"/>
        <v>54.725</v>
      </c>
      <c r="N20" s="83">
        <v>6.34</v>
      </c>
      <c r="O20" s="49">
        <v>22.0</v>
      </c>
      <c r="P20" s="49">
        <v>23.0</v>
      </c>
      <c r="Q20" s="49">
        <v>16.0</v>
      </c>
      <c r="R20" s="49">
        <v>30.0</v>
      </c>
      <c r="S20" s="49">
        <v>25.0</v>
      </c>
    </row>
    <row r="21" ht="20.25" customHeight="1">
      <c r="A21" s="76" t="s">
        <v>46</v>
      </c>
      <c r="B21" s="88">
        <f>'SHS- CONSO'!B32</f>
        <v>769</v>
      </c>
      <c r="C21" s="88">
        <f>'SHS- CONSO'!C32</f>
        <v>891</v>
      </c>
      <c r="D21" s="78">
        <f t="shared" si="1"/>
        <v>1660</v>
      </c>
      <c r="E21" s="89">
        <v>755.0</v>
      </c>
      <c r="F21" s="89">
        <v>877.0</v>
      </c>
      <c r="G21" s="78">
        <f t="shared" si="2"/>
        <v>1632</v>
      </c>
      <c r="H21" s="81" t="s">
        <v>30</v>
      </c>
      <c r="I21" s="77">
        <v>40.0</v>
      </c>
      <c r="J21" s="90">
        <v>38.0</v>
      </c>
      <c r="K21" s="90">
        <v>8.0</v>
      </c>
      <c r="L21" s="91">
        <v>26.94</v>
      </c>
      <c r="M21" s="47">
        <f t="shared" si="3"/>
        <v>67.35</v>
      </c>
      <c r="N21" s="91">
        <v>8.94</v>
      </c>
      <c r="O21" s="92">
        <v>34.0</v>
      </c>
      <c r="P21" s="92">
        <v>21.0</v>
      </c>
      <c r="Q21" s="92">
        <v>23.0</v>
      </c>
      <c r="R21" s="92">
        <v>34.0</v>
      </c>
      <c r="S21" s="92">
        <v>36.0</v>
      </c>
    </row>
    <row r="22" ht="15.75" customHeight="1">
      <c r="A22" s="39" t="s">
        <v>28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2"/>
    </row>
    <row r="23" ht="24.75" customHeight="1">
      <c r="A23" s="76" t="s">
        <v>47</v>
      </c>
      <c r="B23" s="93">
        <f>'SHS- CONSO'!B43</f>
        <v>721</v>
      </c>
      <c r="C23" s="93">
        <f>'SHS- CONSO'!C43</f>
        <v>621</v>
      </c>
      <c r="D23" s="78">
        <f t="shared" ref="D23:D26" si="4">sum(B23:C23)</f>
        <v>1342</v>
      </c>
      <c r="E23" s="77">
        <v>674.0</v>
      </c>
      <c r="F23" s="77">
        <v>594.0</v>
      </c>
      <c r="G23" s="78">
        <f t="shared" ref="G23:G26" si="5">sum(E23:F23)</f>
        <v>1268</v>
      </c>
      <c r="H23" s="81" t="s">
        <v>30</v>
      </c>
      <c r="I23" s="77">
        <v>40.0</v>
      </c>
      <c r="J23" s="77">
        <v>34.0</v>
      </c>
      <c r="K23" s="77">
        <v>13.0</v>
      </c>
      <c r="L23" s="94">
        <v>23.5</v>
      </c>
      <c r="M23" s="86">
        <v>58.75</v>
      </c>
      <c r="N23" s="77">
        <v>3.5</v>
      </c>
      <c r="O23" s="77">
        <v>36.0</v>
      </c>
      <c r="P23" s="77">
        <v>9.0</v>
      </c>
      <c r="Q23" s="77">
        <v>6.0</v>
      </c>
      <c r="R23" s="77">
        <v>11.0</v>
      </c>
      <c r="S23" s="77">
        <v>3.0</v>
      </c>
    </row>
    <row r="24" ht="15.75" hidden="1" customHeight="1">
      <c r="A24" s="76" t="s">
        <v>48</v>
      </c>
      <c r="B24" s="77"/>
      <c r="C24" s="77" t="s">
        <v>30</v>
      </c>
      <c r="D24" s="78">
        <f t="shared" si="4"/>
        <v>0</v>
      </c>
      <c r="E24" s="93"/>
      <c r="F24" s="93"/>
      <c r="G24" s="78">
        <f t="shared" si="5"/>
        <v>0</v>
      </c>
      <c r="H24" s="81" t="s">
        <v>30</v>
      </c>
      <c r="I24" s="77">
        <v>40.0</v>
      </c>
      <c r="J24" s="77"/>
      <c r="K24" s="77"/>
      <c r="L24" s="95"/>
      <c r="M24" s="47">
        <f t="shared" ref="M24:M26" si="6">IFERROR(((L24/I24)*100)," ")</f>
        <v>0</v>
      </c>
      <c r="N24" s="93"/>
      <c r="O24" s="93"/>
      <c r="P24" s="93"/>
      <c r="Q24" s="93"/>
      <c r="R24" s="93"/>
      <c r="S24" s="93"/>
    </row>
    <row r="25" ht="18.0" customHeight="1">
      <c r="A25" s="76" t="s">
        <v>49</v>
      </c>
      <c r="B25" s="93">
        <f>'SHS- CONSO'!B46</f>
        <v>769</v>
      </c>
      <c r="C25" s="93">
        <f>'SHS- CONSO'!C46</f>
        <v>891</v>
      </c>
      <c r="D25" s="78">
        <f t="shared" si="4"/>
        <v>1660</v>
      </c>
      <c r="E25" s="77">
        <v>747.0</v>
      </c>
      <c r="F25" s="77">
        <v>871.0</v>
      </c>
      <c r="G25" s="78">
        <f t="shared" si="5"/>
        <v>1618</v>
      </c>
      <c r="H25" s="81" t="s">
        <v>30</v>
      </c>
      <c r="I25" s="77">
        <v>40.0</v>
      </c>
      <c r="J25" s="77">
        <v>40.0</v>
      </c>
      <c r="K25" s="77">
        <v>9.0</v>
      </c>
      <c r="L25" s="96">
        <v>27.56</v>
      </c>
      <c r="M25" s="47">
        <f t="shared" si="6"/>
        <v>68.9</v>
      </c>
      <c r="N25" s="77">
        <v>6.57</v>
      </c>
      <c r="O25" s="77">
        <v>11.0</v>
      </c>
      <c r="P25" s="77">
        <v>2.0</v>
      </c>
      <c r="Q25" s="77">
        <v>21.0</v>
      </c>
      <c r="R25" s="77">
        <v>26.0</v>
      </c>
      <c r="S25" s="77">
        <v>10.0</v>
      </c>
    </row>
    <row r="26" ht="15.75" customHeight="1">
      <c r="A26" s="76" t="s">
        <v>50</v>
      </c>
      <c r="B26" s="93">
        <f>'SHS- CONSO'!B47</f>
        <v>1709</v>
      </c>
      <c r="C26" s="93">
        <f>'SHS- CONSO'!C47</f>
        <v>1684</v>
      </c>
      <c r="D26" s="78">
        <f t="shared" si="4"/>
        <v>3393</v>
      </c>
      <c r="E26" s="77">
        <v>1253.0</v>
      </c>
      <c r="F26" s="77">
        <v>1279.0</v>
      </c>
      <c r="G26" s="78">
        <f t="shared" si="5"/>
        <v>2532</v>
      </c>
      <c r="H26" s="81" t="s">
        <v>30</v>
      </c>
      <c r="I26" s="93">
        <f>'SHS- CONSO'!I47</f>
        <v>40</v>
      </c>
      <c r="J26" s="77">
        <v>40.0</v>
      </c>
      <c r="K26" s="77">
        <v>10.0</v>
      </c>
      <c r="L26" s="96">
        <v>25.0</v>
      </c>
      <c r="M26" s="47">
        <f t="shared" si="6"/>
        <v>62.5</v>
      </c>
      <c r="N26" s="77">
        <v>5.0</v>
      </c>
      <c r="O26" s="77">
        <v>9.0</v>
      </c>
      <c r="P26" s="77">
        <v>13.0</v>
      </c>
      <c r="Q26" s="77">
        <v>39.0</v>
      </c>
      <c r="R26" s="77">
        <v>28.0</v>
      </c>
      <c r="S26" s="77">
        <v>29.0</v>
      </c>
    </row>
    <row r="27" ht="15.75" customHeight="1">
      <c r="A27" s="50" t="s">
        <v>31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2"/>
    </row>
    <row r="28" ht="16.5" customHeight="1">
      <c r="A28" s="76" t="s">
        <v>51</v>
      </c>
      <c r="B28" s="93">
        <f>'SHS- CONSO'!B67</f>
        <v>140</v>
      </c>
      <c r="C28" s="93">
        <f>'SHS- CONSO'!C67</f>
        <v>183</v>
      </c>
      <c r="D28" s="78">
        <f t="shared" ref="D28:D29" si="7">sum(B28:C28)</f>
        <v>323</v>
      </c>
      <c r="E28" s="77">
        <v>134.0</v>
      </c>
      <c r="F28" s="80">
        <v>175.0</v>
      </c>
      <c r="G28" s="78">
        <f t="shared" ref="G28:G29" si="8">sum(E28:F28)</f>
        <v>309</v>
      </c>
      <c r="H28" s="81" t="s">
        <v>30</v>
      </c>
      <c r="I28" s="82">
        <v>40.0</v>
      </c>
      <c r="J28" s="82">
        <v>38.0</v>
      </c>
      <c r="K28" s="82">
        <v>7.0</v>
      </c>
      <c r="L28" s="97">
        <v>21.5</v>
      </c>
      <c r="M28" s="47">
        <f>IFERROR(((L28/I28)*100)," ")</f>
        <v>53.75</v>
      </c>
      <c r="N28" s="98">
        <v>6.33</v>
      </c>
      <c r="O28" s="99">
        <v>40.0</v>
      </c>
      <c r="P28" s="99">
        <v>11.0</v>
      </c>
      <c r="Q28" s="99">
        <v>13.0</v>
      </c>
      <c r="R28" s="99">
        <v>35.0</v>
      </c>
      <c r="S28" s="99">
        <v>4.0</v>
      </c>
    </row>
    <row r="29" ht="1.5" customHeight="1">
      <c r="A29" s="100" t="s">
        <v>52</v>
      </c>
      <c r="B29" s="93">
        <f>'SHS- CONSO'!B68</f>
        <v>0</v>
      </c>
      <c r="C29" s="93">
        <f>'SHS- CONSO'!C68</f>
        <v>0</v>
      </c>
      <c r="D29" s="78">
        <f t="shared" si="7"/>
        <v>0</v>
      </c>
      <c r="E29" s="77" t="s">
        <v>30</v>
      </c>
      <c r="F29" s="80" t="s">
        <v>30</v>
      </c>
      <c r="G29" s="78">
        <f t="shared" si="8"/>
        <v>0</v>
      </c>
      <c r="H29" s="81" t="s">
        <v>30</v>
      </c>
      <c r="I29" s="82">
        <v>40.0</v>
      </c>
      <c r="J29" s="82" t="s">
        <v>30</v>
      </c>
      <c r="K29" s="82" t="s">
        <v>30</v>
      </c>
      <c r="L29" s="83" t="s">
        <v>30</v>
      </c>
      <c r="M29" s="83" t="s">
        <v>30</v>
      </c>
      <c r="N29" s="83" t="s">
        <v>30</v>
      </c>
      <c r="O29" s="49" t="s">
        <v>30</v>
      </c>
      <c r="P29" s="49" t="s">
        <v>30</v>
      </c>
      <c r="Q29" s="49" t="s">
        <v>30</v>
      </c>
      <c r="R29" s="49" t="s">
        <v>30</v>
      </c>
      <c r="S29" s="49" t="s">
        <v>30</v>
      </c>
    </row>
    <row r="30" ht="15.75" customHeight="1">
      <c r="A30" s="38" t="s">
        <v>40</v>
      </c>
      <c r="B30" s="101">
        <f t="shared" ref="B30:G30" si="9">SUM(B18:B21,B23:B26,B28:B29)</f>
        <v>6657</v>
      </c>
      <c r="C30" s="101">
        <f t="shared" si="9"/>
        <v>6783</v>
      </c>
      <c r="D30" s="101">
        <f t="shared" si="9"/>
        <v>13440</v>
      </c>
      <c r="E30" s="101">
        <f t="shared" si="9"/>
        <v>5901</v>
      </c>
      <c r="F30" s="101">
        <f t="shared" si="9"/>
        <v>6122</v>
      </c>
      <c r="G30" s="101">
        <f t="shared" si="9"/>
        <v>12023</v>
      </c>
      <c r="H30" s="102"/>
      <c r="I30" s="102">
        <f>AVERAGE(I18:I21,I23:I26,I28:I29)</f>
        <v>40</v>
      </c>
      <c r="J30" s="103">
        <f t="shared" ref="J30:S30" si="10">IFERROR((AVERAGE(J18:J21,J23:J26,J28:J29)),"")</f>
        <v>38.375</v>
      </c>
      <c r="K30" s="103">
        <f t="shared" si="10"/>
        <v>9</v>
      </c>
      <c r="L30" s="103">
        <f t="shared" si="10"/>
        <v>24.63625</v>
      </c>
      <c r="M30" s="103">
        <f t="shared" si="10"/>
        <v>54.74722222</v>
      </c>
      <c r="N30" s="103">
        <f t="shared" si="10"/>
        <v>5.8225</v>
      </c>
      <c r="O30" s="103">
        <f t="shared" si="10"/>
        <v>22.375</v>
      </c>
      <c r="P30" s="103">
        <f t="shared" si="10"/>
        <v>13.875</v>
      </c>
      <c r="Q30" s="103">
        <f t="shared" si="10"/>
        <v>18.875</v>
      </c>
      <c r="R30" s="103">
        <f t="shared" si="10"/>
        <v>28.875</v>
      </c>
      <c r="S30" s="103">
        <f t="shared" si="10"/>
        <v>20</v>
      </c>
    </row>
    <row r="31" ht="15.75" hidden="1" customHeight="1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</row>
    <row r="32" ht="15.75" hidden="1" customHeight="1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6"/>
      <c r="M32" s="106"/>
      <c r="N32" s="106"/>
      <c r="O32" s="104"/>
      <c r="P32" s="104"/>
      <c r="Q32" s="104"/>
      <c r="R32" s="104"/>
      <c r="S32" s="104"/>
    </row>
    <row r="33" ht="15.75" hidden="1" customHeight="1"/>
    <row r="34" ht="15.75" hidden="1" customHeight="1"/>
    <row r="35" ht="15.75" hidden="1" customHeight="1"/>
    <row r="36" ht="117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</sheetData>
  <mergeCells count="27">
    <mergeCell ref="A4:S4"/>
    <mergeCell ref="A5:S5"/>
    <mergeCell ref="A6:S6"/>
    <mergeCell ref="A7:S7"/>
    <mergeCell ref="A8:S8"/>
    <mergeCell ref="B10:S10"/>
    <mergeCell ref="A12:S12"/>
    <mergeCell ref="L13:L16"/>
    <mergeCell ref="M13:M16"/>
    <mergeCell ref="N13:N16"/>
    <mergeCell ref="O13:S15"/>
    <mergeCell ref="B15:B16"/>
    <mergeCell ref="C15:C16"/>
    <mergeCell ref="D15:D16"/>
    <mergeCell ref="E15:E16"/>
    <mergeCell ref="F15:F16"/>
    <mergeCell ref="G15:G16"/>
    <mergeCell ref="A17:S17"/>
    <mergeCell ref="A22:S22"/>
    <mergeCell ref="A27:S27"/>
    <mergeCell ref="A13:A16"/>
    <mergeCell ref="B13:D14"/>
    <mergeCell ref="E13:G14"/>
    <mergeCell ref="H13:H16"/>
    <mergeCell ref="I13:I16"/>
    <mergeCell ref="J13:J16"/>
    <mergeCell ref="K13:K16"/>
  </mergeCells>
  <conditionalFormatting sqref="E18:F21 I18:S21 E23:F26 I23:S26 E28:F29 I28:S29">
    <cfRule type="containsBlanks" dxfId="0" priority="1">
      <formula>LEN(TRIM(E18))=0</formula>
    </cfRule>
  </conditionalFormatting>
  <printOptions/>
  <pageMargins bottom="0.3" footer="0.0" header="0.0" left="0.3" right="0.3" top="0.3"/>
  <pageSetup paperSize="14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3.0"/>
    <col customWidth="1" min="2" max="2" width="8.0"/>
    <col customWidth="1" min="3" max="3" width="8.25"/>
    <col customWidth="1" min="4" max="4" width="8.88"/>
    <col customWidth="1" min="5" max="6" width="8.13"/>
    <col customWidth="1" min="7" max="7" width="7.25"/>
    <col customWidth="1" min="8" max="10" width="8.38"/>
  </cols>
  <sheetData>
    <row r="1" ht="15.75" customHeight="1">
      <c r="A1" s="107" t="s">
        <v>0</v>
      </c>
    </row>
    <row r="2" ht="15.75" customHeight="1">
      <c r="A2" s="108" t="s">
        <v>1</v>
      </c>
    </row>
    <row r="3" ht="15.75" customHeight="1">
      <c r="A3" s="107" t="str">
        <f>'SHS- CONSO'!A6</f>
        <v>SENIOR HIGH SCHOOL PROGRAM</v>
      </c>
    </row>
    <row r="4" ht="15.75" customHeight="1">
      <c r="A4" s="109" t="s">
        <v>53</v>
      </c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 ht="15.75" customHeight="1">
      <c r="A5" s="111" t="s">
        <v>4</v>
      </c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 ht="18.0" customHeight="1">
      <c r="A6" s="112"/>
      <c r="B6" s="112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ht="18.0" customHeight="1">
      <c r="A7" s="12" t="s">
        <v>6</v>
      </c>
      <c r="B7" s="13" t="s">
        <v>54</v>
      </c>
      <c r="C7" s="14"/>
      <c r="D7" s="14"/>
      <c r="E7" s="14"/>
      <c r="F7" s="14"/>
      <c r="G7" s="14"/>
      <c r="H7" s="14"/>
      <c r="I7" s="14"/>
      <c r="J7" s="15"/>
      <c r="K7" s="113"/>
      <c r="L7" s="113"/>
      <c r="M7" s="113"/>
      <c r="N7" s="113"/>
      <c r="O7" s="113"/>
      <c r="P7" s="113"/>
      <c r="Q7" s="113"/>
      <c r="R7" s="113"/>
      <c r="S7" s="113"/>
      <c r="T7" s="110"/>
      <c r="U7" s="110"/>
      <c r="V7" s="110"/>
      <c r="W7" s="110"/>
      <c r="X7" s="110"/>
      <c r="Y7" s="110"/>
      <c r="Z7" s="110"/>
    </row>
    <row r="8" ht="18.0" customHeight="1">
      <c r="A8" s="112"/>
      <c r="B8" s="112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ht="15.75" customHeight="1">
      <c r="A9" s="114"/>
      <c r="B9" s="114"/>
      <c r="C9" s="114"/>
      <c r="D9" s="114"/>
      <c r="E9" s="114"/>
      <c r="F9" s="114"/>
      <c r="G9" s="114"/>
      <c r="H9" s="115"/>
      <c r="I9" s="115"/>
      <c r="J9" s="115"/>
    </row>
    <row r="10" ht="15.75" customHeight="1">
      <c r="A10" s="116" t="s">
        <v>42</v>
      </c>
      <c r="B10" s="21"/>
      <c r="C10" s="21"/>
      <c r="D10" s="21"/>
      <c r="E10" s="21"/>
      <c r="F10" s="21"/>
      <c r="G10" s="21"/>
      <c r="H10" s="21"/>
      <c r="I10" s="21"/>
      <c r="J10" s="22"/>
    </row>
    <row r="11" ht="15.75" customHeight="1">
      <c r="A11" s="117" t="s">
        <v>9</v>
      </c>
      <c r="B11" s="118" t="s">
        <v>55</v>
      </c>
      <c r="C11" s="25"/>
      <c r="D11" s="26"/>
      <c r="E11" s="118" t="s">
        <v>56</v>
      </c>
      <c r="F11" s="25"/>
      <c r="G11" s="26"/>
      <c r="H11" s="118" t="s">
        <v>40</v>
      </c>
      <c r="I11" s="25"/>
      <c r="J11" s="26"/>
    </row>
    <row r="12" ht="15.75" customHeight="1">
      <c r="A12" s="30"/>
      <c r="B12" s="31"/>
      <c r="C12" s="32"/>
      <c r="D12" s="33"/>
      <c r="E12" s="31"/>
      <c r="F12" s="32"/>
      <c r="G12" s="33"/>
      <c r="H12" s="31"/>
      <c r="I12" s="32"/>
      <c r="J12" s="33"/>
    </row>
    <row r="13" ht="15.75" customHeight="1">
      <c r="A13" s="30"/>
      <c r="B13" s="119" t="s">
        <v>20</v>
      </c>
      <c r="C13" s="119" t="s">
        <v>21</v>
      </c>
      <c r="D13" s="119" t="s">
        <v>22</v>
      </c>
      <c r="E13" s="119" t="s">
        <v>20</v>
      </c>
      <c r="F13" s="119" t="s">
        <v>21</v>
      </c>
      <c r="G13" s="119" t="s">
        <v>22</v>
      </c>
      <c r="H13" s="119" t="s">
        <v>20</v>
      </c>
      <c r="I13" s="119" t="s">
        <v>21</v>
      </c>
      <c r="J13" s="119" t="s">
        <v>22</v>
      </c>
    </row>
    <row r="14" ht="15.7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</row>
    <row r="15" ht="15.75" customHeight="1">
      <c r="A15" s="120" t="s">
        <v>43</v>
      </c>
      <c r="B15" s="52" t="str">
        <f>IFERROR(__xludf.DUMMYFUNCTION("IMPORTRANGE(""11ewoQtgLmWCB9shkVV_BqAkWEyjRLk7XsWTW28bbLO8"",""REPORT!C13:D30"")"),"#REF!")</f>
        <v>#REF!</v>
      </c>
      <c r="C15" s="52"/>
      <c r="D15" s="53" t="str">
        <f t="shared" ref="D15:D32" si="2">SUM(B15:C15)</f>
        <v>#REF!</v>
      </c>
      <c r="E15" s="52" t="str">
        <f>IFERROR(__xludf.DUMMYFUNCTION("IMPORTRANGE(""1GpwZlqt_Nsmb_m6kXxize-IyRR4CJ7AqOwKhThkw23M"",""REPORT!C13:D30"")"),"#REF!")</f>
        <v>#REF!</v>
      </c>
      <c r="F15" s="41"/>
      <c r="G15" s="53" t="str">
        <f t="shared" ref="G15:G32" si="3">SUM(E15:F15)</f>
        <v>#REF!</v>
      </c>
      <c r="H15" s="121" t="str">
        <f t="shared" ref="H15:I15" si="1">SUM(B15,E15)</f>
        <v>#REF!</v>
      </c>
      <c r="I15" s="121">
        <f t="shared" si="1"/>
        <v>0</v>
      </c>
      <c r="J15" s="53" t="str">
        <f t="shared" ref="J15:J32" si="5">SUM(H15:I15)</f>
        <v>#REF!</v>
      </c>
    </row>
    <row r="16" ht="15.75" customHeight="1">
      <c r="A16" s="120" t="s">
        <v>57</v>
      </c>
      <c r="B16" s="52"/>
      <c r="C16" s="52"/>
      <c r="D16" s="53">
        <f t="shared" si="2"/>
        <v>0</v>
      </c>
      <c r="E16" s="52"/>
      <c r="F16" s="41"/>
      <c r="G16" s="53">
        <f t="shared" si="3"/>
        <v>0</v>
      </c>
      <c r="H16" s="121">
        <f t="shared" ref="H16:I16" si="4">SUM(B16,E16)</f>
        <v>0</v>
      </c>
      <c r="I16" s="121">
        <f t="shared" si="4"/>
        <v>0</v>
      </c>
      <c r="J16" s="53">
        <f t="shared" si="5"/>
        <v>0</v>
      </c>
    </row>
    <row r="17" ht="15.75" customHeight="1">
      <c r="A17" s="120" t="s">
        <v>58</v>
      </c>
      <c r="B17" s="52"/>
      <c r="C17" s="52"/>
      <c r="D17" s="53">
        <f t="shared" si="2"/>
        <v>0</v>
      </c>
      <c r="E17" s="52"/>
      <c r="F17" s="41"/>
      <c r="G17" s="53">
        <f t="shared" si="3"/>
        <v>0</v>
      </c>
      <c r="H17" s="121">
        <f t="shared" ref="H17:I17" si="6">SUM(B17,E17)</f>
        <v>0</v>
      </c>
      <c r="I17" s="121">
        <f t="shared" si="6"/>
        <v>0</v>
      </c>
      <c r="J17" s="53">
        <f t="shared" si="5"/>
        <v>0</v>
      </c>
    </row>
    <row r="18" ht="15.75" customHeight="1">
      <c r="A18" s="120" t="s">
        <v>59</v>
      </c>
      <c r="B18" s="52"/>
      <c r="C18" s="52"/>
      <c r="D18" s="53">
        <f t="shared" si="2"/>
        <v>0</v>
      </c>
      <c r="E18" s="52"/>
      <c r="F18" s="41"/>
      <c r="G18" s="53">
        <f t="shared" si="3"/>
        <v>0</v>
      </c>
      <c r="H18" s="121">
        <f t="shared" ref="H18:I18" si="7">SUM(B18,E18)</f>
        <v>0</v>
      </c>
      <c r="I18" s="121">
        <f t="shared" si="7"/>
        <v>0</v>
      </c>
      <c r="J18" s="53">
        <f t="shared" si="5"/>
        <v>0</v>
      </c>
    </row>
    <row r="19" ht="15.75" customHeight="1">
      <c r="A19" s="120" t="s">
        <v>60</v>
      </c>
      <c r="B19" s="52"/>
      <c r="C19" s="52"/>
      <c r="D19" s="53">
        <f t="shared" si="2"/>
        <v>0</v>
      </c>
      <c r="E19" s="52"/>
      <c r="F19" s="41"/>
      <c r="G19" s="53">
        <f t="shared" si="3"/>
        <v>0</v>
      </c>
      <c r="H19" s="121">
        <f t="shared" ref="H19:I19" si="8">SUM(B19,E19)</f>
        <v>0</v>
      </c>
      <c r="I19" s="121">
        <f t="shared" si="8"/>
        <v>0</v>
      </c>
      <c r="J19" s="53">
        <f t="shared" si="5"/>
        <v>0</v>
      </c>
    </row>
    <row r="20" ht="15.75" customHeight="1">
      <c r="A20" s="120" t="s">
        <v>61</v>
      </c>
      <c r="B20" s="52"/>
      <c r="C20" s="52"/>
      <c r="D20" s="53">
        <f t="shared" si="2"/>
        <v>0</v>
      </c>
      <c r="E20" s="52"/>
      <c r="F20" s="41"/>
      <c r="G20" s="53">
        <f t="shared" si="3"/>
        <v>0</v>
      </c>
      <c r="H20" s="121">
        <f t="shared" ref="H20:I20" si="9">SUM(B20,E20)</f>
        <v>0</v>
      </c>
      <c r="I20" s="121">
        <f t="shared" si="9"/>
        <v>0</v>
      </c>
      <c r="J20" s="53">
        <f t="shared" si="5"/>
        <v>0</v>
      </c>
    </row>
    <row r="21" ht="15.75" customHeight="1">
      <c r="A21" s="120" t="s">
        <v>62</v>
      </c>
      <c r="B21" s="52"/>
      <c r="C21" s="52"/>
      <c r="D21" s="53">
        <f t="shared" si="2"/>
        <v>0</v>
      </c>
      <c r="E21" s="52"/>
      <c r="F21" s="41"/>
      <c r="G21" s="53">
        <f t="shared" si="3"/>
        <v>0</v>
      </c>
      <c r="H21" s="121">
        <f t="shared" ref="H21:I21" si="10">SUM(B21,E21)</f>
        <v>0</v>
      </c>
      <c r="I21" s="121">
        <f t="shared" si="10"/>
        <v>0</v>
      </c>
      <c r="J21" s="53">
        <f t="shared" si="5"/>
        <v>0</v>
      </c>
    </row>
    <row r="22" ht="15.75" customHeight="1">
      <c r="A22" s="120" t="s">
        <v>63</v>
      </c>
      <c r="B22" s="52"/>
      <c r="C22" s="52"/>
      <c r="D22" s="53">
        <f t="shared" si="2"/>
        <v>0</v>
      </c>
      <c r="E22" s="52"/>
      <c r="F22" s="41"/>
      <c r="G22" s="53">
        <f t="shared" si="3"/>
        <v>0</v>
      </c>
      <c r="H22" s="121">
        <f t="shared" ref="H22:I22" si="11">SUM(B22,E22)</f>
        <v>0</v>
      </c>
      <c r="I22" s="121">
        <f t="shared" si="11"/>
        <v>0</v>
      </c>
      <c r="J22" s="53">
        <f t="shared" si="5"/>
        <v>0</v>
      </c>
    </row>
    <row r="23" ht="15.75" customHeight="1">
      <c r="A23" s="120" t="s">
        <v>44</v>
      </c>
      <c r="B23" s="52"/>
      <c r="C23" s="52"/>
      <c r="D23" s="53">
        <f t="shared" si="2"/>
        <v>0</v>
      </c>
      <c r="E23" s="52"/>
      <c r="F23" s="41"/>
      <c r="G23" s="53">
        <f t="shared" si="3"/>
        <v>0</v>
      </c>
      <c r="H23" s="121">
        <f t="shared" ref="H23:I23" si="12">SUM(B23,E23)</f>
        <v>0</v>
      </c>
      <c r="I23" s="121">
        <f t="shared" si="12"/>
        <v>0</v>
      </c>
      <c r="J23" s="53">
        <f t="shared" si="5"/>
        <v>0</v>
      </c>
    </row>
    <row r="24" ht="15.75" customHeight="1">
      <c r="A24" s="120" t="s">
        <v>45</v>
      </c>
      <c r="B24" s="52"/>
      <c r="C24" s="52"/>
      <c r="D24" s="53">
        <f t="shared" si="2"/>
        <v>0</v>
      </c>
      <c r="E24" s="52"/>
      <c r="F24" s="41"/>
      <c r="G24" s="53">
        <f t="shared" si="3"/>
        <v>0</v>
      </c>
      <c r="H24" s="121">
        <f t="shared" ref="H24:I24" si="13">SUM(B24,E24)</f>
        <v>0</v>
      </c>
      <c r="I24" s="121">
        <f t="shared" si="13"/>
        <v>0</v>
      </c>
      <c r="J24" s="53">
        <f t="shared" si="5"/>
        <v>0</v>
      </c>
    </row>
    <row r="25" ht="15.75" customHeight="1">
      <c r="A25" s="120" t="s">
        <v>64</v>
      </c>
      <c r="B25" s="52"/>
      <c r="C25" s="52"/>
      <c r="D25" s="53">
        <f t="shared" si="2"/>
        <v>0</v>
      </c>
      <c r="E25" s="52"/>
      <c r="F25" s="41"/>
      <c r="G25" s="53">
        <f t="shared" si="3"/>
        <v>0</v>
      </c>
      <c r="H25" s="121">
        <f t="shared" ref="H25:I25" si="14">SUM(B25,E25)</f>
        <v>0</v>
      </c>
      <c r="I25" s="121">
        <f t="shared" si="14"/>
        <v>0</v>
      </c>
      <c r="J25" s="53">
        <f t="shared" si="5"/>
        <v>0</v>
      </c>
    </row>
    <row r="26" ht="15.75" customHeight="1">
      <c r="A26" s="120" t="s">
        <v>65</v>
      </c>
      <c r="B26" s="52"/>
      <c r="C26" s="52"/>
      <c r="D26" s="53">
        <f t="shared" si="2"/>
        <v>0</v>
      </c>
      <c r="E26" s="52"/>
      <c r="F26" s="41"/>
      <c r="G26" s="53">
        <f t="shared" si="3"/>
        <v>0</v>
      </c>
      <c r="H26" s="121">
        <f t="shared" ref="H26:I26" si="15">SUM(B26,E26)</f>
        <v>0</v>
      </c>
      <c r="I26" s="121">
        <f t="shared" si="15"/>
        <v>0</v>
      </c>
      <c r="J26" s="53">
        <f t="shared" si="5"/>
        <v>0</v>
      </c>
    </row>
    <row r="27" ht="15.75" customHeight="1">
      <c r="A27" s="120" t="s">
        <v>66</v>
      </c>
      <c r="B27" s="52"/>
      <c r="C27" s="52"/>
      <c r="D27" s="53">
        <f t="shared" si="2"/>
        <v>0</v>
      </c>
      <c r="E27" s="52"/>
      <c r="F27" s="41"/>
      <c r="G27" s="53">
        <f t="shared" si="3"/>
        <v>0</v>
      </c>
      <c r="H27" s="121">
        <f t="shared" ref="H27:I27" si="16">SUM(B27,E27)</f>
        <v>0</v>
      </c>
      <c r="I27" s="121">
        <f t="shared" si="16"/>
        <v>0</v>
      </c>
      <c r="J27" s="53">
        <f t="shared" si="5"/>
        <v>0</v>
      </c>
    </row>
    <row r="28" ht="15.75" customHeight="1">
      <c r="A28" s="120" t="s">
        <v>67</v>
      </c>
      <c r="B28" s="52"/>
      <c r="C28" s="52"/>
      <c r="D28" s="53">
        <f t="shared" si="2"/>
        <v>0</v>
      </c>
      <c r="E28" s="52"/>
      <c r="F28" s="41"/>
      <c r="G28" s="53">
        <f t="shared" si="3"/>
        <v>0</v>
      </c>
      <c r="H28" s="121">
        <f t="shared" ref="H28:I28" si="17">SUM(B28,E28)</f>
        <v>0</v>
      </c>
      <c r="I28" s="121">
        <f t="shared" si="17"/>
        <v>0</v>
      </c>
      <c r="J28" s="53">
        <f t="shared" si="5"/>
        <v>0</v>
      </c>
    </row>
    <row r="29" ht="15.75" customHeight="1">
      <c r="A29" s="120" t="s">
        <v>68</v>
      </c>
      <c r="B29" s="52"/>
      <c r="C29" s="52"/>
      <c r="D29" s="53">
        <f t="shared" si="2"/>
        <v>0</v>
      </c>
      <c r="E29" s="52"/>
      <c r="F29" s="41"/>
      <c r="G29" s="53">
        <f t="shared" si="3"/>
        <v>0</v>
      </c>
      <c r="H29" s="121">
        <f t="shared" ref="H29:I29" si="18">SUM(B29,E29)</f>
        <v>0</v>
      </c>
      <c r="I29" s="121">
        <f t="shared" si="18"/>
        <v>0</v>
      </c>
      <c r="J29" s="53">
        <f t="shared" si="5"/>
        <v>0</v>
      </c>
    </row>
    <row r="30" ht="15.75" customHeight="1">
      <c r="A30" s="120" t="s">
        <v>46</v>
      </c>
      <c r="B30" s="52"/>
      <c r="C30" s="52"/>
      <c r="D30" s="53">
        <f t="shared" si="2"/>
        <v>0</v>
      </c>
      <c r="E30" s="52"/>
      <c r="F30" s="41"/>
      <c r="G30" s="53">
        <f t="shared" si="3"/>
        <v>0</v>
      </c>
      <c r="H30" s="121">
        <f t="shared" ref="H30:I30" si="19">SUM(B30,E30)</f>
        <v>0</v>
      </c>
      <c r="I30" s="121">
        <f t="shared" si="19"/>
        <v>0</v>
      </c>
      <c r="J30" s="53">
        <f t="shared" si="5"/>
        <v>0</v>
      </c>
    </row>
    <row r="31" ht="15.75" customHeight="1">
      <c r="A31" s="120" t="s">
        <v>69</v>
      </c>
      <c r="B31" s="52"/>
      <c r="C31" s="52"/>
      <c r="D31" s="53">
        <f t="shared" si="2"/>
        <v>0</v>
      </c>
      <c r="E31" s="52"/>
      <c r="F31" s="41"/>
      <c r="G31" s="53">
        <f t="shared" si="3"/>
        <v>0</v>
      </c>
      <c r="H31" s="121">
        <f t="shared" ref="H31:I31" si="20">SUM(B31,E31)</f>
        <v>0</v>
      </c>
      <c r="I31" s="121">
        <f t="shared" si="20"/>
        <v>0</v>
      </c>
      <c r="J31" s="53">
        <f t="shared" si="5"/>
        <v>0</v>
      </c>
    </row>
    <row r="32" ht="15.75" customHeight="1">
      <c r="A32" s="120" t="s">
        <v>70</v>
      </c>
      <c r="B32" s="52"/>
      <c r="C32" s="52"/>
      <c r="D32" s="53">
        <f t="shared" si="2"/>
        <v>0</v>
      </c>
      <c r="E32" s="52"/>
      <c r="F32" s="41"/>
      <c r="G32" s="53">
        <f t="shared" si="3"/>
        <v>0</v>
      </c>
      <c r="H32" s="121">
        <f t="shared" ref="H32:I32" si="21">SUM(B32,E32)</f>
        <v>0</v>
      </c>
      <c r="I32" s="121">
        <f t="shared" si="21"/>
        <v>0</v>
      </c>
      <c r="J32" s="53">
        <f t="shared" si="5"/>
        <v>0</v>
      </c>
    </row>
    <row r="33" ht="15.75" customHeight="1">
      <c r="A33" s="122" t="s">
        <v>40</v>
      </c>
      <c r="B33" s="123" t="str">
        <f t="shared" ref="B33:J33" si="22">SUM(B15:B32)</f>
        <v>#REF!</v>
      </c>
      <c r="C33" s="123">
        <f t="shared" si="22"/>
        <v>0</v>
      </c>
      <c r="D33" s="123" t="str">
        <f t="shared" si="22"/>
        <v>#REF!</v>
      </c>
      <c r="E33" s="123" t="str">
        <f t="shared" si="22"/>
        <v>#REF!</v>
      </c>
      <c r="F33" s="123">
        <f t="shared" si="22"/>
        <v>0</v>
      </c>
      <c r="G33" s="123" t="str">
        <f t="shared" si="22"/>
        <v>#REF!</v>
      </c>
      <c r="H33" s="123" t="str">
        <f t="shared" si="22"/>
        <v>#REF!</v>
      </c>
      <c r="I33" s="123">
        <f t="shared" si="22"/>
        <v>0</v>
      </c>
      <c r="J33" s="123" t="str">
        <f t="shared" si="22"/>
        <v>#REF!</v>
      </c>
    </row>
    <row r="34" ht="15.75" customHeight="1">
      <c r="A34" s="115"/>
      <c r="B34" s="115"/>
      <c r="C34" s="115"/>
      <c r="D34" s="115"/>
      <c r="E34" s="115"/>
      <c r="F34" s="115"/>
      <c r="G34" s="115"/>
      <c r="H34" s="115"/>
      <c r="I34" s="115"/>
      <c r="J34" s="115"/>
    </row>
    <row r="35" ht="15.75" customHeight="1">
      <c r="A35" s="116" t="s">
        <v>28</v>
      </c>
      <c r="B35" s="21"/>
      <c r="C35" s="21"/>
      <c r="D35" s="21"/>
      <c r="E35" s="21"/>
      <c r="F35" s="21"/>
      <c r="G35" s="21"/>
      <c r="H35" s="21"/>
      <c r="I35" s="21"/>
      <c r="J35" s="22"/>
    </row>
    <row r="36" ht="15.75" customHeight="1">
      <c r="A36" s="124" t="s">
        <v>9</v>
      </c>
      <c r="B36" s="118" t="s">
        <v>55</v>
      </c>
      <c r="C36" s="25"/>
      <c r="D36" s="26"/>
      <c r="E36" s="118" t="s">
        <v>56</v>
      </c>
      <c r="F36" s="25"/>
      <c r="G36" s="26"/>
      <c r="H36" s="118" t="s">
        <v>40</v>
      </c>
      <c r="I36" s="25"/>
      <c r="J36" s="26"/>
    </row>
    <row r="37" ht="15.75" customHeight="1">
      <c r="A37" s="30"/>
      <c r="B37" s="31"/>
      <c r="C37" s="32"/>
      <c r="D37" s="33"/>
      <c r="E37" s="31"/>
      <c r="F37" s="32"/>
      <c r="G37" s="33"/>
      <c r="H37" s="31"/>
      <c r="I37" s="32"/>
      <c r="J37" s="33"/>
    </row>
    <row r="38" ht="15.75" customHeight="1">
      <c r="A38" s="30"/>
      <c r="B38" s="119" t="s">
        <v>20</v>
      </c>
      <c r="C38" s="119" t="s">
        <v>21</v>
      </c>
      <c r="D38" s="119" t="s">
        <v>22</v>
      </c>
      <c r="E38" s="119" t="s">
        <v>20</v>
      </c>
      <c r="F38" s="119" t="s">
        <v>21</v>
      </c>
      <c r="G38" s="119" t="s">
        <v>22</v>
      </c>
      <c r="H38" s="119" t="s">
        <v>20</v>
      </c>
      <c r="I38" s="119" t="s">
        <v>21</v>
      </c>
      <c r="J38" s="119" t="s">
        <v>22</v>
      </c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</row>
    <row r="40" ht="15.75" customHeight="1">
      <c r="A40" s="120" t="s">
        <v>71</v>
      </c>
      <c r="B40" s="52" t="str">
        <f>IFERROR(__xludf.DUMMYFUNCTION("IMPORTRANGE(""11ewoQtgLmWCB9shkVV_BqAkWEyjRLk7XsWTW28bbLO8"",""REPORT!C38:D44"")"),"#REF!")</f>
        <v>#REF!</v>
      </c>
      <c r="C40" s="125"/>
      <c r="D40" s="126" t="str">
        <f t="shared" ref="D40:D46" si="24">SUM(B40:C40)</f>
        <v>#REF!</v>
      </c>
      <c r="E40" s="52" t="str">
        <f>IFERROR(__xludf.DUMMYFUNCTION("IMPORTRANGE(""1GpwZlqt_Nsmb_m6kXxize-IyRR4CJ7AqOwKhThkw23M"",""REPORT!C38:D44"")"),"#REF!")</f>
        <v>#REF!</v>
      </c>
      <c r="F40" s="41"/>
      <c r="G40" s="127" t="str">
        <f t="shared" ref="G40:G46" si="25">SUM(E40:F40)</f>
        <v>#REF!</v>
      </c>
      <c r="H40" s="121" t="str">
        <f t="shared" ref="H40:I40" si="23">SUM(B40,E40)</f>
        <v>#REF!</v>
      </c>
      <c r="I40" s="121">
        <f t="shared" si="23"/>
        <v>0</v>
      </c>
      <c r="J40" s="127" t="str">
        <f t="shared" ref="J40:J46" si="27">SUM(H40:I40)</f>
        <v>#REF!</v>
      </c>
    </row>
    <row r="41" ht="15.75" customHeight="1">
      <c r="A41" s="120" t="s">
        <v>47</v>
      </c>
      <c r="B41" s="52"/>
      <c r="C41" s="125"/>
      <c r="D41" s="126">
        <f t="shared" si="24"/>
        <v>0</v>
      </c>
      <c r="E41" s="52"/>
      <c r="F41" s="41"/>
      <c r="G41" s="127">
        <f t="shared" si="25"/>
        <v>0</v>
      </c>
      <c r="H41" s="121">
        <f t="shared" ref="H41:I41" si="26">SUM(B41,E41)</f>
        <v>0</v>
      </c>
      <c r="I41" s="121">
        <f t="shared" si="26"/>
        <v>0</v>
      </c>
      <c r="J41" s="127">
        <f t="shared" si="27"/>
        <v>0</v>
      </c>
    </row>
    <row r="42" ht="15.75" customHeight="1">
      <c r="A42" s="120" t="s">
        <v>29</v>
      </c>
      <c r="B42" s="52"/>
      <c r="C42" s="125"/>
      <c r="D42" s="126">
        <f t="shared" si="24"/>
        <v>0</v>
      </c>
      <c r="E42" s="52"/>
      <c r="F42" s="41"/>
      <c r="G42" s="127">
        <f t="shared" si="25"/>
        <v>0</v>
      </c>
      <c r="H42" s="121">
        <f t="shared" ref="H42:I42" si="28">SUM(B42,E42)</f>
        <v>0</v>
      </c>
      <c r="I42" s="121">
        <f t="shared" si="28"/>
        <v>0</v>
      </c>
      <c r="J42" s="127">
        <f t="shared" si="27"/>
        <v>0</v>
      </c>
    </row>
    <row r="43" ht="15.75" customHeight="1">
      <c r="A43" s="120" t="s">
        <v>72</v>
      </c>
      <c r="B43" s="52"/>
      <c r="C43" s="125"/>
      <c r="D43" s="126">
        <f t="shared" si="24"/>
        <v>0</v>
      </c>
      <c r="E43" s="52"/>
      <c r="F43" s="41"/>
      <c r="G43" s="127">
        <f t="shared" si="25"/>
        <v>0</v>
      </c>
      <c r="H43" s="121">
        <f t="shared" ref="H43:I43" si="29">SUM(B43,E43)</f>
        <v>0</v>
      </c>
      <c r="I43" s="121">
        <f t="shared" si="29"/>
        <v>0</v>
      </c>
      <c r="J43" s="127">
        <f t="shared" si="27"/>
        <v>0</v>
      </c>
    </row>
    <row r="44" ht="15.75" customHeight="1">
      <c r="A44" s="120" t="s">
        <v>49</v>
      </c>
      <c r="B44" s="52"/>
      <c r="C44" s="125"/>
      <c r="D44" s="126">
        <f t="shared" si="24"/>
        <v>0</v>
      </c>
      <c r="E44" s="52"/>
      <c r="F44" s="41"/>
      <c r="G44" s="127">
        <f t="shared" si="25"/>
        <v>0</v>
      </c>
      <c r="H44" s="121">
        <f t="shared" ref="H44:I44" si="30">SUM(B44,E44)</f>
        <v>0</v>
      </c>
      <c r="I44" s="121">
        <f t="shared" si="30"/>
        <v>0</v>
      </c>
      <c r="J44" s="127">
        <f t="shared" si="27"/>
        <v>0</v>
      </c>
    </row>
    <row r="45" ht="15.75" customHeight="1">
      <c r="A45" s="120" t="s">
        <v>50</v>
      </c>
      <c r="B45" s="52"/>
      <c r="C45" s="125"/>
      <c r="D45" s="126">
        <f t="shared" si="24"/>
        <v>0</v>
      </c>
      <c r="E45" s="52"/>
      <c r="F45" s="41"/>
      <c r="G45" s="127">
        <f t="shared" si="25"/>
        <v>0</v>
      </c>
      <c r="H45" s="121">
        <f t="shared" ref="H45:I45" si="31">SUM(B45,E45)</f>
        <v>0</v>
      </c>
      <c r="I45" s="121">
        <f t="shared" si="31"/>
        <v>0</v>
      </c>
      <c r="J45" s="127">
        <f t="shared" si="27"/>
        <v>0</v>
      </c>
    </row>
    <row r="46" ht="15.75" customHeight="1">
      <c r="A46" s="120" t="s">
        <v>48</v>
      </c>
      <c r="B46" s="52"/>
      <c r="C46" s="125"/>
      <c r="D46" s="126">
        <f t="shared" si="24"/>
        <v>0</v>
      </c>
      <c r="E46" s="52"/>
      <c r="F46" s="41"/>
      <c r="G46" s="127">
        <f t="shared" si="25"/>
        <v>0</v>
      </c>
      <c r="H46" s="121">
        <f t="shared" ref="H46:I46" si="32">SUM(B46,E46)</f>
        <v>0</v>
      </c>
      <c r="I46" s="121">
        <f t="shared" si="32"/>
        <v>0</v>
      </c>
      <c r="J46" s="127">
        <f t="shared" si="27"/>
        <v>0</v>
      </c>
    </row>
    <row r="47" ht="15.75" customHeight="1">
      <c r="A47" s="122" t="s">
        <v>40</v>
      </c>
      <c r="B47" s="123" t="str">
        <f t="shared" ref="B47:J47" si="33">SUM(B40:B46)</f>
        <v>#REF!</v>
      </c>
      <c r="C47" s="123">
        <f t="shared" si="33"/>
        <v>0</v>
      </c>
      <c r="D47" s="123" t="str">
        <f t="shared" si="33"/>
        <v>#REF!</v>
      </c>
      <c r="E47" s="123" t="str">
        <f t="shared" si="33"/>
        <v>#REF!</v>
      </c>
      <c r="F47" s="123">
        <f t="shared" si="33"/>
        <v>0</v>
      </c>
      <c r="G47" s="123" t="str">
        <f t="shared" si="33"/>
        <v>#REF!</v>
      </c>
      <c r="H47" s="123" t="str">
        <f t="shared" si="33"/>
        <v>#REF!</v>
      </c>
      <c r="I47" s="123">
        <f t="shared" si="33"/>
        <v>0</v>
      </c>
      <c r="J47" s="123" t="str">
        <f t="shared" si="33"/>
        <v>#REF!</v>
      </c>
    </row>
    <row r="48" ht="15.75" customHeight="1">
      <c r="A48" s="107"/>
      <c r="B48" s="107"/>
      <c r="C48" s="107"/>
      <c r="D48" s="107"/>
      <c r="E48" s="107"/>
      <c r="F48" s="107"/>
      <c r="G48" s="107"/>
      <c r="H48" s="107"/>
      <c r="I48" s="107"/>
      <c r="J48" s="107"/>
    </row>
    <row r="49" ht="15.75" customHeight="1">
      <c r="A49" s="116" t="s">
        <v>31</v>
      </c>
      <c r="B49" s="21"/>
      <c r="C49" s="21"/>
      <c r="D49" s="21"/>
      <c r="E49" s="21"/>
      <c r="F49" s="21"/>
      <c r="G49" s="21"/>
      <c r="H49" s="21"/>
      <c r="I49" s="21"/>
      <c r="J49" s="22"/>
    </row>
    <row r="50" ht="15.75" customHeight="1">
      <c r="A50" s="124" t="s">
        <v>9</v>
      </c>
      <c r="B50" s="118" t="s">
        <v>55</v>
      </c>
      <c r="C50" s="25"/>
      <c r="D50" s="26"/>
      <c r="E50" s="118" t="s">
        <v>56</v>
      </c>
      <c r="F50" s="25"/>
      <c r="G50" s="26"/>
      <c r="H50" s="118" t="s">
        <v>40</v>
      </c>
      <c r="I50" s="25"/>
      <c r="J50" s="26"/>
    </row>
    <row r="51" ht="15.75" customHeight="1">
      <c r="A51" s="30"/>
      <c r="B51" s="31"/>
      <c r="C51" s="32"/>
      <c r="D51" s="33"/>
      <c r="E51" s="31"/>
      <c r="F51" s="32"/>
      <c r="G51" s="33"/>
      <c r="H51" s="31"/>
      <c r="I51" s="32"/>
      <c r="J51" s="33"/>
    </row>
    <row r="52" ht="15.75" customHeight="1">
      <c r="A52" s="30"/>
      <c r="B52" s="119" t="s">
        <v>20</v>
      </c>
      <c r="C52" s="119" t="s">
        <v>21</v>
      </c>
      <c r="D52" s="119" t="s">
        <v>22</v>
      </c>
      <c r="E52" s="119" t="s">
        <v>20</v>
      </c>
      <c r="F52" s="119" t="s">
        <v>21</v>
      </c>
      <c r="G52" s="119" t="s">
        <v>22</v>
      </c>
      <c r="H52" s="119" t="s">
        <v>20</v>
      </c>
      <c r="I52" s="119" t="s">
        <v>21</v>
      </c>
      <c r="J52" s="119" t="s">
        <v>22</v>
      </c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</row>
    <row r="54" ht="15.75" customHeight="1">
      <c r="A54" s="116" t="s">
        <v>8</v>
      </c>
      <c r="B54" s="21"/>
      <c r="C54" s="21"/>
      <c r="D54" s="21"/>
      <c r="E54" s="21"/>
      <c r="F54" s="21"/>
      <c r="G54" s="21"/>
      <c r="H54" s="21"/>
      <c r="I54" s="21"/>
      <c r="J54" s="22"/>
    </row>
    <row r="55" ht="15.75" customHeight="1">
      <c r="A55" s="120" t="s">
        <v>32</v>
      </c>
      <c r="B55" s="52" t="str">
        <f>IFERROR(__xludf.DUMMYFUNCTION("IMPORTRANGE(""11ewoQtgLmWCB9shkVV_BqAkWEyjRLk7XsWTW28bbLO8"",""REPORT!C54:D61"")"),"#REF!")</f>
        <v>#REF!</v>
      </c>
      <c r="C55" s="125"/>
      <c r="D55" s="126" t="str">
        <f t="shared" ref="D55:D62" si="35">SUM(B55:C55)</f>
        <v>#REF!</v>
      </c>
      <c r="E55" s="52" t="str">
        <f>IFERROR(__xludf.DUMMYFUNCTION("IMPORTRANGE(""1GpwZlqt_Nsmb_m6kXxize-IyRR4CJ7AqOwKhThkw23M"",""REPORT!C54:D61"")"),"#REF!")</f>
        <v>#REF!</v>
      </c>
      <c r="F55" s="41"/>
      <c r="G55" s="127" t="str">
        <f t="shared" ref="G55:G62" si="36">SUM(E55:F55)</f>
        <v>#REF!</v>
      </c>
      <c r="H55" s="121" t="str">
        <f t="shared" ref="H55:I55" si="34">SUM(B55,E55)</f>
        <v>#REF!</v>
      </c>
      <c r="I55" s="121">
        <f t="shared" si="34"/>
        <v>0</v>
      </c>
      <c r="J55" s="127" t="str">
        <f t="shared" ref="J55:J62" si="38">SUM(H55:I55)</f>
        <v>#REF!</v>
      </c>
    </row>
    <row r="56" ht="15.75" customHeight="1">
      <c r="A56" s="120" t="s">
        <v>33</v>
      </c>
      <c r="B56" s="125"/>
      <c r="C56" s="125"/>
      <c r="D56" s="126">
        <f t="shared" si="35"/>
        <v>0</v>
      </c>
      <c r="E56" s="52"/>
      <c r="F56" s="41"/>
      <c r="G56" s="127">
        <f t="shared" si="36"/>
        <v>0</v>
      </c>
      <c r="H56" s="121">
        <f t="shared" ref="H56:I56" si="37">SUM(B56,E56)</f>
        <v>0</v>
      </c>
      <c r="I56" s="121">
        <f t="shared" si="37"/>
        <v>0</v>
      </c>
      <c r="J56" s="127">
        <f t="shared" si="38"/>
        <v>0</v>
      </c>
    </row>
    <row r="57" ht="15.75" customHeight="1">
      <c r="A57" s="120" t="s">
        <v>34</v>
      </c>
      <c r="B57" s="125"/>
      <c r="C57" s="125"/>
      <c r="D57" s="126">
        <f t="shared" si="35"/>
        <v>0</v>
      </c>
      <c r="E57" s="52"/>
      <c r="F57" s="41"/>
      <c r="G57" s="127">
        <f t="shared" si="36"/>
        <v>0</v>
      </c>
      <c r="H57" s="121">
        <f t="shared" ref="H57:I57" si="39">SUM(B57,E57)</f>
        <v>0</v>
      </c>
      <c r="I57" s="121">
        <f t="shared" si="39"/>
        <v>0</v>
      </c>
      <c r="J57" s="127">
        <f t="shared" si="38"/>
        <v>0</v>
      </c>
    </row>
    <row r="58" ht="15.75" customHeight="1">
      <c r="A58" s="120" t="s">
        <v>35</v>
      </c>
      <c r="B58" s="125"/>
      <c r="C58" s="125"/>
      <c r="D58" s="126">
        <f t="shared" si="35"/>
        <v>0</v>
      </c>
      <c r="E58" s="52"/>
      <c r="F58" s="41"/>
      <c r="G58" s="127">
        <f t="shared" si="36"/>
        <v>0</v>
      </c>
      <c r="H58" s="121">
        <f t="shared" ref="H58:I58" si="40">SUM(B58,E58)</f>
        <v>0</v>
      </c>
      <c r="I58" s="121">
        <f t="shared" si="40"/>
        <v>0</v>
      </c>
      <c r="J58" s="127">
        <f t="shared" si="38"/>
        <v>0</v>
      </c>
    </row>
    <row r="59" ht="15.75" customHeight="1">
      <c r="A59" s="120" t="s">
        <v>73</v>
      </c>
      <c r="B59" s="125"/>
      <c r="C59" s="125"/>
      <c r="D59" s="126">
        <f t="shared" si="35"/>
        <v>0</v>
      </c>
      <c r="E59" s="52"/>
      <c r="F59" s="41"/>
      <c r="G59" s="127">
        <f t="shared" si="36"/>
        <v>0</v>
      </c>
      <c r="H59" s="121">
        <f t="shared" ref="H59:I59" si="41">SUM(B59,E59)</f>
        <v>0</v>
      </c>
      <c r="I59" s="121">
        <f t="shared" si="41"/>
        <v>0</v>
      </c>
      <c r="J59" s="127">
        <f t="shared" si="38"/>
        <v>0</v>
      </c>
    </row>
    <row r="60" ht="15.75" customHeight="1">
      <c r="A60" s="120" t="s">
        <v>74</v>
      </c>
      <c r="B60" s="125"/>
      <c r="C60" s="125"/>
      <c r="D60" s="126">
        <f t="shared" si="35"/>
        <v>0</v>
      </c>
      <c r="E60" s="52"/>
      <c r="F60" s="41"/>
      <c r="G60" s="127">
        <f t="shared" si="36"/>
        <v>0</v>
      </c>
      <c r="H60" s="121">
        <f t="shared" ref="H60:I60" si="42">SUM(B60,E60)</f>
        <v>0</v>
      </c>
      <c r="I60" s="121">
        <f t="shared" si="42"/>
        <v>0</v>
      </c>
      <c r="J60" s="127">
        <f t="shared" si="38"/>
        <v>0</v>
      </c>
    </row>
    <row r="61" ht="15.75" customHeight="1">
      <c r="A61" s="120" t="s">
        <v>38</v>
      </c>
      <c r="B61" s="125"/>
      <c r="C61" s="125"/>
      <c r="D61" s="126">
        <f t="shared" si="35"/>
        <v>0</v>
      </c>
      <c r="E61" s="52"/>
      <c r="F61" s="41"/>
      <c r="G61" s="127">
        <f t="shared" si="36"/>
        <v>0</v>
      </c>
      <c r="H61" s="121">
        <f t="shared" ref="H61:I61" si="43">SUM(B61,E61)</f>
        <v>0</v>
      </c>
      <c r="I61" s="121">
        <f t="shared" si="43"/>
        <v>0</v>
      </c>
      <c r="J61" s="127">
        <f t="shared" si="38"/>
        <v>0</v>
      </c>
    </row>
    <row r="62" ht="15.75" customHeight="1">
      <c r="A62" s="120" t="s">
        <v>39</v>
      </c>
      <c r="B62" s="125"/>
      <c r="C62" s="125"/>
      <c r="D62" s="126">
        <f t="shared" si="35"/>
        <v>0</v>
      </c>
      <c r="E62" s="52"/>
      <c r="F62" s="41"/>
      <c r="G62" s="127">
        <f t="shared" si="36"/>
        <v>0</v>
      </c>
      <c r="H62" s="121">
        <f t="shared" ref="H62:I62" si="44">SUM(B62,E62)</f>
        <v>0</v>
      </c>
      <c r="I62" s="121">
        <f t="shared" si="44"/>
        <v>0</v>
      </c>
      <c r="J62" s="127">
        <f t="shared" si="38"/>
        <v>0</v>
      </c>
    </row>
    <row r="63" ht="15.75" customHeight="1">
      <c r="A63" s="122" t="s">
        <v>40</v>
      </c>
      <c r="B63" s="123" t="str">
        <f t="shared" ref="B63:J63" si="45">SUM(B55:B62)</f>
        <v>#REF!</v>
      </c>
      <c r="C63" s="123">
        <f t="shared" si="45"/>
        <v>0</v>
      </c>
      <c r="D63" s="123" t="str">
        <f t="shared" si="45"/>
        <v>#REF!</v>
      </c>
      <c r="E63" s="123" t="str">
        <f t="shared" si="45"/>
        <v>#REF!</v>
      </c>
      <c r="F63" s="123">
        <f t="shared" si="45"/>
        <v>0</v>
      </c>
      <c r="G63" s="123" t="str">
        <f t="shared" si="45"/>
        <v>#REF!</v>
      </c>
      <c r="H63" s="123" t="str">
        <f t="shared" si="45"/>
        <v>#REF!</v>
      </c>
      <c r="I63" s="123">
        <f t="shared" si="45"/>
        <v>0</v>
      </c>
      <c r="J63" s="123" t="str">
        <f t="shared" si="45"/>
        <v>#REF!</v>
      </c>
    </row>
    <row r="64" ht="15.75" customHeight="1">
      <c r="A64" s="116" t="s">
        <v>75</v>
      </c>
      <c r="B64" s="21"/>
      <c r="C64" s="21"/>
      <c r="D64" s="21"/>
      <c r="E64" s="21"/>
      <c r="F64" s="21"/>
      <c r="G64" s="21"/>
      <c r="H64" s="21"/>
      <c r="I64" s="21"/>
      <c r="J64" s="22"/>
    </row>
    <row r="65" ht="15.75" customHeight="1">
      <c r="A65" s="120" t="s">
        <v>76</v>
      </c>
      <c r="B65" s="52" t="str">
        <f>IFERROR(__xludf.DUMMYFUNCTION("IMPORTRANGE(""11ewoQtgLmWCB9shkVV_BqAkWEyjRLk7XsWTW28bbLO8"",""REPORT!C64:D71"")"),"#REF!")</f>
        <v>#REF!</v>
      </c>
      <c r="C65" s="125"/>
      <c r="D65" s="126" t="str">
        <f t="shared" ref="D65:D72" si="47">SUM(B65:C65)</f>
        <v>#REF!</v>
      </c>
      <c r="E65" s="52" t="str">
        <f>IFERROR(__xludf.DUMMYFUNCTION("IMPORTRANGE(""1GpwZlqt_Nsmb_m6kXxize-IyRR4CJ7AqOwKhThkw23M"",""REPORT!C64:D71"")"),"#REF!")</f>
        <v>#REF!</v>
      </c>
      <c r="F65" s="41"/>
      <c r="G65" s="127" t="str">
        <f t="shared" ref="G65:G72" si="48">SUM(E65:F65)</f>
        <v>#REF!</v>
      </c>
      <c r="H65" s="121" t="str">
        <f t="shared" ref="H65:I65" si="46">SUM(B65,E65)</f>
        <v>#REF!</v>
      </c>
      <c r="I65" s="121">
        <f t="shared" si="46"/>
        <v>0</v>
      </c>
      <c r="J65" s="127" t="str">
        <f t="shared" ref="J65:J72" si="50">SUM(H65:I65)</f>
        <v>#REF!</v>
      </c>
    </row>
    <row r="66" ht="15.75" customHeight="1">
      <c r="A66" s="120" t="s">
        <v>51</v>
      </c>
      <c r="B66" s="125"/>
      <c r="C66" s="125"/>
      <c r="D66" s="126">
        <f t="shared" si="47"/>
        <v>0</v>
      </c>
      <c r="E66" s="52"/>
      <c r="F66" s="41"/>
      <c r="G66" s="127">
        <f t="shared" si="48"/>
        <v>0</v>
      </c>
      <c r="H66" s="121">
        <f t="shared" ref="H66:I66" si="49">SUM(B66,E66)</f>
        <v>0</v>
      </c>
      <c r="I66" s="121">
        <f t="shared" si="49"/>
        <v>0</v>
      </c>
      <c r="J66" s="127">
        <f t="shared" si="50"/>
        <v>0</v>
      </c>
    </row>
    <row r="67" ht="15.75" customHeight="1">
      <c r="A67" s="120" t="s">
        <v>52</v>
      </c>
      <c r="B67" s="125"/>
      <c r="C67" s="125"/>
      <c r="D67" s="126">
        <f t="shared" si="47"/>
        <v>0</v>
      </c>
      <c r="E67" s="52"/>
      <c r="F67" s="41"/>
      <c r="G67" s="127">
        <f t="shared" si="48"/>
        <v>0</v>
      </c>
      <c r="H67" s="121">
        <f t="shared" ref="H67:I67" si="51">SUM(B67,E67)</f>
        <v>0</v>
      </c>
      <c r="I67" s="121">
        <f t="shared" si="51"/>
        <v>0</v>
      </c>
      <c r="J67" s="127">
        <f t="shared" si="50"/>
        <v>0</v>
      </c>
    </row>
    <row r="68" ht="15.75" customHeight="1">
      <c r="A68" s="120" t="s">
        <v>77</v>
      </c>
      <c r="B68" s="125"/>
      <c r="C68" s="125"/>
      <c r="D68" s="126">
        <f t="shared" si="47"/>
        <v>0</v>
      </c>
      <c r="E68" s="52"/>
      <c r="F68" s="41"/>
      <c r="G68" s="127">
        <f t="shared" si="48"/>
        <v>0</v>
      </c>
      <c r="H68" s="121">
        <f t="shared" ref="H68:I68" si="52">SUM(B68,E68)</f>
        <v>0</v>
      </c>
      <c r="I68" s="121">
        <f t="shared" si="52"/>
        <v>0</v>
      </c>
      <c r="J68" s="127">
        <f t="shared" si="50"/>
        <v>0</v>
      </c>
    </row>
    <row r="69" ht="15.75" customHeight="1">
      <c r="A69" s="120" t="s">
        <v>78</v>
      </c>
      <c r="B69" s="125"/>
      <c r="C69" s="125"/>
      <c r="D69" s="126">
        <f t="shared" si="47"/>
        <v>0</v>
      </c>
      <c r="E69" s="52"/>
      <c r="F69" s="41"/>
      <c r="G69" s="127">
        <f t="shared" si="48"/>
        <v>0</v>
      </c>
      <c r="H69" s="121">
        <f t="shared" ref="H69:I69" si="53">SUM(B69,E69)</f>
        <v>0</v>
      </c>
      <c r="I69" s="121">
        <f t="shared" si="53"/>
        <v>0</v>
      </c>
      <c r="J69" s="127">
        <f t="shared" si="50"/>
        <v>0</v>
      </c>
    </row>
    <row r="70" ht="15.75" customHeight="1">
      <c r="A70" s="120" t="s">
        <v>79</v>
      </c>
      <c r="B70" s="125"/>
      <c r="C70" s="125"/>
      <c r="D70" s="126">
        <f t="shared" si="47"/>
        <v>0</v>
      </c>
      <c r="E70" s="52"/>
      <c r="F70" s="41"/>
      <c r="G70" s="127">
        <f t="shared" si="48"/>
        <v>0</v>
      </c>
      <c r="H70" s="121">
        <f t="shared" ref="H70:I70" si="54">SUM(B70,E70)</f>
        <v>0</v>
      </c>
      <c r="I70" s="121">
        <f t="shared" si="54"/>
        <v>0</v>
      </c>
      <c r="J70" s="127">
        <f t="shared" si="50"/>
        <v>0</v>
      </c>
    </row>
    <row r="71" ht="15.75" customHeight="1">
      <c r="A71" s="120" t="s">
        <v>80</v>
      </c>
      <c r="B71" s="125"/>
      <c r="C71" s="125"/>
      <c r="D71" s="126">
        <f t="shared" si="47"/>
        <v>0</v>
      </c>
      <c r="E71" s="52"/>
      <c r="F71" s="41"/>
      <c r="G71" s="127">
        <f t="shared" si="48"/>
        <v>0</v>
      </c>
      <c r="H71" s="121">
        <f t="shared" ref="H71:I71" si="55">SUM(B71,E71)</f>
        <v>0</v>
      </c>
      <c r="I71" s="121">
        <f t="shared" si="55"/>
        <v>0</v>
      </c>
      <c r="J71" s="127">
        <f t="shared" si="50"/>
        <v>0</v>
      </c>
    </row>
    <row r="72" ht="15.75" customHeight="1">
      <c r="A72" s="120" t="s">
        <v>81</v>
      </c>
      <c r="B72" s="125"/>
      <c r="C72" s="125"/>
      <c r="D72" s="126">
        <f t="shared" si="47"/>
        <v>0</v>
      </c>
      <c r="E72" s="52"/>
      <c r="F72" s="41"/>
      <c r="G72" s="127">
        <f t="shared" si="48"/>
        <v>0</v>
      </c>
      <c r="H72" s="121">
        <f t="shared" ref="H72:I72" si="56">SUM(B72,E72)</f>
        <v>0</v>
      </c>
      <c r="I72" s="121">
        <f t="shared" si="56"/>
        <v>0</v>
      </c>
      <c r="J72" s="127">
        <f t="shared" si="50"/>
        <v>0</v>
      </c>
    </row>
    <row r="73" ht="15.75" customHeight="1">
      <c r="A73" s="122" t="s">
        <v>40</v>
      </c>
      <c r="B73" s="123" t="str">
        <f t="shared" ref="B73:J73" si="57">SUM(B65:B72)</f>
        <v>#REF!</v>
      </c>
      <c r="C73" s="123">
        <f t="shared" si="57"/>
        <v>0</v>
      </c>
      <c r="D73" s="123" t="str">
        <f t="shared" si="57"/>
        <v>#REF!</v>
      </c>
      <c r="E73" s="123" t="str">
        <f t="shared" si="57"/>
        <v>#REF!</v>
      </c>
      <c r="F73" s="123">
        <f t="shared" si="57"/>
        <v>0</v>
      </c>
      <c r="G73" s="123" t="str">
        <f t="shared" si="57"/>
        <v>#REF!</v>
      </c>
      <c r="H73" s="123" t="str">
        <f t="shared" si="57"/>
        <v>#REF!</v>
      </c>
      <c r="I73" s="123">
        <f t="shared" si="57"/>
        <v>0</v>
      </c>
      <c r="J73" s="123" t="str">
        <f t="shared" si="57"/>
        <v>#REF!</v>
      </c>
    </row>
    <row r="74" ht="15.75" customHeight="1">
      <c r="A74" s="116" t="s">
        <v>82</v>
      </c>
      <c r="B74" s="21"/>
      <c r="C74" s="21"/>
      <c r="D74" s="21"/>
      <c r="E74" s="21"/>
      <c r="F74" s="21"/>
      <c r="G74" s="21"/>
      <c r="H74" s="21"/>
      <c r="I74" s="21"/>
      <c r="J74" s="22"/>
    </row>
    <row r="75" ht="15.75" customHeight="1">
      <c r="A75" s="120" t="s">
        <v>83</v>
      </c>
      <c r="B75" s="52" t="str">
        <f>IFERROR(__xludf.DUMMYFUNCTION("IMPORTRANGE(""11ewoQtgLmWCB9shkVV_BqAkWEyjRLk7XsWTW28bbLO8"",""REPORT!C74:D81"")"),"#REF!")</f>
        <v>#REF!</v>
      </c>
      <c r="C75" s="125"/>
      <c r="D75" s="126" t="str">
        <f t="shared" ref="D75:D82" si="59">SUM(B75:C75)</f>
        <v>#REF!</v>
      </c>
      <c r="E75" s="52" t="str">
        <f>IFERROR(__xludf.DUMMYFUNCTION("IMPORTRANGE(""1GpwZlqt_Nsmb_m6kXxize-IyRR4CJ7AqOwKhThkw23M"",""REPORT!C74:D81"")"),"#REF!")</f>
        <v>#REF!</v>
      </c>
      <c r="F75" s="41"/>
      <c r="G75" s="127" t="str">
        <f t="shared" ref="G75:G82" si="60">SUM(E75:F75)</f>
        <v>#REF!</v>
      </c>
      <c r="H75" s="121" t="str">
        <f t="shared" ref="H75:I75" si="58">SUM(B75,E75)</f>
        <v>#REF!</v>
      </c>
      <c r="I75" s="121">
        <f t="shared" si="58"/>
        <v>0</v>
      </c>
      <c r="J75" s="127" t="str">
        <f t="shared" ref="J75:J82" si="62">SUM(H75:I75)</f>
        <v>#REF!</v>
      </c>
    </row>
    <row r="76" ht="15.75" customHeight="1">
      <c r="A76" s="120" t="s">
        <v>84</v>
      </c>
      <c r="B76" s="125"/>
      <c r="C76" s="125"/>
      <c r="D76" s="126">
        <f t="shared" si="59"/>
        <v>0</v>
      </c>
      <c r="E76" s="52"/>
      <c r="F76" s="41"/>
      <c r="G76" s="127">
        <f t="shared" si="60"/>
        <v>0</v>
      </c>
      <c r="H76" s="121">
        <f t="shared" ref="H76:I76" si="61">SUM(B76,E76)</f>
        <v>0</v>
      </c>
      <c r="I76" s="121">
        <f t="shared" si="61"/>
        <v>0</v>
      </c>
      <c r="J76" s="127">
        <f t="shared" si="62"/>
        <v>0</v>
      </c>
    </row>
    <row r="77" ht="15.75" customHeight="1">
      <c r="A77" s="120" t="s">
        <v>85</v>
      </c>
      <c r="B77" s="125"/>
      <c r="C77" s="125"/>
      <c r="D77" s="126">
        <f t="shared" si="59"/>
        <v>0</v>
      </c>
      <c r="E77" s="52"/>
      <c r="F77" s="41"/>
      <c r="G77" s="127">
        <f t="shared" si="60"/>
        <v>0</v>
      </c>
      <c r="H77" s="121">
        <f t="shared" ref="H77:I77" si="63">SUM(B77,E77)</f>
        <v>0</v>
      </c>
      <c r="I77" s="121">
        <f t="shared" si="63"/>
        <v>0</v>
      </c>
      <c r="J77" s="127">
        <f t="shared" si="62"/>
        <v>0</v>
      </c>
    </row>
    <row r="78" ht="15.75" customHeight="1">
      <c r="A78" s="120" t="s">
        <v>86</v>
      </c>
      <c r="B78" s="125"/>
      <c r="C78" s="125"/>
      <c r="D78" s="126">
        <f t="shared" si="59"/>
        <v>0</v>
      </c>
      <c r="E78" s="52"/>
      <c r="F78" s="41"/>
      <c r="G78" s="127">
        <f t="shared" si="60"/>
        <v>0</v>
      </c>
      <c r="H78" s="121">
        <f t="shared" ref="H78:I78" si="64">SUM(B78,E78)</f>
        <v>0</v>
      </c>
      <c r="I78" s="121">
        <f t="shared" si="64"/>
        <v>0</v>
      </c>
      <c r="J78" s="127">
        <f t="shared" si="62"/>
        <v>0</v>
      </c>
    </row>
    <row r="79" ht="15.75" customHeight="1">
      <c r="A79" s="120" t="s">
        <v>87</v>
      </c>
      <c r="B79" s="125"/>
      <c r="C79" s="125"/>
      <c r="D79" s="126">
        <f t="shared" si="59"/>
        <v>0</v>
      </c>
      <c r="E79" s="52"/>
      <c r="F79" s="41"/>
      <c r="G79" s="127">
        <f t="shared" si="60"/>
        <v>0</v>
      </c>
      <c r="H79" s="121">
        <f t="shared" ref="H79:I79" si="65">SUM(B79,E79)</f>
        <v>0</v>
      </c>
      <c r="I79" s="121">
        <f t="shared" si="65"/>
        <v>0</v>
      </c>
      <c r="J79" s="127">
        <f t="shared" si="62"/>
        <v>0</v>
      </c>
    </row>
    <row r="80" ht="15.75" customHeight="1">
      <c r="A80" s="120" t="s">
        <v>88</v>
      </c>
      <c r="B80" s="125"/>
      <c r="C80" s="125"/>
      <c r="D80" s="126">
        <f t="shared" si="59"/>
        <v>0</v>
      </c>
      <c r="E80" s="52"/>
      <c r="F80" s="41"/>
      <c r="G80" s="127">
        <f t="shared" si="60"/>
        <v>0</v>
      </c>
      <c r="H80" s="121">
        <f t="shared" ref="H80:I80" si="66">SUM(B80,E80)</f>
        <v>0</v>
      </c>
      <c r="I80" s="121">
        <f t="shared" si="66"/>
        <v>0</v>
      </c>
      <c r="J80" s="127">
        <f t="shared" si="62"/>
        <v>0</v>
      </c>
    </row>
    <row r="81" ht="15.75" customHeight="1">
      <c r="A81" s="120" t="s">
        <v>89</v>
      </c>
      <c r="B81" s="125"/>
      <c r="C81" s="125"/>
      <c r="D81" s="126">
        <f t="shared" si="59"/>
        <v>0</v>
      </c>
      <c r="E81" s="52"/>
      <c r="F81" s="41"/>
      <c r="G81" s="127">
        <f t="shared" si="60"/>
        <v>0</v>
      </c>
      <c r="H81" s="121">
        <f t="shared" ref="H81:I81" si="67">SUM(B81,E81)</f>
        <v>0</v>
      </c>
      <c r="I81" s="121">
        <f t="shared" si="67"/>
        <v>0</v>
      </c>
      <c r="J81" s="127">
        <f t="shared" si="62"/>
        <v>0</v>
      </c>
    </row>
    <row r="82" ht="15.75" customHeight="1">
      <c r="A82" s="120" t="s">
        <v>90</v>
      </c>
      <c r="B82" s="125"/>
      <c r="C82" s="125"/>
      <c r="D82" s="126">
        <f t="shared" si="59"/>
        <v>0</v>
      </c>
      <c r="E82" s="52"/>
      <c r="F82" s="41"/>
      <c r="G82" s="127">
        <f t="shared" si="60"/>
        <v>0</v>
      </c>
      <c r="H82" s="121">
        <f t="shared" ref="H82:I82" si="68">SUM(B82,E82)</f>
        <v>0</v>
      </c>
      <c r="I82" s="121">
        <f t="shared" si="68"/>
        <v>0</v>
      </c>
      <c r="J82" s="127">
        <f t="shared" si="62"/>
        <v>0</v>
      </c>
    </row>
    <row r="83" ht="15.75" customHeight="1">
      <c r="A83" s="122" t="s">
        <v>40</v>
      </c>
      <c r="B83" s="123" t="str">
        <f t="shared" ref="B83:J83" si="69">SUM(B75:B82)</f>
        <v>#REF!</v>
      </c>
      <c r="C83" s="123">
        <f t="shared" si="69"/>
        <v>0</v>
      </c>
      <c r="D83" s="123" t="str">
        <f t="shared" si="69"/>
        <v>#REF!</v>
      </c>
      <c r="E83" s="123" t="str">
        <f t="shared" si="69"/>
        <v>#REF!</v>
      </c>
      <c r="F83" s="123">
        <f t="shared" si="69"/>
        <v>0</v>
      </c>
      <c r="G83" s="123" t="str">
        <f t="shared" si="69"/>
        <v>#REF!</v>
      </c>
      <c r="H83" s="123" t="str">
        <f t="shared" si="69"/>
        <v>#REF!</v>
      </c>
      <c r="I83" s="123">
        <f t="shared" si="69"/>
        <v>0</v>
      </c>
      <c r="J83" s="123" t="str">
        <f t="shared" si="69"/>
        <v>#REF!</v>
      </c>
    </row>
    <row r="84" ht="15.75" customHeight="1">
      <c r="A84" s="116" t="s">
        <v>91</v>
      </c>
      <c r="B84" s="21"/>
      <c r="C84" s="21"/>
      <c r="D84" s="21"/>
      <c r="E84" s="21"/>
      <c r="F84" s="21"/>
      <c r="G84" s="21"/>
      <c r="H84" s="21"/>
      <c r="I84" s="21"/>
      <c r="J84" s="22"/>
    </row>
    <row r="85" ht="15.75" customHeight="1">
      <c r="A85" s="128" t="s">
        <v>92</v>
      </c>
      <c r="B85" s="129" t="str">
        <f>IFERROR(__xludf.DUMMYFUNCTION("IMPORTRANGE(""11ewoQtgLmWCB9shkVV_BqAkWEyjRLk7XsWTW28bbLO8"",""REPORT!C84:D84"")"),"#REF!")</f>
        <v>#REF!</v>
      </c>
      <c r="C85" s="130"/>
      <c r="D85" s="126" t="str">
        <f t="shared" ref="D85:D88" si="71">SUM(B85:C85)</f>
        <v>#REF!</v>
      </c>
      <c r="E85" s="131"/>
      <c r="F85" s="132"/>
      <c r="G85" s="53">
        <f t="shared" ref="G85:G88" si="72">SUM(E85:F85)</f>
        <v>0</v>
      </c>
      <c r="H85" s="133" t="str">
        <f t="shared" ref="H85:I85" si="70">SUM(B85,E85)</f>
        <v>#REF!</v>
      </c>
      <c r="I85" s="133">
        <f t="shared" si="70"/>
        <v>0</v>
      </c>
      <c r="J85" s="53" t="str">
        <f t="shared" ref="J85:J88" si="74">SUM(H85:I85)</f>
        <v>#REF!</v>
      </c>
    </row>
    <row r="86" ht="15.75" customHeight="1">
      <c r="A86" s="128" t="s">
        <v>93</v>
      </c>
      <c r="B86" s="132"/>
      <c r="C86" s="132"/>
      <c r="D86" s="126">
        <f t="shared" si="71"/>
        <v>0</v>
      </c>
      <c r="E86" s="132"/>
      <c r="F86" s="132"/>
      <c r="G86" s="53">
        <f t="shared" si="72"/>
        <v>0</v>
      </c>
      <c r="H86" s="133">
        <f t="shared" ref="H86:I86" si="73">SUM(B86,E86)</f>
        <v>0</v>
      </c>
      <c r="I86" s="133">
        <f t="shared" si="73"/>
        <v>0</v>
      </c>
      <c r="J86" s="53">
        <f t="shared" si="74"/>
        <v>0</v>
      </c>
    </row>
    <row r="87" ht="15.75" customHeight="1">
      <c r="A87" s="128" t="s">
        <v>94</v>
      </c>
      <c r="B87" s="132"/>
      <c r="C87" s="132"/>
      <c r="D87" s="126">
        <f t="shared" si="71"/>
        <v>0</v>
      </c>
      <c r="E87" s="129" t="str">
        <f>IFERROR(__xludf.DUMMYFUNCTION("IMPORTRANGE(""1GpwZlqt_Nsmb_m6kXxize-IyRR4CJ7AqOwKhThkw23M"",""REPORT!C84:D84"")"),"#REF!")</f>
        <v>#REF!</v>
      </c>
      <c r="F87" s="130"/>
      <c r="G87" s="53" t="str">
        <f t="shared" si="72"/>
        <v>#REF!</v>
      </c>
      <c r="H87" s="133" t="str">
        <f t="shared" ref="H87:I87" si="75">SUM(B87,E87)</f>
        <v>#REF!</v>
      </c>
      <c r="I87" s="133">
        <f t="shared" si="75"/>
        <v>0</v>
      </c>
      <c r="J87" s="53" t="str">
        <f t="shared" si="74"/>
        <v>#REF!</v>
      </c>
    </row>
    <row r="88" ht="15.75" customHeight="1">
      <c r="A88" s="128" t="s">
        <v>95</v>
      </c>
      <c r="B88" s="132"/>
      <c r="C88" s="132"/>
      <c r="D88" s="126">
        <f t="shared" si="71"/>
        <v>0</v>
      </c>
      <c r="E88" s="132"/>
      <c r="F88" s="132"/>
      <c r="G88" s="53">
        <f t="shared" si="72"/>
        <v>0</v>
      </c>
      <c r="H88" s="133">
        <f t="shared" ref="H88:I88" si="76">SUM(B88,E88)</f>
        <v>0</v>
      </c>
      <c r="I88" s="133">
        <f t="shared" si="76"/>
        <v>0</v>
      </c>
      <c r="J88" s="53">
        <f t="shared" si="74"/>
        <v>0</v>
      </c>
    </row>
    <row r="89" ht="15.75" customHeight="1">
      <c r="A89" s="122" t="s">
        <v>40</v>
      </c>
      <c r="B89" s="123" t="str">
        <f t="shared" ref="B89:J89" si="77">SUM(B85:B88)</f>
        <v>#REF!</v>
      </c>
      <c r="C89" s="123">
        <f t="shared" si="77"/>
        <v>0</v>
      </c>
      <c r="D89" s="123" t="str">
        <f t="shared" si="77"/>
        <v>#REF!</v>
      </c>
      <c r="E89" s="123" t="str">
        <f t="shared" si="77"/>
        <v>#REF!</v>
      </c>
      <c r="F89" s="123">
        <f t="shared" si="77"/>
        <v>0</v>
      </c>
      <c r="G89" s="123" t="str">
        <f t="shared" si="77"/>
        <v>#REF!</v>
      </c>
      <c r="H89" s="123" t="str">
        <f t="shared" si="77"/>
        <v>#REF!</v>
      </c>
      <c r="I89" s="123">
        <f t="shared" si="77"/>
        <v>0</v>
      </c>
      <c r="J89" s="123" t="str">
        <f t="shared" si="77"/>
        <v>#REF!</v>
      </c>
    </row>
    <row r="90" ht="15.75" customHeight="1">
      <c r="A90" s="116" t="s">
        <v>96</v>
      </c>
      <c r="B90" s="21"/>
      <c r="C90" s="21"/>
      <c r="D90" s="21"/>
      <c r="E90" s="21"/>
      <c r="F90" s="21"/>
      <c r="G90" s="21"/>
      <c r="H90" s="21"/>
      <c r="I90" s="21"/>
      <c r="J90" s="22"/>
    </row>
    <row r="91" ht="15.75" customHeight="1">
      <c r="A91" s="128" t="s">
        <v>97</v>
      </c>
      <c r="B91" s="129" t="str">
        <f>IFERROR(__xludf.DUMMYFUNCTION("IMPORTRANGE(""11ewoQtgLmWCB9shkVV_BqAkWEyjRLk7XsWTW28bbLO8"",""REPORT!C85:D85"")"),"#REF!")</f>
        <v>#REF!</v>
      </c>
      <c r="C91" s="130"/>
      <c r="D91" s="126" t="str">
        <f t="shared" ref="D91:D94" si="79">SUM(B91:C91)</f>
        <v>#REF!</v>
      </c>
      <c r="E91" s="131"/>
      <c r="F91" s="132"/>
      <c r="G91" s="53">
        <f t="shared" ref="G91:G94" si="80">SUM(E91:F91)</f>
        <v>0</v>
      </c>
      <c r="H91" s="133" t="str">
        <f t="shared" ref="H91:I91" si="78">SUM(B91,E91)</f>
        <v>#REF!</v>
      </c>
      <c r="I91" s="133">
        <f t="shared" si="78"/>
        <v>0</v>
      </c>
      <c r="J91" s="53" t="str">
        <f t="shared" ref="J91:J94" si="82">SUM(H91:I91)</f>
        <v>#REF!</v>
      </c>
    </row>
    <row r="92" ht="15.75" customHeight="1">
      <c r="A92" s="128" t="s">
        <v>98</v>
      </c>
      <c r="B92" s="132"/>
      <c r="C92" s="132"/>
      <c r="D92" s="126">
        <f t="shared" si="79"/>
        <v>0</v>
      </c>
      <c r="E92" s="132"/>
      <c r="F92" s="132"/>
      <c r="G92" s="53">
        <f t="shared" si="80"/>
        <v>0</v>
      </c>
      <c r="H92" s="133">
        <f t="shared" ref="H92:I92" si="81">SUM(B92,E92)</f>
        <v>0</v>
      </c>
      <c r="I92" s="133">
        <f t="shared" si="81"/>
        <v>0</v>
      </c>
      <c r="J92" s="53">
        <f t="shared" si="82"/>
        <v>0</v>
      </c>
    </row>
    <row r="93" ht="15.75" customHeight="1">
      <c r="A93" s="128" t="s">
        <v>99</v>
      </c>
      <c r="B93" s="132"/>
      <c r="C93" s="132"/>
      <c r="D93" s="126">
        <f t="shared" si="79"/>
        <v>0</v>
      </c>
      <c r="E93" s="129" t="str">
        <f>IFERROR(__xludf.DUMMYFUNCTION("IMPORTRANGE(""1GpwZlqt_Nsmb_m6kXxize-IyRR4CJ7AqOwKhThkw23M"",""REPORT!C85:D85"")"),"#REF!")</f>
        <v>#REF!</v>
      </c>
      <c r="F93" s="130"/>
      <c r="G93" s="53" t="str">
        <f t="shared" si="80"/>
        <v>#REF!</v>
      </c>
      <c r="H93" s="133" t="str">
        <f t="shared" ref="H93:I93" si="83">SUM(B93,E93)</f>
        <v>#REF!</v>
      </c>
      <c r="I93" s="133">
        <f t="shared" si="83"/>
        <v>0</v>
      </c>
      <c r="J93" s="53" t="str">
        <f t="shared" si="82"/>
        <v>#REF!</v>
      </c>
    </row>
    <row r="94" ht="15.75" customHeight="1">
      <c r="A94" s="128" t="s">
        <v>100</v>
      </c>
      <c r="B94" s="132"/>
      <c r="C94" s="132"/>
      <c r="D94" s="126">
        <f t="shared" si="79"/>
        <v>0</v>
      </c>
      <c r="E94" s="132"/>
      <c r="F94" s="132"/>
      <c r="G94" s="53">
        <f t="shared" si="80"/>
        <v>0</v>
      </c>
      <c r="H94" s="133">
        <f t="shared" ref="H94:I94" si="84">SUM(B94,E94)</f>
        <v>0</v>
      </c>
      <c r="I94" s="133">
        <f t="shared" si="84"/>
        <v>0</v>
      </c>
      <c r="J94" s="53">
        <f t="shared" si="82"/>
        <v>0</v>
      </c>
    </row>
    <row r="95" ht="15.75" customHeight="1">
      <c r="A95" s="122" t="s">
        <v>40</v>
      </c>
      <c r="B95" s="123" t="str">
        <f t="shared" ref="B95:J95" si="85">SUM(B91:B94)</f>
        <v>#REF!</v>
      </c>
      <c r="C95" s="123">
        <f t="shared" si="85"/>
        <v>0</v>
      </c>
      <c r="D95" s="123" t="str">
        <f t="shared" si="85"/>
        <v>#REF!</v>
      </c>
      <c r="E95" s="123" t="str">
        <f t="shared" si="85"/>
        <v>#REF!</v>
      </c>
      <c r="F95" s="123">
        <f t="shared" si="85"/>
        <v>0</v>
      </c>
      <c r="G95" s="123" t="str">
        <f t="shared" si="85"/>
        <v>#REF!</v>
      </c>
      <c r="H95" s="123" t="str">
        <f t="shared" si="85"/>
        <v>#REF!</v>
      </c>
      <c r="I95" s="123">
        <f t="shared" si="85"/>
        <v>0</v>
      </c>
      <c r="J95" s="123" t="str">
        <f t="shared" si="85"/>
        <v>#REF!</v>
      </c>
    </row>
    <row r="96" ht="15.75" customHeight="1">
      <c r="A96" s="116" t="s">
        <v>101</v>
      </c>
      <c r="B96" s="21"/>
      <c r="C96" s="21"/>
      <c r="D96" s="21"/>
      <c r="E96" s="21"/>
      <c r="F96" s="21"/>
      <c r="G96" s="21"/>
      <c r="H96" s="21"/>
      <c r="I96" s="21"/>
      <c r="J96" s="22"/>
    </row>
    <row r="97" ht="15.75" customHeight="1">
      <c r="A97" s="128" t="s">
        <v>102</v>
      </c>
      <c r="B97" s="129" t="str">
        <f>IFERROR(__xludf.DUMMYFUNCTION("IMPORTRANGE(""11ewoQtgLmWCB9shkVV_BqAkWEyjRLk7XsWTW28bbLO8"",""REPORT!C87:D87"")"),"#REF!")</f>
        <v>#REF!</v>
      </c>
      <c r="C97" s="130"/>
      <c r="D97" s="126" t="str">
        <f t="shared" ref="D97:D100" si="87">SUM(B97:C97)</f>
        <v>#REF!</v>
      </c>
      <c r="E97" s="131"/>
      <c r="F97" s="132"/>
      <c r="G97" s="53">
        <f t="shared" ref="G97:G100" si="88">SUM(E97:F97)</f>
        <v>0</v>
      </c>
      <c r="H97" s="133" t="str">
        <f t="shared" ref="H97:I97" si="86">SUM(B97,E97)</f>
        <v>#REF!</v>
      </c>
      <c r="I97" s="133">
        <f t="shared" si="86"/>
        <v>0</v>
      </c>
      <c r="J97" s="53" t="str">
        <f t="shared" ref="J97:J100" si="90">SUM(H97:I97)</f>
        <v>#REF!</v>
      </c>
    </row>
    <row r="98" ht="15.75" customHeight="1">
      <c r="A98" s="128" t="s">
        <v>103</v>
      </c>
      <c r="B98" s="132"/>
      <c r="C98" s="132"/>
      <c r="D98" s="126">
        <f t="shared" si="87"/>
        <v>0</v>
      </c>
      <c r="E98" s="132"/>
      <c r="F98" s="132"/>
      <c r="G98" s="53">
        <f t="shared" si="88"/>
        <v>0</v>
      </c>
      <c r="H98" s="133">
        <f t="shared" ref="H98:I98" si="89">SUM(B98,E98)</f>
        <v>0</v>
      </c>
      <c r="I98" s="133">
        <f t="shared" si="89"/>
        <v>0</v>
      </c>
      <c r="J98" s="53">
        <f t="shared" si="90"/>
        <v>0</v>
      </c>
    </row>
    <row r="99" ht="15.75" customHeight="1">
      <c r="A99" s="128" t="s">
        <v>104</v>
      </c>
      <c r="B99" s="132"/>
      <c r="C99" s="132"/>
      <c r="D99" s="126">
        <f t="shared" si="87"/>
        <v>0</v>
      </c>
      <c r="E99" s="129" t="str">
        <f>IFERROR(__xludf.DUMMYFUNCTION("IMPORTRANGE(""1GpwZlqt_Nsmb_m6kXxize-IyRR4CJ7AqOwKhThkw23M"",""REPORT!C87:D87"")"),"#REF!")</f>
        <v>#REF!</v>
      </c>
      <c r="F99" s="130"/>
      <c r="G99" s="53" t="str">
        <f t="shared" si="88"/>
        <v>#REF!</v>
      </c>
      <c r="H99" s="133" t="str">
        <f t="shared" ref="H99:I99" si="91">SUM(B99,E99)</f>
        <v>#REF!</v>
      </c>
      <c r="I99" s="133">
        <f t="shared" si="91"/>
        <v>0</v>
      </c>
      <c r="J99" s="53" t="str">
        <f t="shared" si="90"/>
        <v>#REF!</v>
      </c>
    </row>
    <row r="100" ht="15.75" customHeight="1">
      <c r="A100" s="128" t="s">
        <v>105</v>
      </c>
      <c r="B100" s="132"/>
      <c r="C100" s="132"/>
      <c r="D100" s="126">
        <f t="shared" si="87"/>
        <v>0</v>
      </c>
      <c r="E100" s="132"/>
      <c r="F100" s="132"/>
      <c r="G100" s="53">
        <f t="shared" si="88"/>
        <v>0</v>
      </c>
      <c r="H100" s="133">
        <f t="shared" ref="H100:I100" si="92">SUM(B100,E100)</f>
        <v>0</v>
      </c>
      <c r="I100" s="133">
        <f t="shared" si="92"/>
        <v>0</v>
      </c>
      <c r="J100" s="53">
        <f t="shared" si="90"/>
        <v>0</v>
      </c>
    </row>
    <row r="101" ht="15.75" customHeight="1">
      <c r="A101" s="122" t="s">
        <v>40</v>
      </c>
      <c r="B101" s="123" t="str">
        <f t="shared" ref="B101:J101" si="93">SUM(B97:B100)</f>
        <v>#REF!</v>
      </c>
      <c r="C101" s="123">
        <f t="shared" si="93"/>
        <v>0</v>
      </c>
      <c r="D101" s="123" t="str">
        <f t="shared" si="93"/>
        <v>#REF!</v>
      </c>
      <c r="E101" s="123" t="str">
        <f t="shared" si="93"/>
        <v>#REF!</v>
      </c>
      <c r="F101" s="123">
        <f t="shared" si="93"/>
        <v>0</v>
      </c>
      <c r="G101" s="123" t="str">
        <f t="shared" si="93"/>
        <v>#REF!</v>
      </c>
      <c r="H101" s="123" t="str">
        <f t="shared" si="93"/>
        <v>#REF!</v>
      </c>
      <c r="I101" s="123">
        <f t="shared" si="93"/>
        <v>0</v>
      </c>
      <c r="J101" s="123" t="str">
        <f t="shared" si="93"/>
        <v>#REF!</v>
      </c>
    </row>
    <row r="102" ht="15.75" customHeight="1">
      <c r="A102" s="116" t="s">
        <v>106</v>
      </c>
      <c r="B102" s="21"/>
      <c r="C102" s="21"/>
      <c r="D102" s="21"/>
      <c r="E102" s="21"/>
      <c r="F102" s="21"/>
      <c r="G102" s="21"/>
      <c r="H102" s="21"/>
      <c r="I102" s="21"/>
      <c r="J102" s="22"/>
    </row>
    <row r="103" ht="15.75" customHeight="1">
      <c r="A103" s="128" t="s">
        <v>107</v>
      </c>
      <c r="B103" s="129" t="str">
        <f>IFERROR(__xludf.DUMMYFUNCTION("IMPORTRANGE(""11ewoQtgLmWCB9shkVV_BqAkWEyjRLk7XsWTW28bbLO8"",""REPORT!C86:D86"")"),"#REF!")</f>
        <v>#REF!</v>
      </c>
      <c r="C103" s="130"/>
      <c r="D103" s="126" t="str">
        <f t="shared" ref="D103:D106" si="95">SUM(B103:C103)</f>
        <v>#REF!</v>
      </c>
      <c r="E103" s="131"/>
      <c r="F103" s="132"/>
      <c r="G103" s="53">
        <f t="shared" ref="G103:G106" si="96">SUM(E103:F103)</f>
        <v>0</v>
      </c>
      <c r="H103" s="133" t="str">
        <f t="shared" ref="H103:I103" si="94">SUM(B103,E103)</f>
        <v>#REF!</v>
      </c>
      <c r="I103" s="133">
        <f t="shared" si="94"/>
        <v>0</v>
      </c>
      <c r="J103" s="53" t="str">
        <f t="shared" ref="J103:J106" si="98">SUM(H103:I103)</f>
        <v>#REF!</v>
      </c>
    </row>
    <row r="104" ht="15.75" customHeight="1">
      <c r="A104" s="128" t="s">
        <v>108</v>
      </c>
      <c r="B104" s="132"/>
      <c r="C104" s="132"/>
      <c r="D104" s="126">
        <f t="shared" si="95"/>
        <v>0</v>
      </c>
      <c r="E104" s="132"/>
      <c r="F104" s="132"/>
      <c r="G104" s="53">
        <f t="shared" si="96"/>
        <v>0</v>
      </c>
      <c r="H104" s="133">
        <f t="shared" ref="H104:I104" si="97">SUM(B104,E104)</f>
        <v>0</v>
      </c>
      <c r="I104" s="133">
        <f t="shared" si="97"/>
        <v>0</v>
      </c>
      <c r="J104" s="53">
        <f t="shared" si="98"/>
        <v>0</v>
      </c>
    </row>
    <row r="105" ht="15.75" customHeight="1">
      <c r="A105" s="128" t="s">
        <v>109</v>
      </c>
      <c r="B105" s="132"/>
      <c r="C105" s="132"/>
      <c r="D105" s="126">
        <f t="shared" si="95"/>
        <v>0</v>
      </c>
      <c r="E105" s="129" t="str">
        <f>IFERROR(__xludf.DUMMYFUNCTION("IMPORTRANGE(""1GpwZlqt_Nsmb_m6kXxize-IyRR4CJ7AqOwKhThkw23M"",""REPORT!C86:D86"")"),"#REF!")</f>
        <v>#REF!</v>
      </c>
      <c r="F105" s="130"/>
      <c r="G105" s="53" t="str">
        <f t="shared" si="96"/>
        <v>#REF!</v>
      </c>
      <c r="H105" s="133" t="str">
        <f t="shared" ref="H105:I105" si="99">SUM(B105,E105)</f>
        <v>#REF!</v>
      </c>
      <c r="I105" s="133">
        <f t="shared" si="99"/>
        <v>0</v>
      </c>
      <c r="J105" s="53" t="str">
        <f t="shared" si="98"/>
        <v>#REF!</v>
      </c>
    </row>
    <row r="106" ht="15.75" customHeight="1">
      <c r="A106" s="128" t="s">
        <v>110</v>
      </c>
      <c r="B106" s="132"/>
      <c r="C106" s="132"/>
      <c r="D106" s="126">
        <f t="shared" si="95"/>
        <v>0</v>
      </c>
      <c r="E106" s="132"/>
      <c r="F106" s="132"/>
      <c r="G106" s="53">
        <f t="shared" si="96"/>
        <v>0</v>
      </c>
      <c r="H106" s="133">
        <f t="shared" ref="H106:I106" si="100">SUM(B106,E106)</f>
        <v>0</v>
      </c>
      <c r="I106" s="133">
        <f t="shared" si="100"/>
        <v>0</v>
      </c>
      <c r="J106" s="53">
        <f t="shared" si="98"/>
        <v>0</v>
      </c>
    </row>
    <row r="107" ht="15.75" customHeight="1">
      <c r="A107" s="122" t="s">
        <v>40</v>
      </c>
      <c r="B107" s="123" t="str">
        <f t="shared" ref="B107:J107" si="101">SUM(B103:B106)</f>
        <v>#REF!</v>
      </c>
      <c r="C107" s="123">
        <f t="shared" si="101"/>
        <v>0</v>
      </c>
      <c r="D107" s="123" t="str">
        <f t="shared" si="101"/>
        <v>#REF!</v>
      </c>
      <c r="E107" s="123" t="str">
        <f t="shared" si="101"/>
        <v>#REF!</v>
      </c>
      <c r="F107" s="123">
        <f t="shared" si="101"/>
        <v>0</v>
      </c>
      <c r="G107" s="123" t="str">
        <f t="shared" si="101"/>
        <v>#REF!</v>
      </c>
      <c r="H107" s="123" t="str">
        <f t="shared" si="101"/>
        <v>#REF!</v>
      </c>
      <c r="I107" s="123">
        <f t="shared" si="101"/>
        <v>0</v>
      </c>
      <c r="J107" s="123" t="str">
        <f t="shared" si="101"/>
        <v>#REF!</v>
      </c>
    </row>
    <row r="108" ht="15.75" customHeight="1">
      <c r="A108" s="116" t="s">
        <v>111</v>
      </c>
      <c r="B108" s="21"/>
      <c r="C108" s="21"/>
      <c r="D108" s="21"/>
      <c r="E108" s="21"/>
      <c r="F108" s="21"/>
      <c r="G108" s="21"/>
      <c r="H108" s="21"/>
      <c r="I108" s="21"/>
      <c r="J108" s="22"/>
    </row>
    <row r="109" ht="15.75" customHeight="1">
      <c r="A109" s="128" t="s">
        <v>112</v>
      </c>
      <c r="B109" s="129" t="str">
        <f>IFERROR(__xludf.DUMMYFUNCTION("IMPORTRANGE(""11ewoQtgLmWCB9shkVV_BqAkWEyjRLk7XsWTW28bbLO8"",""REPORT!C88:D88"")"),"#REF!")</f>
        <v>#REF!</v>
      </c>
      <c r="C109" s="130"/>
      <c r="D109" s="126" t="str">
        <f t="shared" ref="D109:D112" si="103">SUM(B109:C109)</f>
        <v>#REF!</v>
      </c>
      <c r="E109" s="131"/>
      <c r="F109" s="132"/>
      <c r="G109" s="53">
        <f t="shared" ref="G109:G112" si="104">SUM(E109:F109)</f>
        <v>0</v>
      </c>
      <c r="H109" s="133" t="str">
        <f t="shared" ref="H109:I109" si="102">SUM(B109,E109)</f>
        <v>#REF!</v>
      </c>
      <c r="I109" s="133">
        <f t="shared" si="102"/>
        <v>0</v>
      </c>
      <c r="J109" s="53" t="str">
        <f t="shared" ref="J109:J112" si="106">SUM(H109:I109)</f>
        <v>#REF!</v>
      </c>
    </row>
    <row r="110" ht="15.75" customHeight="1">
      <c r="A110" s="128" t="s">
        <v>113</v>
      </c>
      <c r="B110" s="132"/>
      <c r="C110" s="132"/>
      <c r="D110" s="126">
        <f t="shared" si="103"/>
        <v>0</v>
      </c>
      <c r="E110" s="132"/>
      <c r="F110" s="132"/>
      <c r="G110" s="53">
        <f t="shared" si="104"/>
        <v>0</v>
      </c>
      <c r="H110" s="133">
        <f t="shared" ref="H110:I110" si="105">SUM(B110,E110)</f>
        <v>0</v>
      </c>
      <c r="I110" s="133">
        <f t="shared" si="105"/>
        <v>0</v>
      </c>
      <c r="J110" s="53">
        <f t="shared" si="106"/>
        <v>0</v>
      </c>
    </row>
    <row r="111" ht="15.75" customHeight="1">
      <c r="A111" s="128" t="s">
        <v>114</v>
      </c>
      <c r="B111" s="132"/>
      <c r="C111" s="132"/>
      <c r="D111" s="126">
        <f t="shared" si="103"/>
        <v>0</v>
      </c>
      <c r="E111" s="129" t="str">
        <f>IFERROR(__xludf.DUMMYFUNCTION("IMPORTRANGE(""1GpwZlqt_Nsmb_m6kXxize-IyRR4CJ7AqOwKhThkw23M"",""REPORT!C88:D88"")"),"#REF!")</f>
        <v>#REF!</v>
      </c>
      <c r="F111" s="130"/>
      <c r="G111" s="53" t="str">
        <f t="shared" si="104"/>
        <v>#REF!</v>
      </c>
      <c r="H111" s="133" t="str">
        <f t="shared" ref="H111:I111" si="107">SUM(B111,E111)</f>
        <v>#REF!</v>
      </c>
      <c r="I111" s="133">
        <f t="shared" si="107"/>
        <v>0</v>
      </c>
      <c r="J111" s="53" t="str">
        <f t="shared" si="106"/>
        <v>#REF!</v>
      </c>
    </row>
    <row r="112" ht="15.75" customHeight="1">
      <c r="A112" s="128" t="s">
        <v>115</v>
      </c>
      <c r="B112" s="132"/>
      <c r="C112" s="132"/>
      <c r="D112" s="126">
        <f t="shared" si="103"/>
        <v>0</v>
      </c>
      <c r="E112" s="132"/>
      <c r="F112" s="132"/>
      <c r="G112" s="53">
        <f t="shared" si="104"/>
        <v>0</v>
      </c>
      <c r="H112" s="133">
        <f t="shared" ref="H112:I112" si="108">SUM(B112,E112)</f>
        <v>0</v>
      </c>
      <c r="I112" s="133">
        <f t="shared" si="108"/>
        <v>0</v>
      </c>
      <c r="J112" s="53">
        <f t="shared" si="106"/>
        <v>0</v>
      </c>
    </row>
    <row r="113" ht="15.75" customHeight="1">
      <c r="A113" s="122" t="s">
        <v>40</v>
      </c>
      <c r="B113" s="123" t="str">
        <f t="shared" ref="B113:J113" si="109">SUM(B109:B112)</f>
        <v>#REF!</v>
      </c>
      <c r="C113" s="123">
        <f t="shared" si="109"/>
        <v>0</v>
      </c>
      <c r="D113" s="123" t="str">
        <f t="shared" si="109"/>
        <v>#REF!</v>
      </c>
      <c r="E113" s="123" t="str">
        <f t="shared" si="109"/>
        <v>#REF!</v>
      </c>
      <c r="F113" s="123">
        <f t="shared" si="109"/>
        <v>0</v>
      </c>
      <c r="G113" s="123" t="str">
        <f t="shared" si="109"/>
        <v>#REF!</v>
      </c>
      <c r="H113" s="123" t="str">
        <f t="shared" si="109"/>
        <v>#REF!</v>
      </c>
      <c r="I113" s="123">
        <f t="shared" si="109"/>
        <v>0</v>
      </c>
      <c r="J113" s="123" t="str">
        <f t="shared" si="109"/>
        <v>#REF!</v>
      </c>
    </row>
    <row r="114" ht="15.75" customHeight="1">
      <c r="A114" s="116" t="s">
        <v>116</v>
      </c>
      <c r="B114" s="21"/>
      <c r="C114" s="21"/>
      <c r="D114" s="21"/>
      <c r="E114" s="21"/>
      <c r="F114" s="21"/>
      <c r="G114" s="21"/>
      <c r="H114" s="21"/>
      <c r="I114" s="21"/>
      <c r="J114" s="22"/>
    </row>
    <row r="115" ht="15.75" customHeight="1">
      <c r="A115" s="128" t="s">
        <v>117</v>
      </c>
      <c r="B115" s="129" t="str">
        <f>IFERROR(__xludf.DUMMYFUNCTION("IMPORTRANGE(""11ewoQtgLmWCB9shkVV_BqAkWEyjRLk7XsWTW28bbLO8"",""REPORT!C89:D89"")"),"#REF!")</f>
        <v>#REF!</v>
      </c>
      <c r="C115" s="130"/>
      <c r="D115" s="126" t="str">
        <f t="shared" ref="D115:D118" si="111">SUM(B115:C115)</f>
        <v>#REF!</v>
      </c>
      <c r="E115" s="131"/>
      <c r="F115" s="132"/>
      <c r="G115" s="53">
        <f t="shared" ref="G115:G118" si="112">SUM(E115:F115)</f>
        <v>0</v>
      </c>
      <c r="H115" s="133" t="str">
        <f t="shared" ref="H115:I115" si="110">SUM(B115,E115)</f>
        <v>#REF!</v>
      </c>
      <c r="I115" s="133">
        <f t="shared" si="110"/>
        <v>0</v>
      </c>
      <c r="J115" s="53" t="str">
        <f t="shared" ref="J115:J118" si="114">SUM(H115:I115)</f>
        <v>#REF!</v>
      </c>
    </row>
    <row r="116" ht="15.75" customHeight="1">
      <c r="A116" s="128" t="s">
        <v>118</v>
      </c>
      <c r="B116" s="132"/>
      <c r="C116" s="132"/>
      <c r="D116" s="126">
        <f t="shared" si="111"/>
        <v>0</v>
      </c>
      <c r="E116" s="132"/>
      <c r="F116" s="132"/>
      <c r="G116" s="53">
        <f t="shared" si="112"/>
        <v>0</v>
      </c>
      <c r="H116" s="133">
        <f t="shared" ref="H116:I116" si="113">SUM(B116,E116)</f>
        <v>0</v>
      </c>
      <c r="I116" s="133">
        <f t="shared" si="113"/>
        <v>0</v>
      </c>
      <c r="J116" s="53">
        <f t="shared" si="114"/>
        <v>0</v>
      </c>
    </row>
    <row r="117" ht="15.75" customHeight="1">
      <c r="A117" s="128" t="s">
        <v>119</v>
      </c>
      <c r="B117" s="132"/>
      <c r="C117" s="132"/>
      <c r="D117" s="126">
        <f t="shared" si="111"/>
        <v>0</v>
      </c>
      <c r="E117" s="129" t="str">
        <f>IFERROR(__xludf.DUMMYFUNCTION("IMPORTRANGE(""1GpwZlqt_Nsmb_m6kXxize-IyRR4CJ7AqOwKhThkw23M"",""REPORT!C89:D89"")"),"#REF!")</f>
        <v>#REF!</v>
      </c>
      <c r="F117" s="130"/>
      <c r="G117" s="53" t="str">
        <f t="shared" si="112"/>
        <v>#REF!</v>
      </c>
      <c r="H117" s="133" t="str">
        <f t="shared" ref="H117:I117" si="115">SUM(B117,E117)</f>
        <v>#REF!</v>
      </c>
      <c r="I117" s="133">
        <f t="shared" si="115"/>
        <v>0</v>
      </c>
      <c r="J117" s="53" t="str">
        <f t="shared" si="114"/>
        <v>#REF!</v>
      </c>
    </row>
    <row r="118" ht="15.75" customHeight="1">
      <c r="A118" s="128" t="s">
        <v>120</v>
      </c>
      <c r="B118" s="132"/>
      <c r="C118" s="132"/>
      <c r="D118" s="126">
        <f t="shared" si="111"/>
        <v>0</v>
      </c>
      <c r="E118" s="132"/>
      <c r="F118" s="132"/>
      <c r="G118" s="53">
        <f t="shared" si="112"/>
        <v>0</v>
      </c>
      <c r="H118" s="133">
        <f t="shared" ref="H118:I118" si="116">SUM(B118,E118)</f>
        <v>0</v>
      </c>
      <c r="I118" s="133">
        <f t="shared" si="116"/>
        <v>0</v>
      </c>
      <c r="J118" s="53">
        <f t="shared" si="114"/>
        <v>0</v>
      </c>
    </row>
    <row r="119" ht="15.75" customHeight="1">
      <c r="A119" s="122" t="s">
        <v>40</v>
      </c>
      <c r="B119" s="123" t="str">
        <f t="shared" ref="B119:J119" si="117">SUM(B115:B118)</f>
        <v>#REF!</v>
      </c>
      <c r="C119" s="123">
        <f t="shared" si="117"/>
        <v>0</v>
      </c>
      <c r="D119" s="123" t="str">
        <f t="shared" si="117"/>
        <v>#REF!</v>
      </c>
      <c r="E119" s="123" t="str">
        <f t="shared" si="117"/>
        <v>#REF!</v>
      </c>
      <c r="F119" s="123">
        <f t="shared" si="117"/>
        <v>0</v>
      </c>
      <c r="G119" s="123" t="str">
        <f t="shared" si="117"/>
        <v>#REF!</v>
      </c>
      <c r="H119" s="123" t="str">
        <f t="shared" si="117"/>
        <v>#REF!</v>
      </c>
      <c r="I119" s="123">
        <f t="shared" si="117"/>
        <v>0</v>
      </c>
      <c r="J119" s="123" t="str">
        <f t="shared" si="117"/>
        <v>#REF!</v>
      </c>
    </row>
    <row r="120" ht="15.75" customHeight="1">
      <c r="A120" s="116" t="s">
        <v>121</v>
      </c>
      <c r="B120" s="21"/>
      <c r="C120" s="21"/>
      <c r="D120" s="21"/>
      <c r="E120" s="21"/>
      <c r="F120" s="21"/>
      <c r="G120" s="21"/>
      <c r="H120" s="21"/>
      <c r="I120" s="21"/>
      <c r="J120" s="22"/>
    </row>
    <row r="121" ht="15.75" customHeight="1">
      <c r="A121" s="128" t="s">
        <v>122</v>
      </c>
      <c r="B121" s="129" t="str">
        <f>IFERROR(__xludf.DUMMYFUNCTION("IMPORTRANGE(""11ewoQtgLmWCB9shkVV_BqAkWEyjRLk7XsWTW28bbLO8"",""REPORT!C90:D90"")"),"#REF!")</f>
        <v>#REF!</v>
      </c>
      <c r="C121" s="130"/>
      <c r="D121" s="126" t="str">
        <f t="shared" ref="D121:D124" si="119">SUM(B121:C121)</f>
        <v>#REF!</v>
      </c>
      <c r="E121" s="131"/>
      <c r="F121" s="132"/>
      <c r="G121" s="53">
        <f t="shared" ref="G121:G124" si="120">SUM(E121:F121)</f>
        <v>0</v>
      </c>
      <c r="H121" s="133" t="str">
        <f t="shared" ref="H121:I121" si="118">SUM(B121,E121)</f>
        <v>#REF!</v>
      </c>
      <c r="I121" s="133">
        <f t="shared" si="118"/>
        <v>0</v>
      </c>
      <c r="J121" s="53" t="str">
        <f t="shared" ref="J121:J124" si="122">SUM(H121:I121)</f>
        <v>#REF!</v>
      </c>
    </row>
    <row r="122" ht="15.75" customHeight="1">
      <c r="A122" s="128" t="s">
        <v>123</v>
      </c>
      <c r="B122" s="132"/>
      <c r="C122" s="132"/>
      <c r="D122" s="126">
        <f t="shared" si="119"/>
        <v>0</v>
      </c>
      <c r="E122" s="132"/>
      <c r="F122" s="132"/>
      <c r="G122" s="53">
        <f t="shared" si="120"/>
        <v>0</v>
      </c>
      <c r="H122" s="133">
        <f t="shared" ref="H122:I122" si="121">SUM(B122,E122)</f>
        <v>0</v>
      </c>
      <c r="I122" s="133">
        <f t="shared" si="121"/>
        <v>0</v>
      </c>
      <c r="J122" s="53">
        <f t="shared" si="122"/>
        <v>0</v>
      </c>
    </row>
    <row r="123" ht="15.75" customHeight="1">
      <c r="A123" s="128" t="s">
        <v>124</v>
      </c>
      <c r="B123" s="132"/>
      <c r="C123" s="132"/>
      <c r="D123" s="126">
        <f t="shared" si="119"/>
        <v>0</v>
      </c>
      <c r="E123" s="129" t="str">
        <f>IFERROR(__xludf.DUMMYFUNCTION("IMPORTRANGE(""1GpwZlqt_Nsmb_m6kXxize-IyRR4CJ7AqOwKhThkw23M"",""REPORT!C90:D90"")"),"#REF!")</f>
        <v>#REF!</v>
      </c>
      <c r="F123" s="130"/>
      <c r="G123" s="53" t="str">
        <f t="shared" si="120"/>
        <v>#REF!</v>
      </c>
      <c r="H123" s="133" t="str">
        <f t="shared" ref="H123:I123" si="123">SUM(B123,E123)</f>
        <v>#REF!</v>
      </c>
      <c r="I123" s="133">
        <f t="shared" si="123"/>
        <v>0</v>
      </c>
      <c r="J123" s="53" t="str">
        <f t="shared" si="122"/>
        <v>#REF!</v>
      </c>
    </row>
    <row r="124" ht="15.75" customHeight="1">
      <c r="A124" s="128" t="s">
        <v>125</v>
      </c>
      <c r="B124" s="132"/>
      <c r="C124" s="132"/>
      <c r="D124" s="126">
        <f t="shared" si="119"/>
        <v>0</v>
      </c>
      <c r="E124" s="132"/>
      <c r="F124" s="132"/>
      <c r="G124" s="53">
        <f t="shared" si="120"/>
        <v>0</v>
      </c>
      <c r="H124" s="133">
        <f t="shared" ref="H124:I124" si="124">SUM(B124,E124)</f>
        <v>0</v>
      </c>
      <c r="I124" s="133">
        <f t="shared" si="124"/>
        <v>0</v>
      </c>
      <c r="J124" s="53">
        <f t="shared" si="122"/>
        <v>0</v>
      </c>
    </row>
    <row r="125" ht="15.75" customHeight="1">
      <c r="A125" s="122" t="s">
        <v>40</v>
      </c>
      <c r="B125" s="123" t="str">
        <f t="shared" ref="B125:J125" si="125">SUM(B121:B124)</f>
        <v>#REF!</v>
      </c>
      <c r="C125" s="123">
        <f t="shared" si="125"/>
        <v>0</v>
      </c>
      <c r="D125" s="123" t="str">
        <f t="shared" si="125"/>
        <v>#REF!</v>
      </c>
      <c r="E125" s="123" t="str">
        <f t="shared" si="125"/>
        <v>#REF!</v>
      </c>
      <c r="F125" s="123">
        <f t="shared" si="125"/>
        <v>0</v>
      </c>
      <c r="G125" s="123" t="str">
        <f t="shared" si="125"/>
        <v>#REF!</v>
      </c>
      <c r="H125" s="123" t="str">
        <f t="shared" si="125"/>
        <v>#REF!</v>
      </c>
      <c r="I125" s="123">
        <f t="shared" si="125"/>
        <v>0</v>
      </c>
      <c r="J125" s="123" t="str">
        <f t="shared" si="125"/>
        <v>#REF!</v>
      </c>
    </row>
    <row r="126" ht="15.75" customHeight="1">
      <c r="A126" s="134"/>
      <c r="B126" s="21"/>
      <c r="C126" s="21"/>
      <c r="D126" s="21"/>
      <c r="E126" s="21"/>
      <c r="F126" s="21"/>
      <c r="G126" s="21"/>
      <c r="H126" s="21"/>
      <c r="I126" s="21"/>
      <c r="J126" s="22"/>
    </row>
    <row r="127" ht="15.75" customHeight="1">
      <c r="A127" s="122" t="s">
        <v>40</v>
      </c>
      <c r="B127" s="123" t="str">
        <f t="shared" ref="B127:J127" si="126">SUM(B85,B87,B91,B93,B97,B99,B103,B109,B111,B115,B117,B121,B123)</f>
        <v>#REF!</v>
      </c>
      <c r="C127" s="123">
        <f t="shared" si="126"/>
        <v>0</v>
      </c>
      <c r="D127" s="123" t="str">
        <f t="shared" si="126"/>
        <v>#REF!</v>
      </c>
      <c r="E127" s="123" t="str">
        <f t="shared" si="126"/>
        <v>#REF!</v>
      </c>
      <c r="F127" s="123">
        <f t="shared" si="126"/>
        <v>0</v>
      </c>
      <c r="G127" s="123" t="str">
        <f t="shared" si="126"/>
        <v>#REF!</v>
      </c>
      <c r="H127" s="123" t="str">
        <f t="shared" si="126"/>
        <v>#REF!</v>
      </c>
      <c r="I127" s="123">
        <f t="shared" si="126"/>
        <v>0</v>
      </c>
      <c r="J127" s="123" t="str">
        <f t="shared" si="126"/>
        <v>#REF!</v>
      </c>
    </row>
    <row r="128" ht="15.7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</row>
    <row r="129" ht="15.7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61">
    <mergeCell ref="F38:F39"/>
    <mergeCell ref="G38:G39"/>
    <mergeCell ref="H38:H39"/>
    <mergeCell ref="I38:I39"/>
    <mergeCell ref="B36:D37"/>
    <mergeCell ref="E36:G37"/>
    <mergeCell ref="H36:J37"/>
    <mergeCell ref="B38:B39"/>
    <mergeCell ref="C38:C39"/>
    <mergeCell ref="D38:D39"/>
    <mergeCell ref="E38:E39"/>
    <mergeCell ref="J38:J39"/>
    <mergeCell ref="E52:E53"/>
    <mergeCell ref="F52:F53"/>
    <mergeCell ref="G52:G53"/>
    <mergeCell ref="H52:H53"/>
    <mergeCell ref="I52:I53"/>
    <mergeCell ref="J52:J53"/>
    <mergeCell ref="A49:J49"/>
    <mergeCell ref="B50:D51"/>
    <mergeCell ref="E50:G51"/>
    <mergeCell ref="H50:J51"/>
    <mergeCell ref="B52:B53"/>
    <mergeCell ref="C52:C53"/>
    <mergeCell ref="D52:D53"/>
    <mergeCell ref="A108:J108"/>
    <mergeCell ref="A114:J114"/>
    <mergeCell ref="A120:J120"/>
    <mergeCell ref="A126:J126"/>
    <mergeCell ref="A54:J54"/>
    <mergeCell ref="A64:J64"/>
    <mergeCell ref="A74:J74"/>
    <mergeCell ref="A84:J84"/>
    <mergeCell ref="A90:J90"/>
    <mergeCell ref="A96:J96"/>
    <mergeCell ref="A102:J102"/>
    <mergeCell ref="A1:J1"/>
    <mergeCell ref="A2:J2"/>
    <mergeCell ref="A3:J3"/>
    <mergeCell ref="A4:J4"/>
    <mergeCell ref="A5:J5"/>
    <mergeCell ref="B6:J6"/>
    <mergeCell ref="B7:J7"/>
    <mergeCell ref="C13:C14"/>
    <mergeCell ref="D13:D14"/>
    <mergeCell ref="E13:E14"/>
    <mergeCell ref="F13:F14"/>
    <mergeCell ref="G13:G14"/>
    <mergeCell ref="H13:H14"/>
    <mergeCell ref="I13:I14"/>
    <mergeCell ref="J13:J14"/>
    <mergeCell ref="A11:A14"/>
    <mergeCell ref="A36:A39"/>
    <mergeCell ref="A50:A53"/>
    <mergeCell ref="B8:J8"/>
    <mergeCell ref="A10:J10"/>
    <mergeCell ref="B11:D12"/>
    <mergeCell ref="E11:G12"/>
    <mergeCell ref="H11:J12"/>
    <mergeCell ref="B13:B14"/>
    <mergeCell ref="A35:J35"/>
  </mergeCells>
  <printOptions/>
  <pageMargins bottom="0.7409326424870466" footer="0.0" header="0.0" left="0.6" right="0.6" top="0.6"/>
  <pageSetup fitToHeight="0" paperSize="14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29.25"/>
    <col customWidth="1" min="2" max="2" width="8.0"/>
    <col customWidth="1" min="3" max="3" width="8.25"/>
    <col customWidth="1" min="4" max="4" width="8.88"/>
    <col customWidth="1" min="5" max="5" width="8.13"/>
    <col customWidth="1" min="6" max="7" width="7.25"/>
    <col customWidth="1" min="8" max="12" width="8.38"/>
    <col customWidth="1" min="13" max="13" width="8.75"/>
    <col customWidth="1" min="14" max="14" width="7.13"/>
    <col customWidth="1" min="15" max="15" width="8.88"/>
    <col customWidth="1" min="16" max="16" width="9.13"/>
    <col customWidth="1" min="17" max="17" width="10.75"/>
    <col customWidth="1" min="18" max="18" width="9.75"/>
    <col customWidth="1" min="19" max="19" width="10.38"/>
    <col hidden="1" min="20" max="2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5.75" customHeight="1">
      <c r="A4" s="3" t="s">
        <v>0</v>
      </c>
    </row>
    <row r="5" ht="15.75" customHeight="1">
      <c r="A5" s="4" t="s">
        <v>1</v>
      </c>
    </row>
    <row r="6" ht="15.75" customHeight="1">
      <c r="A6" s="4" t="s">
        <v>2</v>
      </c>
    </row>
    <row r="7" ht="15.75" customHeight="1">
      <c r="A7" s="4" t="s">
        <v>3</v>
      </c>
    </row>
    <row r="8" ht="15.75" customHeight="1">
      <c r="A8" s="4" t="s">
        <v>4</v>
      </c>
    </row>
    <row r="9" ht="15.75" customHeight="1">
      <c r="A9" s="9" t="s">
        <v>5</v>
      </c>
      <c r="B9" s="10"/>
      <c r="C9" s="10"/>
      <c r="D9" s="10"/>
      <c r="E9" s="10"/>
      <c r="F9" s="10"/>
      <c r="G9" s="10"/>
      <c r="H9" s="11"/>
      <c r="I9" s="11"/>
      <c r="J9" s="9"/>
      <c r="K9" s="9"/>
      <c r="L9" s="9"/>
      <c r="M9" s="9"/>
      <c r="N9" s="9"/>
      <c r="O9" s="9"/>
      <c r="P9" s="9"/>
      <c r="Q9" s="9"/>
      <c r="R9" s="9"/>
      <c r="S9" s="9"/>
    </row>
    <row r="10" ht="15.75" customHeight="1">
      <c r="A10" s="12" t="s">
        <v>6</v>
      </c>
      <c r="B10" s="13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/>
    </row>
    <row r="11" ht="18.0" customHeight="1">
      <c r="A11" s="16"/>
      <c r="B11" s="17"/>
      <c r="C11" s="17"/>
      <c r="D11" s="17"/>
      <c r="E11" s="17"/>
      <c r="F11" s="17"/>
      <c r="G11" s="17"/>
      <c r="H11" s="18"/>
      <c r="I11" s="18"/>
      <c r="J11" s="18"/>
      <c r="K11" s="19"/>
      <c r="L11" s="19"/>
      <c r="M11" s="19"/>
      <c r="N11" s="19"/>
      <c r="O11" s="19"/>
      <c r="P11" s="19"/>
      <c r="Q11" s="19"/>
      <c r="R11" s="19"/>
      <c r="S11" s="19"/>
    </row>
    <row r="12" ht="15.75" customHeight="1">
      <c r="A12" s="20" t="s">
        <v>126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/>
    </row>
    <row r="13" ht="15.75" customHeight="1">
      <c r="A13" s="23" t="s">
        <v>9</v>
      </c>
      <c r="B13" s="24" t="s">
        <v>10</v>
      </c>
      <c r="C13" s="25"/>
      <c r="D13" s="26"/>
      <c r="E13" s="24" t="s">
        <v>11</v>
      </c>
      <c r="F13" s="25"/>
      <c r="G13" s="26"/>
      <c r="H13" s="27" t="s">
        <v>12</v>
      </c>
      <c r="I13" s="28" t="s">
        <v>13</v>
      </c>
      <c r="J13" s="28" t="s">
        <v>14</v>
      </c>
      <c r="K13" s="28" t="s">
        <v>15</v>
      </c>
      <c r="L13" s="23" t="s">
        <v>16</v>
      </c>
      <c r="M13" s="28" t="s">
        <v>17</v>
      </c>
      <c r="N13" s="28" t="s">
        <v>18</v>
      </c>
      <c r="O13" s="29" t="s">
        <v>19</v>
      </c>
      <c r="P13" s="25"/>
      <c r="Q13" s="25"/>
      <c r="R13" s="25"/>
      <c r="S13" s="26"/>
    </row>
    <row r="14" ht="15.75" customHeight="1">
      <c r="A14" s="30"/>
      <c r="B14" s="31"/>
      <c r="C14" s="32"/>
      <c r="D14" s="33"/>
      <c r="E14" s="31"/>
      <c r="F14" s="32"/>
      <c r="G14" s="33"/>
      <c r="H14" s="30"/>
      <c r="I14" s="30"/>
      <c r="J14" s="30"/>
      <c r="K14" s="30"/>
      <c r="L14" s="30"/>
      <c r="M14" s="30"/>
      <c r="N14" s="30"/>
      <c r="O14" s="34"/>
      <c r="S14" s="35"/>
    </row>
    <row r="15" ht="15.75" customHeight="1">
      <c r="A15" s="30"/>
      <c r="B15" s="36" t="s">
        <v>20</v>
      </c>
      <c r="C15" s="36" t="s">
        <v>21</v>
      </c>
      <c r="D15" s="36" t="s">
        <v>22</v>
      </c>
      <c r="E15" s="36" t="s">
        <v>20</v>
      </c>
      <c r="F15" s="36" t="s">
        <v>21</v>
      </c>
      <c r="G15" s="36" t="s">
        <v>22</v>
      </c>
      <c r="H15" s="30"/>
      <c r="I15" s="30"/>
      <c r="J15" s="30"/>
      <c r="K15" s="30"/>
      <c r="L15" s="30"/>
      <c r="M15" s="30"/>
      <c r="N15" s="30"/>
      <c r="O15" s="31"/>
      <c r="P15" s="32"/>
      <c r="Q15" s="32"/>
      <c r="R15" s="32"/>
      <c r="S15" s="33"/>
    </row>
    <row r="1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8" t="s">
        <v>23</v>
      </c>
      <c r="P16" s="38" t="s">
        <v>24</v>
      </c>
      <c r="Q16" s="38" t="s">
        <v>25</v>
      </c>
      <c r="R16" s="38" t="s">
        <v>26</v>
      </c>
      <c r="S16" s="38" t="s">
        <v>27</v>
      </c>
    </row>
    <row r="17" ht="15.75" customHeight="1">
      <c r="A17" s="75" t="s">
        <v>42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</row>
    <row r="18" ht="15.75" customHeight="1">
      <c r="A18" s="135" t="s">
        <v>65</v>
      </c>
      <c r="B18" s="130">
        <f>'SHS- CONSO'!B28</f>
        <v>769</v>
      </c>
      <c r="C18" s="130">
        <f>'SHS- CONSO'!C28</f>
        <v>891</v>
      </c>
      <c r="D18" s="42">
        <f>sum(B18:C18)</f>
        <v>1660</v>
      </c>
      <c r="E18" s="43">
        <v>762.0</v>
      </c>
      <c r="F18" s="43">
        <v>887.0</v>
      </c>
      <c r="G18" s="42">
        <f>sum(E18:F18)</f>
        <v>1649</v>
      </c>
      <c r="H18" s="44" t="s">
        <v>30</v>
      </c>
      <c r="I18" s="45">
        <v>40.0</v>
      </c>
      <c r="J18" s="45">
        <v>38.0</v>
      </c>
      <c r="K18" s="45">
        <v>5.0</v>
      </c>
      <c r="L18" s="46">
        <v>29.04</v>
      </c>
      <c r="M18" s="47">
        <f>IFERROR(((L18/I18)*100)," ")</f>
        <v>72.6</v>
      </c>
      <c r="N18" s="46">
        <v>4.85</v>
      </c>
      <c r="O18" s="48">
        <v>7.0</v>
      </c>
      <c r="P18" s="48">
        <v>8.0</v>
      </c>
      <c r="Q18" s="48">
        <v>38.0</v>
      </c>
      <c r="R18" s="48">
        <v>9.0</v>
      </c>
      <c r="S18" s="48">
        <v>40.0</v>
      </c>
    </row>
    <row r="19" ht="15.75" customHeight="1">
      <c r="A19" s="69" t="s">
        <v>40</v>
      </c>
      <c r="B19" s="70">
        <f t="shared" ref="B19:G19" si="1">B18</f>
        <v>769</v>
      </c>
      <c r="C19" s="70">
        <f t="shared" si="1"/>
        <v>891</v>
      </c>
      <c r="D19" s="70">
        <f t="shared" si="1"/>
        <v>1660</v>
      </c>
      <c r="E19" s="70">
        <f t="shared" si="1"/>
        <v>762</v>
      </c>
      <c r="F19" s="70">
        <f t="shared" si="1"/>
        <v>887</v>
      </c>
      <c r="G19" s="70">
        <f t="shared" si="1"/>
        <v>1649</v>
      </c>
      <c r="H19" s="70"/>
      <c r="I19" s="70">
        <f t="shared" ref="I19:N19" si="2">I18</f>
        <v>40</v>
      </c>
      <c r="J19" s="136">
        <f t="shared" si="2"/>
        <v>38</v>
      </c>
      <c r="K19" s="136">
        <f t="shared" si="2"/>
        <v>5</v>
      </c>
      <c r="L19" s="72">
        <f t="shared" si="2"/>
        <v>29.04</v>
      </c>
      <c r="M19" s="72">
        <f t="shared" si="2"/>
        <v>72.6</v>
      </c>
      <c r="N19" s="72">
        <f t="shared" si="2"/>
        <v>4.85</v>
      </c>
      <c r="O19" s="137"/>
      <c r="P19" s="137"/>
      <c r="Q19" s="137" t="str">
        <f>'SHS- CONSO'!$Q$35</f>
        <v/>
      </c>
      <c r="R19" s="137" t="str">
        <f>'SHS- CONSO'!$R$35</f>
        <v/>
      </c>
      <c r="S19" s="137" t="str">
        <f>'SHS- CONSO'!$S$35</f>
        <v/>
      </c>
    </row>
    <row r="20" ht="15.75" hidden="1" customHeight="1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38"/>
      <c r="M20" s="138"/>
      <c r="N20" s="138"/>
      <c r="O20" s="104"/>
      <c r="P20" s="104"/>
      <c r="Q20" s="104"/>
      <c r="R20" s="104"/>
      <c r="S20" s="104"/>
    </row>
    <row r="21" ht="15.75" hidden="1" customHeight="1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6"/>
      <c r="M21" s="106"/>
      <c r="N21" s="106"/>
      <c r="O21" s="104"/>
      <c r="P21" s="104"/>
      <c r="Q21" s="104"/>
      <c r="R21" s="104"/>
      <c r="S21" s="104"/>
    </row>
    <row r="22" ht="15.75" hidden="1" customHeight="1"/>
    <row r="23" ht="15.75" hidden="1" customHeight="1"/>
    <row r="24" ht="15.75" hidden="1" customHeight="1"/>
    <row r="25" ht="15.75" hidden="1" customHeight="1"/>
    <row r="26" ht="15.75" hidden="1" customHeight="1"/>
    <row r="27" ht="15.75" hidden="1" customHeight="1"/>
    <row r="28" ht="15.75" hidden="1" customHeight="1"/>
    <row r="29" ht="15.75" hidden="1" customHeight="1"/>
    <row r="30" ht="15.75" hidden="1" customHeight="1"/>
    <row r="31" ht="15.75" hidden="1" customHeight="1"/>
    <row r="32" ht="15.75" hidden="1" customHeight="1"/>
    <row r="33" ht="15.75" hidden="1" customHeight="1"/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</sheetData>
  <mergeCells count="25">
    <mergeCell ref="A4:S4"/>
    <mergeCell ref="A5:S5"/>
    <mergeCell ref="A6:S6"/>
    <mergeCell ref="A7:S7"/>
    <mergeCell ref="A8:S8"/>
    <mergeCell ref="B10:S10"/>
    <mergeCell ref="A12:S12"/>
    <mergeCell ref="L13:L16"/>
    <mergeCell ref="M13:M16"/>
    <mergeCell ref="N13:N16"/>
    <mergeCell ref="O13:S15"/>
    <mergeCell ref="B15:B16"/>
    <mergeCell ref="C15:C16"/>
    <mergeCell ref="D15:D16"/>
    <mergeCell ref="E15:E16"/>
    <mergeCell ref="F15:F16"/>
    <mergeCell ref="G15:G16"/>
    <mergeCell ref="A13:A16"/>
    <mergeCell ref="B13:D14"/>
    <mergeCell ref="E13:G14"/>
    <mergeCell ref="H13:H16"/>
    <mergeCell ref="I13:I16"/>
    <mergeCell ref="J13:J16"/>
    <mergeCell ref="K13:K16"/>
    <mergeCell ref="A17:S17"/>
  </mergeCells>
  <conditionalFormatting sqref="E18:F18 I18:S18">
    <cfRule type="containsBlanks" dxfId="0" priority="1">
      <formula>LEN(TRIM(E18))=0</formula>
    </cfRule>
  </conditionalFormatting>
  <printOptions/>
  <pageMargins bottom="0.3" footer="0.0" header="0.0" left="0.3" right="0.3" top="0.3"/>
  <pageSetup paperSize="14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49.88"/>
    <col customWidth="1" min="2" max="19" width="8.25"/>
    <col hidden="1" min="20" max="25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15.75" customHeight="1">
      <c r="A4" s="3" t="s">
        <v>0</v>
      </c>
    </row>
    <row r="5" ht="15.75" customHeight="1">
      <c r="A5" s="4" t="s">
        <v>1</v>
      </c>
    </row>
    <row r="6" ht="15.75" customHeight="1">
      <c r="A6" s="4" t="s">
        <v>2</v>
      </c>
    </row>
    <row r="7" ht="15.75" customHeight="1">
      <c r="A7" s="4" t="s">
        <v>3</v>
      </c>
    </row>
    <row r="8" ht="15.75" customHeight="1">
      <c r="A8" s="4" t="s">
        <v>4</v>
      </c>
    </row>
    <row r="9" ht="18.0" customHeight="1">
      <c r="A9" s="9" t="s">
        <v>5</v>
      </c>
      <c r="B9" s="10"/>
      <c r="C9" s="10"/>
      <c r="D9" s="10"/>
      <c r="E9" s="10"/>
      <c r="F9" s="10"/>
      <c r="G9" s="10"/>
      <c r="H9" s="11"/>
      <c r="I9" s="11"/>
      <c r="J9" s="11"/>
      <c r="K9" s="11"/>
      <c r="L9" s="9"/>
      <c r="M9" s="9"/>
      <c r="N9" s="9"/>
      <c r="O9" s="9"/>
      <c r="P9" s="9"/>
      <c r="Q9" s="9"/>
      <c r="R9" s="9"/>
      <c r="S9" s="9"/>
    </row>
    <row r="10" ht="18.0" customHeight="1">
      <c r="A10" s="12" t="s">
        <v>6</v>
      </c>
      <c r="B10" s="13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/>
    </row>
    <row r="11" ht="18.0" customHeight="1">
      <c r="A11" s="16"/>
      <c r="B11" s="17"/>
      <c r="C11" s="17"/>
      <c r="D11" s="17"/>
      <c r="E11" s="17"/>
      <c r="F11" s="17"/>
      <c r="G11" s="17"/>
      <c r="H11" s="18"/>
      <c r="I11" s="18"/>
      <c r="J11" s="18"/>
      <c r="K11" s="18"/>
      <c r="L11" s="19"/>
      <c r="M11" s="19"/>
      <c r="N11" s="19"/>
      <c r="O11" s="19"/>
      <c r="P11" s="19"/>
      <c r="Q11" s="19"/>
      <c r="R11" s="19"/>
      <c r="S11" s="19"/>
    </row>
    <row r="12" ht="15.75" customHeight="1">
      <c r="A12" s="20" t="s">
        <v>127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/>
    </row>
    <row r="13" ht="15.75" customHeight="1">
      <c r="A13" s="23" t="s">
        <v>9</v>
      </c>
      <c r="B13" s="24" t="s">
        <v>10</v>
      </c>
      <c r="C13" s="25"/>
      <c r="D13" s="26"/>
      <c r="E13" s="24" t="s">
        <v>11</v>
      </c>
      <c r="F13" s="25"/>
      <c r="G13" s="26"/>
      <c r="H13" s="27" t="s">
        <v>12</v>
      </c>
      <c r="I13" s="28" t="s">
        <v>13</v>
      </c>
      <c r="J13" s="28" t="s">
        <v>14</v>
      </c>
      <c r="K13" s="28" t="s">
        <v>15</v>
      </c>
      <c r="L13" s="23" t="s">
        <v>16</v>
      </c>
      <c r="M13" s="28" t="s">
        <v>17</v>
      </c>
      <c r="N13" s="28" t="s">
        <v>18</v>
      </c>
      <c r="O13" s="29" t="s">
        <v>19</v>
      </c>
      <c r="P13" s="25"/>
      <c r="Q13" s="25"/>
      <c r="R13" s="25"/>
      <c r="S13" s="26"/>
    </row>
    <row r="14" ht="15.75" customHeight="1">
      <c r="A14" s="30"/>
      <c r="B14" s="31"/>
      <c r="C14" s="32"/>
      <c r="D14" s="33"/>
      <c r="E14" s="31"/>
      <c r="F14" s="32"/>
      <c r="G14" s="33"/>
      <c r="H14" s="30"/>
      <c r="I14" s="30"/>
      <c r="J14" s="30"/>
      <c r="K14" s="30"/>
      <c r="L14" s="30"/>
      <c r="M14" s="30"/>
      <c r="N14" s="30"/>
      <c r="O14" s="34"/>
      <c r="S14" s="35"/>
    </row>
    <row r="15" ht="15.75" customHeight="1">
      <c r="A15" s="30"/>
      <c r="B15" s="36" t="s">
        <v>20</v>
      </c>
      <c r="C15" s="36" t="s">
        <v>21</v>
      </c>
      <c r="D15" s="36" t="s">
        <v>22</v>
      </c>
      <c r="E15" s="36" t="s">
        <v>20</v>
      </c>
      <c r="F15" s="36" t="s">
        <v>21</v>
      </c>
      <c r="G15" s="36" t="s">
        <v>22</v>
      </c>
      <c r="H15" s="30"/>
      <c r="I15" s="30"/>
      <c r="J15" s="30"/>
      <c r="K15" s="30"/>
      <c r="L15" s="30"/>
      <c r="M15" s="30"/>
      <c r="N15" s="30"/>
      <c r="O15" s="31"/>
      <c r="P15" s="32"/>
      <c r="Q15" s="32"/>
      <c r="R15" s="32"/>
      <c r="S15" s="33"/>
    </row>
    <row r="1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8" t="s">
        <v>23</v>
      </c>
      <c r="P16" s="38" t="s">
        <v>24</v>
      </c>
      <c r="Q16" s="38" t="s">
        <v>25</v>
      </c>
      <c r="R16" s="38" t="s">
        <v>26</v>
      </c>
      <c r="S16" s="38" t="s">
        <v>27</v>
      </c>
    </row>
    <row r="17" ht="15.75" customHeight="1">
      <c r="A17" s="75" t="s">
        <v>42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</row>
    <row r="18" ht="15.75" customHeight="1">
      <c r="A18" s="40" t="s">
        <v>63</v>
      </c>
      <c r="B18" s="41">
        <f>'SHS- CONSO'!B24</f>
        <v>721</v>
      </c>
      <c r="C18" s="41">
        <f>'SHS- CONSO'!C24</f>
        <v>621</v>
      </c>
      <c r="D18" s="42">
        <f t="shared" ref="D18:D19" si="1">sum(B18:C18)</f>
        <v>1342</v>
      </c>
      <c r="E18" s="43">
        <v>671.0</v>
      </c>
      <c r="F18" s="43">
        <v>547.0</v>
      </c>
      <c r="G18" s="42">
        <f t="shared" ref="G18:G19" si="2">sum(E18:F18)</f>
        <v>1218</v>
      </c>
      <c r="H18" s="44" t="s">
        <v>30</v>
      </c>
      <c r="I18" s="45">
        <v>40.0</v>
      </c>
      <c r="J18" s="45">
        <v>38.0</v>
      </c>
      <c r="K18" s="45">
        <v>6.0</v>
      </c>
      <c r="L18" s="48">
        <v>24.72</v>
      </c>
      <c r="M18" s="47">
        <f t="shared" ref="M18:M19" si="3">IFERROR(((L18/I18)*100)," ")</f>
        <v>61.8</v>
      </c>
      <c r="N18" s="48">
        <v>4.8</v>
      </c>
      <c r="O18" s="45">
        <v>17.0</v>
      </c>
      <c r="P18" s="45">
        <v>15.0</v>
      </c>
      <c r="Q18" s="45">
        <v>29.0</v>
      </c>
      <c r="R18" s="45">
        <v>22.0</v>
      </c>
      <c r="S18" s="45">
        <v>14.0</v>
      </c>
    </row>
    <row r="19" ht="15.75" customHeight="1">
      <c r="A19" s="40" t="s">
        <v>64</v>
      </c>
      <c r="B19" s="41">
        <f>'SHS- CONSO'!B27</f>
        <v>769</v>
      </c>
      <c r="C19" s="41">
        <f>'SHS- CONSO'!C27</f>
        <v>891</v>
      </c>
      <c r="D19" s="42">
        <f t="shared" si="1"/>
        <v>1660</v>
      </c>
      <c r="E19" s="58">
        <v>768.0</v>
      </c>
      <c r="F19" s="58">
        <v>882.0</v>
      </c>
      <c r="G19" s="42">
        <f t="shared" si="2"/>
        <v>1650</v>
      </c>
      <c r="H19" s="44" t="s">
        <v>30</v>
      </c>
      <c r="I19" s="45">
        <v>40.0</v>
      </c>
      <c r="J19" s="139">
        <v>40.0</v>
      </c>
      <c r="K19" s="139">
        <v>8.0</v>
      </c>
      <c r="L19" s="62">
        <v>24.43</v>
      </c>
      <c r="M19" s="47">
        <f t="shared" si="3"/>
        <v>61.075</v>
      </c>
      <c r="N19" s="62">
        <v>4.91</v>
      </c>
      <c r="O19" s="139">
        <v>27.0</v>
      </c>
      <c r="P19" s="139">
        <v>28.0</v>
      </c>
      <c r="Q19" s="139">
        <v>4.0</v>
      </c>
      <c r="R19" s="139">
        <v>25.0</v>
      </c>
      <c r="S19" s="139">
        <v>6.0</v>
      </c>
    </row>
    <row r="20" ht="15.75" customHeight="1">
      <c r="A20" s="39" t="s">
        <v>28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2"/>
    </row>
    <row r="21" ht="15.75" customHeight="1">
      <c r="A21" s="40" t="s">
        <v>72</v>
      </c>
      <c r="B21" s="129">
        <f>'SHS- CONSO'!B45</f>
        <v>848</v>
      </c>
      <c r="C21" s="129">
        <f>'SHS- CONSO'!C45</f>
        <v>966</v>
      </c>
      <c r="D21" s="42">
        <f>sum(B21:C21)</f>
        <v>1814</v>
      </c>
      <c r="E21" s="140">
        <v>730.0</v>
      </c>
      <c r="F21" s="140">
        <v>915.0</v>
      </c>
      <c r="G21" s="42">
        <f>sum(E21:F21)</f>
        <v>1645</v>
      </c>
      <c r="H21" s="44" t="s">
        <v>30</v>
      </c>
      <c r="I21" s="141">
        <v>40.0</v>
      </c>
      <c r="J21" s="140">
        <v>36.0</v>
      </c>
      <c r="K21" s="140">
        <v>10.0</v>
      </c>
      <c r="L21" s="142">
        <v>23.51</v>
      </c>
      <c r="M21" s="47">
        <f>IFERROR(((L21/I21)*100)," ")</f>
        <v>58.775</v>
      </c>
      <c r="N21" s="142">
        <v>5.53</v>
      </c>
      <c r="O21" s="140">
        <v>40.0</v>
      </c>
      <c r="P21" s="140">
        <v>30.0</v>
      </c>
      <c r="Q21" s="140">
        <v>26.0</v>
      </c>
      <c r="R21" s="140">
        <v>22.0</v>
      </c>
      <c r="S21" s="140">
        <v>24.0</v>
      </c>
    </row>
    <row r="22" ht="15.75" customHeight="1">
      <c r="A22" s="69" t="s">
        <v>40</v>
      </c>
      <c r="B22" s="70">
        <f t="shared" ref="B22:G22" si="4">SUM(B21,B19,B18)</f>
        <v>2338</v>
      </c>
      <c r="C22" s="70">
        <f t="shared" si="4"/>
        <v>2478</v>
      </c>
      <c r="D22" s="70">
        <f t="shared" si="4"/>
        <v>4816</v>
      </c>
      <c r="E22" s="70">
        <f t="shared" si="4"/>
        <v>2169</v>
      </c>
      <c r="F22" s="70">
        <f t="shared" si="4"/>
        <v>2344</v>
      </c>
      <c r="G22" s="70">
        <f t="shared" si="4"/>
        <v>4513</v>
      </c>
      <c r="H22" s="71"/>
      <c r="I22" s="71">
        <f>AVERAGE(I18:I19,I21)</f>
        <v>40</v>
      </c>
      <c r="J22" s="72">
        <f t="shared" ref="J22:S22" si="5">IFERROR((AVERAGE(J10:J13,J15:J18,J20:J21)),"")</f>
        <v>37</v>
      </c>
      <c r="K22" s="72">
        <f t="shared" si="5"/>
        <v>8</v>
      </c>
      <c r="L22" s="72">
        <f t="shared" si="5"/>
        <v>24.115</v>
      </c>
      <c r="M22" s="72">
        <f t="shared" si="5"/>
        <v>60.2875</v>
      </c>
      <c r="N22" s="72">
        <f t="shared" si="5"/>
        <v>5.165</v>
      </c>
      <c r="O22" s="72">
        <f t="shared" si="5"/>
        <v>28.5</v>
      </c>
      <c r="P22" s="72">
        <f t="shared" si="5"/>
        <v>22.5</v>
      </c>
      <c r="Q22" s="72">
        <f t="shared" si="5"/>
        <v>27.5</v>
      </c>
      <c r="R22" s="72">
        <f t="shared" si="5"/>
        <v>22</v>
      </c>
      <c r="S22" s="72">
        <f t="shared" si="5"/>
        <v>19</v>
      </c>
    </row>
    <row r="23" ht="15.75" hidden="1" customHeight="1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38"/>
      <c r="M23" s="138"/>
      <c r="N23" s="138"/>
      <c r="O23" s="104"/>
      <c r="P23" s="104"/>
      <c r="Q23" s="104"/>
      <c r="R23" s="104"/>
      <c r="S23" s="104"/>
    </row>
    <row r="24" ht="15.75" hidden="1" customHeight="1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6"/>
      <c r="M24" s="106"/>
      <c r="N24" s="106"/>
      <c r="O24" s="104"/>
      <c r="P24" s="104"/>
      <c r="Q24" s="104"/>
      <c r="R24" s="104"/>
      <c r="S24" s="104"/>
    </row>
    <row r="25" ht="15.75" hidden="1" customHeight="1">
      <c r="A25" s="105"/>
      <c r="B25" s="105"/>
      <c r="C25" s="105"/>
      <c r="D25" s="143"/>
      <c r="E25" s="105"/>
      <c r="F25" s="105"/>
      <c r="G25" s="105"/>
      <c r="H25" s="105"/>
      <c r="I25" s="105"/>
      <c r="J25" s="105"/>
      <c r="K25" s="143"/>
      <c r="L25" s="106"/>
      <c r="M25" s="106"/>
      <c r="N25" s="106"/>
      <c r="O25" s="104"/>
      <c r="P25" s="104"/>
      <c r="Q25" s="104"/>
      <c r="R25" s="104"/>
      <c r="S25" s="104"/>
    </row>
    <row r="26" ht="15.75" hidden="1" customHeight="1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6"/>
      <c r="M26" s="106"/>
      <c r="N26" s="106"/>
      <c r="O26" s="104"/>
      <c r="P26" s="104"/>
      <c r="Q26" s="104"/>
      <c r="R26" s="104"/>
      <c r="S26" s="104"/>
    </row>
    <row r="27" ht="15.75" hidden="1" customHeight="1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6"/>
      <c r="M27" s="106"/>
      <c r="N27" s="106"/>
      <c r="O27" s="104"/>
      <c r="P27" s="104"/>
      <c r="Q27" s="104"/>
      <c r="R27" s="104"/>
      <c r="S27" s="104"/>
    </row>
    <row r="28" ht="15.75" hidden="1" customHeight="1">
      <c r="L28" s="106"/>
      <c r="M28" s="106"/>
      <c r="N28" s="106"/>
    </row>
    <row r="29" ht="15.75" hidden="1" customHeight="1">
      <c r="L29" s="106"/>
      <c r="M29" s="106"/>
      <c r="N29" s="106"/>
    </row>
    <row r="30" ht="15.75" hidden="1" customHeight="1">
      <c r="L30" s="106"/>
      <c r="M30" s="106"/>
      <c r="N30" s="106"/>
    </row>
    <row r="31" ht="15.75" hidden="1" customHeight="1">
      <c r="L31" s="106"/>
      <c r="M31" s="106"/>
      <c r="N31" s="106"/>
    </row>
    <row r="32" ht="15.75" hidden="1" customHeight="1">
      <c r="L32" s="106"/>
      <c r="M32" s="106"/>
      <c r="N32" s="106"/>
    </row>
    <row r="33" ht="15.75" hidden="1" customHeight="1">
      <c r="L33" s="106"/>
      <c r="M33" s="106"/>
      <c r="N33" s="106"/>
    </row>
    <row r="34" ht="15.75" hidden="1" customHeight="1">
      <c r="L34" s="106"/>
      <c r="M34" s="106"/>
      <c r="N34" s="106"/>
    </row>
    <row r="35" ht="15.75" hidden="1" customHeight="1">
      <c r="L35" s="106"/>
      <c r="M35" s="106"/>
      <c r="N35" s="106"/>
    </row>
    <row r="36" ht="15.75" hidden="1" customHeight="1">
      <c r="L36" s="106"/>
      <c r="M36" s="106"/>
      <c r="N36" s="106"/>
    </row>
    <row r="37" ht="15.75" hidden="1" customHeight="1">
      <c r="L37" s="106"/>
      <c r="M37" s="106"/>
      <c r="N37" s="106"/>
    </row>
    <row r="38" ht="15.75" hidden="1" customHeight="1">
      <c r="L38" s="106"/>
      <c r="M38" s="106"/>
      <c r="N38" s="106"/>
    </row>
    <row r="39" ht="15.75" hidden="1" customHeight="1">
      <c r="L39" s="106"/>
      <c r="M39" s="106"/>
      <c r="N39" s="106"/>
    </row>
    <row r="40" ht="15.75" hidden="1" customHeight="1">
      <c r="L40" s="106"/>
      <c r="M40" s="106"/>
      <c r="N40" s="106"/>
    </row>
    <row r="41" ht="15.75" hidden="1" customHeight="1">
      <c r="L41" s="106"/>
      <c r="M41" s="106"/>
      <c r="N41" s="106"/>
    </row>
    <row r="42" ht="15.75" hidden="1" customHeight="1">
      <c r="L42" s="106"/>
      <c r="M42" s="106"/>
      <c r="N42" s="106"/>
    </row>
    <row r="43" ht="15.75" hidden="1" customHeight="1">
      <c r="L43" s="106"/>
      <c r="M43" s="106"/>
      <c r="N43" s="106"/>
    </row>
    <row r="44" ht="15.75" hidden="1" customHeight="1">
      <c r="L44" s="106"/>
      <c r="M44" s="106"/>
      <c r="N44" s="106"/>
    </row>
    <row r="45" ht="15.75" hidden="1" customHeight="1">
      <c r="L45" s="106"/>
      <c r="M45" s="106"/>
      <c r="N45" s="106"/>
    </row>
    <row r="46" ht="15.75" hidden="1" customHeight="1">
      <c r="L46" s="106"/>
      <c r="M46" s="106"/>
      <c r="N46" s="106"/>
    </row>
    <row r="47" ht="15.75" hidden="1" customHeight="1">
      <c r="L47" s="106"/>
      <c r="M47" s="106"/>
      <c r="N47" s="106"/>
    </row>
    <row r="48" ht="15.75" hidden="1" customHeight="1">
      <c r="L48" s="106"/>
      <c r="M48" s="106"/>
      <c r="N48" s="106"/>
    </row>
    <row r="49" ht="15.75" hidden="1" customHeight="1">
      <c r="L49" s="106"/>
      <c r="M49" s="106"/>
      <c r="N49" s="106"/>
    </row>
    <row r="50" ht="15.75" hidden="1" customHeight="1">
      <c r="L50" s="106"/>
      <c r="M50" s="106"/>
      <c r="N50" s="106"/>
    </row>
    <row r="51" ht="15.75" hidden="1" customHeight="1">
      <c r="L51" s="106"/>
      <c r="M51" s="106"/>
      <c r="N51" s="106"/>
    </row>
    <row r="52" ht="15.75" hidden="1" customHeight="1">
      <c r="L52" s="106"/>
      <c r="M52" s="106"/>
      <c r="N52" s="106"/>
    </row>
    <row r="53" ht="15.75" hidden="1" customHeight="1">
      <c r="L53" s="106"/>
      <c r="M53" s="106"/>
      <c r="N53" s="106"/>
    </row>
    <row r="54" ht="15.75" hidden="1" customHeight="1">
      <c r="L54" s="106"/>
      <c r="M54" s="106"/>
      <c r="N54" s="106"/>
    </row>
    <row r="55" ht="15.75" hidden="1" customHeight="1">
      <c r="L55" s="106"/>
      <c r="M55" s="106"/>
      <c r="N55" s="106"/>
    </row>
    <row r="56" ht="15.75" hidden="1" customHeight="1">
      <c r="L56" s="106"/>
      <c r="M56" s="106"/>
      <c r="N56" s="106"/>
    </row>
    <row r="57" ht="15.75" hidden="1" customHeight="1">
      <c r="L57" s="106"/>
      <c r="M57" s="106"/>
      <c r="N57" s="106"/>
    </row>
    <row r="58" ht="15.75" hidden="1" customHeight="1">
      <c r="L58" s="106"/>
      <c r="M58" s="106"/>
      <c r="N58" s="106"/>
    </row>
    <row r="59" ht="15.75" hidden="1" customHeight="1">
      <c r="L59" s="106"/>
      <c r="M59" s="106"/>
      <c r="N59" s="106"/>
    </row>
    <row r="60" ht="15.75" hidden="1" customHeight="1">
      <c r="L60" s="106"/>
      <c r="M60" s="106"/>
      <c r="N60" s="106"/>
    </row>
    <row r="61" ht="15.75" hidden="1" customHeight="1">
      <c r="L61" s="106"/>
      <c r="M61" s="106"/>
      <c r="N61" s="106"/>
    </row>
    <row r="62" ht="15.75" hidden="1" customHeight="1">
      <c r="L62" s="106"/>
      <c r="M62" s="106"/>
      <c r="N62" s="106"/>
    </row>
    <row r="63" ht="15.75" hidden="1" customHeight="1">
      <c r="L63" s="106"/>
      <c r="M63" s="106"/>
      <c r="N63" s="106"/>
    </row>
    <row r="64" ht="15.75" hidden="1" customHeight="1">
      <c r="L64" s="106"/>
      <c r="M64" s="106"/>
      <c r="N64" s="106"/>
    </row>
    <row r="65" ht="15.75" hidden="1" customHeight="1">
      <c r="L65" s="106"/>
      <c r="M65" s="106"/>
      <c r="N65" s="106"/>
    </row>
    <row r="66" ht="15.75" hidden="1" customHeight="1">
      <c r="L66" s="106"/>
      <c r="M66" s="106"/>
      <c r="N66" s="106"/>
    </row>
    <row r="67" ht="15.75" hidden="1" customHeight="1">
      <c r="L67" s="106"/>
      <c r="M67" s="106"/>
      <c r="N67" s="106"/>
    </row>
    <row r="68" ht="15.75" hidden="1" customHeight="1">
      <c r="L68" s="106"/>
      <c r="M68" s="106"/>
      <c r="N68" s="106"/>
    </row>
    <row r="69" ht="15.75" hidden="1" customHeight="1">
      <c r="L69" s="106"/>
      <c r="M69" s="106"/>
      <c r="N69" s="106"/>
    </row>
    <row r="70" ht="15.75" hidden="1" customHeight="1">
      <c r="L70" s="106"/>
      <c r="M70" s="106"/>
      <c r="N70" s="106"/>
    </row>
    <row r="71" ht="15.75" hidden="1" customHeight="1">
      <c r="L71" s="106"/>
      <c r="M71" s="106"/>
      <c r="N71" s="106"/>
    </row>
    <row r="72" ht="15.75" hidden="1" customHeight="1">
      <c r="L72" s="106"/>
      <c r="M72" s="106"/>
      <c r="N72" s="106"/>
    </row>
    <row r="73" ht="15.75" hidden="1" customHeight="1">
      <c r="L73" s="106"/>
      <c r="M73" s="106"/>
      <c r="N73" s="106"/>
    </row>
    <row r="74" ht="15.75" hidden="1" customHeight="1">
      <c r="L74" s="106"/>
      <c r="M74" s="106"/>
      <c r="N74" s="106"/>
    </row>
    <row r="75" ht="15.75" hidden="1" customHeight="1">
      <c r="L75" s="106"/>
      <c r="M75" s="106"/>
      <c r="N75" s="106"/>
    </row>
    <row r="76" ht="15.75" hidden="1" customHeight="1">
      <c r="L76" s="106"/>
      <c r="M76" s="106"/>
      <c r="N76" s="106"/>
    </row>
    <row r="77" ht="15.75" hidden="1" customHeight="1">
      <c r="L77" s="106"/>
      <c r="M77" s="106"/>
      <c r="N77" s="106"/>
    </row>
    <row r="78" ht="15.75" hidden="1" customHeight="1">
      <c r="L78" s="106"/>
      <c r="M78" s="106"/>
      <c r="N78" s="106"/>
    </row>
    <row r="79" ht="15.75" hidden="1" customHeight="1">
      <c r="L79" s="106"/>
      <c r="M79" s="106"/>
      <c r="N79" s="106"/>
    </row>
    <row r="80" ht="15.75" hidden="1" customHeight="1">
      <c r="L80" s="106"/>
      <c r="M80" s="106"/>
      <c r="N80" s="106"/>
    </row>
    <row r="81" ht="15.75" hidden="1" customHeight="1">
      <c r="L81" s="106"/>
      <c r="M81" s="106"/>
      <c r="N81" s="106"/>
    </row>
    <row r="82" ht="15.75" hidden="1" customHeight="1">
      <c r="L82" s="106"/>
      <c r="M82" s="106"/>
      <c r="N82" s="106"/>
    </row>
    <row r="83" ht="15.75" hidden="1" customHeight="1">
      <c r="L83" s="106"/>
      <c r="M83" s="106"/>
      <c r="N83" s="106"/>
    </row>
    <row r="84" ht="15.75" hidden="1" customHeight="1">
      <c r="L84" s="106"/>
      <c r="M84" s="106"/>
      <c r="N84" s="106"/>
    </row>
    <row r="85" ht="15.75" hidden="1" customHeight="1">
      <c r="L85" s="106"/>
      <c r="M85" s="106"/>
      <c r="N85" s="106"/>
    </row>
    <row r="86" ht="15.75" hidden="1" customHeight="1">
      <c r="L86" s="106"/>
      <c r="M86" s="106"/>
      <c r="N86" s="106"/>
    </row>
    <row r="87" ht="15.75" hidden="1" customHeight="1">
      <c r="L87" s="106"/>
      <c r="M87" s="106"/>
      <c r="N87" s="106"/>
    </row>
    <row r="88" ht="15.75" hidden="1" customHeight="1">
      <c r="L88" s="106"/>
      <c r="M88" s="106"/>
      <c r="N88" s="106"/>
    </row>
    <row r="89" ht="15.75" hidden="1" customHeight="1">
      <c r="L89" s="106"/>
      <c r="M89" s="106"/>
      <c r="N89" s="106"/>
    </row>
    <row r="90" ht="15.75" hidden="1" customHeight="1">
      <c r="L90" s="106"/>
      <c r="M90" s="106"/>
      <c r="N90" s="106"/>
    </row>
    <row r="91" ht="15.75" hidden="1" customHeight="1">
      <c r="L91" s="106"/>
      <c r="M91" s="106"/>
      <c r="N91" s="106"/>
    </row>
    <row r="92" ht="15.75" hidden="1" customHeight="1">
      <c r="L92" s="106"/>
      <c r="M92" s="106"/>
      <c r="N92" s="106"/>
    </row>
    <row r="93" ht="15.75" hidden="1" customHeight="1">
      <c r="L93" s="106"/>
      <c r="M93" s="106"/>
      <c r="N93" s="106"/>
    </row>
    <row r="94" ht="15.75" hidden="1" customHeight="1">
      <c r="L94" s="106"/>
      <c r="M94" s="106"/>
      <c r="N94" s="106"/>
    </row>
    <row r="95" ht="15.75" hidden="1" customHeight="1">
      <c r="L95" s="106"/>
      <c r="M95" s="106"/>
      <c r="N95" s="106"/>
    </row>
    <row r="96" ht="15.75" hidden="1" customHeight="1">
      <c r="L96" s="106"/>
      <c r="M96" s="106"/>
      <c r="N96" s="106"/>
    </row>
    <row r="97" ht="15.75" hidden="1" customHeight="1">
      <c r="L97" s="106"/>
      <c r="M97" s="106"/>
      <c r="N97" s="106"/>
    </row>
    <row r="98" ht="15.75" hidden="1" customHeight="1">
      <c r="L98" s="106"/>
      <c r="M98" s="106"/>
      <c r="N98" s="106"/>
    </row>
    <row r="99" ht="15.75" hidden="1" customHeight="1">
      <c r="L99" s="106"/>
      <c r="M99" s="106"/>
      <c r="N99" s="106"/>
    </row>
    <row r="100" ht="15.75" hidden="1" customHeight="1">
      <c r="L100" s="106"/>
      <c r="M100" s="106"/>
      <c r="N100" s="106"/>
    </row>
    <row r="101" ht="15.75" hidden="1" customHeight="1">
      <c r="L101" s="106"/>
      <c r="M101" s="106"/>
      <c r="N101" s="106"/>
    </row>
    <row r="102" ht="15.75" hidden="1" customHeight="1">
      <c r="L102" s="106"/>
      <c r="M102" s="106"/>
      <c r="N102" s="106"/>
    </row>
    <row r="103" ht="15.75" hidden="1" customHeight="1">
      <c r="L103" s="106"/>
      <c r="M103" s="106"/>
      <c r="N103" s="106"/>
    </row>
    <row r="104" ht="15.75" hidden="1" customHeight="1">
      <c r="L104" s="106"/>
      <c r="M104" s="106"/>
      <c r="N104" s="106"/>
    </row>
    <row r="105" ht="15.75" hidden="1" customHeight="1">
      <c r="L105" s="106"/>
      <c r="M105" s="106"/>
      <c r="N105" s="106"/>
    </row>
    <row r="106" ht="15.75" hidden="1" customHeight="1">
      <c r="L106" s="106"/>
      <c r="M106" s="106"/>
      <c r="N106" s="106"/>
    </row>
    <row r="107" ht="15.75" hidden="1" customHeight="1">
      <c r="L107" s="106"/>
      <c r="M107" s="106"/>
      <c r="N107" s="106"/>
    </row>
    <row r="108" ht="15.75" hidden="1" customHeight="1">
      <c r="L108" s="106"/>
      <c r="M108" s="106"/>
      <c r="N108" s="106"/>
    </row>
    <row r="109" ht="15.75" hidden="1" customHeight="1">
      <c r="L109" s="106"/>
      <c r="M109" s="106"/>
      <c r="N109" s="106"/>
    </row>
    <row r="110" ht="15.75" hidden="1" customHeight="1">
      <c r="L110" s="106"/>
      <c r="M110" s="106"/>
      <c r="N110" s="106"/>
    </row>
    <row r="111" ht="15.75" hidden="1" customHeight="1">
      <c r="L111" s="106"/>
      <c r="M111" s="106"/>
      <c r="N111" s="106"/>
    </row>
    <row r="112" ht="15.75" hidden="1" customHeight="1">
      <c r="L112" s="106"/>
      <c r="M112" s="106"/>
      <c r="N112" s="106"/>
    </row>
    <row r="113" ht="15.75" hidden="1" customHeight="1">
      <c r="L113" s="106"/>
      <c r="M113" s="106"/>
      <c r="N113" s="106"/>
    </row>
    <row r="114" ht="15.75" hidden="1" customHeight="1">
      <c r="L114" s="106"/>
      <c r="M114" s="106"/>
      <c r="N114" s="106"/>
    </row>
    <row r="115" ht="15.75" hidden="1" customHeight="1">
      <c r="L115" s="106"/>
      <c r="M115" s="106"/>
      <c r="N115" s="106"/>
    </row>
    <row r="116" ht="15.75" hidden="1" customHeight="1">
      <c r="L116" s="106"/>
      <c r="M116" s="106"/>
      <c r="N116" s="106"/>
    </row>
    <row r="117" ht="15.75" hidden="1" customHeight="1">
      <c r="L117" s="106"/>
      <c r="M117" s="106"/>
      <c r="N117" s="106"/>
    </row>
    <row r="118" ht="15.75" hidden="1" customHeight="1">
      <c r="L118" s="106"/>
      <c r="M118" s="106"/>
      <c r="N118" s="106"/>
    </row>
    <row r="119" ht="15.75" hidden="1" customHeight="1">
      <c r="L119" s="106"/>
      <c r="M119" s="106"/>
      <c r="N119" s="106"/>
    </row>
    <row r="120" ht="15.75" hidden="1" customHeight="1">
      <c r="L120" s="106"/>
      <c r="M120" s="106"/>
      <c r="N120" s="106"/>
    </row>
    <row r="121" ht="15.75" hidden="1" customHeight="1">
      <c r="L121" s="106"/>
      <c r="M121" s="106"/>
      <c r="N121" s="106"/>
    </row>
    <row r="122" ht="15.75" hidden="1" customHeight="1">
      <c r="L122" s="106"/>
      <c r="M122" s="106"/>
      <c r="N122" s="106"/>
    </row>
    <row r="123" ht="15.75" hidden="1" customHeight="1">
      <c r="L123" s="106"/>
      <c r="M123" s="106"/>
      <c r="N123" s="106"/>
    </row>
    <row r="124" ht="15.75" hidden="1" customHeight="1">
      <c r="L124" s="106"/>
      <c r="M124" s="106"/>
      <c r="N124" s="106"/>
    </row>
    <row r="125" ht="15.75" hidden="1" customHeight="1">
      <c r="L125" s="106"/>
      <c r="M125" s="106"/>
      <c r="N125" s="106"/>
    </row>
    <row r="126" ht="15.75" hidden="1" customHeight="1">
      <c r="L126" s="106"/>
      <c r="M126" s="106"/>
      <c r="N126" s="106"/>
    </row>
    <row r="127" ht="15.75" hidden="1" customHeight="1">
      <c r="L127" s="106"/>
      <c r="M127" s="106"/>
      <c r="N127" s="106"/>
    </row>
    <row r="128" ht="15.75" hidden="1" customHeight="1">
      <c r="L128" s="106"/>
      <c r="M128" s="106"/>
      <c r="N128" s="106"/>
    </row>
    <row r="129" ht="15.75" hidden="1" customHeight="1">
      <c r="L129" s="106"/>
      <c r="M129" s="106"/>
      <c r="N129" s="106"/>
    </row>
    <row r="130" ht="15.75" hidden="1" customHeight="1">
      <c r="L130" s="106"/>
      <c r="M130" s="106"/>
      <c r="N130" s="106"/>
    </row>
    <row r="131" ht="15.75" hidden="1" customHeight="1">
      <c r="L131" s="106"/>
      <c r="M131" s="106"/>
      <c r="N131" s="106"/>
    </row>
    <row r="132" ht="15.75" hidden="1" customHeight="1">
      <c r="L132" s="106"/>
      <c r="M132" s="106"/>
      <c r="N132" s="106"/>
    </row>
    <row r="133" ht="15.75" hidden="1" customHeight="1">
      <c r="L133" s="106"/>
      <c r="M133" s="106"/>
      <c r="N133" s="106"/>
    </row>
    <row r="134" ht="15.75" hidden="1" customHeight="1">
      <c r="L134" s="106"/>
      <c r="M134" s="106"/>
      <c r="N134" s="106"/>
    </row>
    <row r="135" ht="15.75" hidden="1" customHeight="1">
      <c r="L135" s="106"/>
      <c r="M135" s="106"/>
      <c r="N135" s="106"/>
    </row>
    <row r="136" ht="15.75" hidden="1" customHeight="1">
      <c r="L136" s="106"/>
      <c r="M136" s="106"/>
      <c r="N136" s="106"/>
    </row>
    <row r="137" ht="15.75" hidden="1" customHeight="1">
      <c r="L137" s="106"/>
      <c r="M137" s="106"/>
      <c r="N137" s="106"/>
    </row>
    <row r="138" ht="15.75" hidden="1" customHeight="1">
      <c r="L138" s="106"/>
      <c r="M138" s="106"/>
      <c r="N138" s="106"/>
    </row>
    <row r="139" ht="15.75" hidden="1" customHeight="1">
      <c r="L139" s="106"/>
      <c r="M139" s="106"/>
      <c r="N139" s="106"/>
    </row>
    <row r="140" ht="15.75" hidden="1" customHeight="1">
      <c r="L140" s="106"/>
      <c r="M140" s="106"/>
      <c r="N140" s="106"/>
    </row>
    <row r="141" ht="15.75" hidden="1" customHeight="1">
      <c r="L141" s="106"/>
      <c r="M141" s="106"/>
      <c r="N141" s="106"/>
    </row>
    <row r="142" ht="15.75" hidden="1" customHeight="1">
      <c r="L142" s="106"/>
      <c r="M142" s="106"/>
      <c r="N142" s="106"/>
    </row>
    <row r="143" ht="15.75" hidden="1" customHeight="1">
      <c r="L143" s="106"/>
      <c r="M143" s="106"/>
      <c r="N143" s="106"/>
    </row>
    <row r="144" ht="15.75" hidden="1" customHeight="1">
      <c r="L144" s="106"/>
      <c r="M144" s="106"/>
      <c r="N144" s="106"/>
    </row>
    <row r="145" ht="15.75" hidden="1" customHeight="1">
      <c r="L145" s="106"/>
      <c r="M145" s="106"/>
      <c r="N145" s="106"/>
    </row>
    <row r="146" ht="15.75" hidden="1" customHeight="1">
      <c r="L146" s="106"/>
      <c r="M146" s="106"/>
      <c r="N146" s="106"/>
    </row>
    <row r="147" ht="15.75" hidden="1" customHeight="1">
      <c r="L147" s="106"/>
      <c r="M147" s="106"/>
      <c r="N147" s="106"/>
    </row>
    <row r="148" ht="15.75" hidden="1" customHeight="1">
      <c r="L148" s="106"/>
      <c r="M148" s="106"/>
      <c r="N148" s="106"/>
    </row>
    <row r="149" ht="15.75" hidden="1" customHeight="1">
      <c r="L149" s="106"/>
      <c r="M149" s="106"/>
      <c r="N149" s="106"/>
    </row>
    <row r="150" ht="15.75" hidden="1" customHeight="1">
      <c r="L150" s="106"/>
      <c r="M150" s="106"/>
      <c r="N150" s="106"/>
    </row>
    <row r="151" ht="15.75" hidden="1" customHeight="1">
      <c r="L151" s="106"/>
      <c r="M151" s="106"/>
      <c r="N151" s="106"/>
    </row>
    <row r="152" ht="15.75" hidden="1" customHeight="1">
      <c r="L152" s="106"/>
      <c r="M152" s="106"/>
      <c r="N152" s="106"/>
    </row>
    <row r="153" ht="15.75" hidden="1" customHeight="1">
      <c r="L153" s="106"/>
      <c r="M153" s="106"/>
      <c r="N153" s="106"/>
    </row>
    <row r="154" ht="15.75" hidden="1" customHeight="1">
      <c r="L154" s="106"/>
      <c r="M154" s="106"/>
      <c r="N154" s="106"/>
    </row>
    <row r="155" ht="15.75" hidden="1" customHeight="1">
      <c r="L155" s="106"/>
      <c r="M155" s="106"/>
      <c r="N155" s="106"/>
    </row>
    <row r="156" ht="15.75" hidden="1" customHeight="1">
      <c r="L156" s="106"/>
      <c r="M156" s="106"/>
      <c r="N156" s="106"/>
    </row>
    <row r="157" ht="15.75" hidden="1" customHeight="1">
      <c r="L157" s="106"/>
      <c r="M157" s="106"/>
      <c r="N157" s="106"/>
    </row>
    <row r="158" ht="15.75" hidden="1" customHeight="1">
      <c r="L158" s="106"/>
      <c r="M158" s="106"/>
      <c r="N158" s="106"/>
    </row>
    <row r="159" ht="15.75" hidden="1" customHeight="1">
      <c r="L159" s="106"/>
      <c r="M159" s="106"/>
      <c r="N159" s="106"/>
    </row>
    <row r="160" ht="15.75" hidden="1" customHeight="1">
      <c r="L160" s="106"/>
      <c r="M160" s="106"/>
      <c r="N160" s="106"/>
    </row>
    <row r="161" ht="15.75" hidden="1" customHeight="1">
      <c r="L161" s="106"/>
      <c r="M161" s="106"/>
      <c r="N161" s="106"/>
    </row>
    <row r="162" ht="15.75" hidden="1" customHeight="1">
      <c r="L162" s="106"/>
      <c r="M162" s="106"/>
      <c r="N162" s="106"/>
    </row>
    <row r="163" ht="15.75" hidden="1" customHeight="1">
      <c r="L163" s="106"/>
      <c r="M163" s="106"/>
      <c r="N163" s="106"/>
    </row>
    <row r="164" ht="15.75" hidden="1" customHeight="1">
      <c r="L164" s="106"/>
      <c r="M164" s="106"/>
      <c r="N164" s="106"/>
    </row>
    <row r="165" ht="15.75" hidden="1" customHeight="1">
      <c r="L165" s="106"/>
      <c r="M165" s="106"/>
      <c r="N165" s="106"/>
    </row>
    <row r="166" ht="15.75" hidden="1" customHeight="1">
      <c r="L166" s="106"/>
      <c r="M166" s="106"/>
      <c r="N166" s="106"/>
    </row>
    <row r="167" ht="15.75" hidden="1" customHeight="1">
      <c r="L167" s="106"/>
      <c r="M167" s="106"/>
      <c r="N167" s="106"/>
    </row>
    <row r="168" ht="15.75" hidden="1" customHeight="1">
      <c r="L168" s="106"/>
      <c r="M168" s="106"/>
      <c r="N168" s="106"/>
    </row>
    <row r="169" ht="15.75" hidden="1" customHeight="1">
      <c r="L169" s="106"/>
      <c r="M169" s="106"/>
      <c r="N169" s="106"/>
    </row>
    <row r="170" ht="15.75" hidden="1" customHeight="1">
      <c r="L170" s="106"/>
      <c r="M170" s="106"/>
      <c r="N170" s="106"/>
    </row>
    <row r="171" ht="15.75" hidden="1" customHeight="1">
      <c r="L171" s="106"/>
      <c r="M171" s="106"/>
      <c r="N171" s="106"/>
    </row>
    <row r="172" ht="15.75" hidden="1" customHeight="1">
      <c r="L172" s="106"/>
      <c r="M172" s="106"/>
      <c r="N172" s="106"/>
    </row>
    <row r="173" ht="15.75" hidden="1" customHeight="1">
      <c r="L173" s="106"/>
      <c r="M173" s="106"/>
      <c r="N173" s="106"/>
    </row>
    <row r="174" ht="15.75" hidden="1" customHeight="1">
      <c r="L174" s="106"/>
      <c r="M174" s="106"/>
      <c r="N174" s="106"/>
    </row>
    <row r="175" ht="15.75" hidden="1" customHeight="1">
      <c r="L175" s="106"/>
      <c r="M175" s="106"/>
      <c r="N175" s="106"/>
    </row>
    <row r="176" ht="15.75" hidden="1" customHeight="1">
      <c r="L176" s="106"/>
      <c r="M176" s="106"/>
      <c r="N176" s="106"/>
    </row>
    <row r="177" ht="15.75" hidden="1" customHeight="1">
      <c r="L177" s="106"/>
      <c r="M177" s="106"/>
      <c r="N177" s="106"/>
    </row>
    <row r="178" ht="15.75" hidden="1" customHeight="1">
      <c r="L178" s="106"/>
      <c r="M178" s="106"/>
      <c r="N178" s="106"/>
    </row>
    <row r="179" ht="15.75" hidden="1" customHeight="1">
      <c r="L179" s="106"/>
      <c r="M179" s="106"/>
      <c r="N179" s="106"/>
    </row>
    <row r="180" ht="15.75" hidden="1" customHeight="1">
      <c r="L180" s="106"/>
      <c r="M180" s="106"/>
      <c r="N180" s="106"/>
    </row>
    <row r="181" ht="15.75" hidden="1" customHeight="1">
      <c r="L181" s="106"/>
      <c r="M181" s="106"/>
      <c r="N181" s="106"/>
    </row>
    <row r="182" ht="15.75" hidden="1" customHeight="1">
      <c r="L182" s="106"/>
      <c r="M182" s="106"/>
      <c r="N182" s="106"/>
    </row>
    <row r="183" ht="15.75" hidden="1" customHeight="1">
      <c r="L183" s="106"/>
      <c r="M183" s="106"/>
      <c r="N183" s="106"/>
    </row>
    <row r="184" ht="15.75" hidden="1" customHeight="1">
      <c r="L184" s="106"/>
      <c r="M184" s="106"/>
      <c r="N184" s="106"/>
    </row>
    <row r="185" ht="15.75" hidden="1" customHeight="1">
      <c r="L185" s="106"/>
      <c r="M185" s="106"/>
      <c r="N185" s="106"/>
    </row>
    <row r="186" ht="15.75" hidden="1" customHeight="1">
      <c r="L186" s="106"/>
      <c r="M186" s="106"/>
      <c r="N186" s="106"/>
    </row>
    <row r="187" ht="15.75" hidden="1" customHeight="1">
      <c r="L187" s="106"/>
      <c r="M187" s="106"/>
      <c r="N187" s="106"/>
    </row>
    <row r="188" ht="15.75" hidden="1" customHeight="1">
      <c r="L188" s="106"/>
      <c r="M188" s="106"/>
      <c r="N188" s="106"/>
    </row>
    <row r="189" ht="15.75" hidden="1" customHeight="1">
      <c r="L189" s="106"/>
      <c r="M189" s="106"/>
      <c r="N189" s="106"/>
    </row>
    <row r="190" ht="15.75" hidden="1" customHeight="1">
      <c r="L190" s="106"/>
      <c r="M190" s="106"/>
      <c r="N190" s="106"/>
    </row>
    <row r="191" ht="15.75" hidden="1" customHeight="1">
      <c r="L191" s="106"/>
      <c r="M191" s="106"/>
      <c r="N191" s="106"/>
    </row>
    <row r="192" ht="15.75" hidden="1" customHeight="1">
      <c r="L192" s="106"/>
      <c r="M192" s="106"/>
      <c r="N192" s="106"/>
    </row>
    <row r="193" ht="15.75" hidden="1" customHeight="1">
      <c r="L193" s="106"/>
      <c r="M193" s="106"/>
      <c r="N193" s="106"/>
    </row>
    <row r="194" ht="15.75" hidden="1" customHeight="1">
      <c r="L194" s="106"/>
      <c r="M194" s="106"/>
      <c r="N194" s="106"/>
    </row>
    <row r="195" ht="15.75" hidden="1" customHeight="1">
      <c r="L195" s="106"/>
      <c r="M195" s="106"/>
      <c r="N195" s="106"/>
    </row>
    <row r="196" ht="15.75" hidden="1" customHeight="1">
      <c r="L196" s="106"/>
      <c r="M196" s="106"/>
      <c r="N196" s="106"/>
    </row>
    <row r="197" ht="15.75" hidden="1" customHeight="1">
      <c r="L197" s="106"/>
      <c r="M197" s="106"/>
      <c r="N197" s="106"/>
    </row>
    <row r="198" ht="15.75" hidden="1" customHeight="1">
      <c r="L198" s="106"/>
      <c r="M198" s="106"/>
      <c r="N198" s="106"/>
    </row>
    <row r="199" ht="15.75" hidden="1" customHeight="1">
      <c r="L199" s="106"/>
      <c r="M199" s="106"/>
      <c r="N199" s="106"/>
    </row>
    <row r="200" ht="15.75" hidden="1" customHeight="1">
      <c r="L200" s="106"/>
      <c r="M200" s="106"/>
      <c r="N200" s="106"/>
    </row>
    <row r="201" ht="15.75" hidden="1" customHeight="1">
      <c r="L201" s="106"/>
      <c r="M201" s="106"/>
      <c r="N201" s="106"/>
    </row>
    <row r="202" ht="15.75" hidden="1" customHeight="1">
      <c r="L202" s="106"/>
      <c r="M202" s="106"/>
      <c r="N202" s="106"/>
    </row>
    <row r="203" ht="15.75" hidden="1" customHeight="1">
      <c r="L203" s="106"/>
      <c r="M203" s="106"/>
      <c r="N203" s="106"/>
    </row>
    <row r="204" ht="15.75" hidden="1" customHeight="1">
      <c r="L204" s="106"/>
      <c r="M204" s="106"/>
      <c r="N204" s="106"/>
    </row>
    <row r="205" ht="15.75" hidden="1" customHeight="1">
      <c r="L205" s="106"/>
      <c r="M205" s="106"/>
      <c r="N205" s="106"/>
    </row>
    <row r="206" ht="15.75" hidden="1" customHeight="1">
      <c r="L206" s="106"/>
      <c r="M206" s="106"/>
      <c r="N206" s="106"/>
    </row>
    <row r="207" ht="15.75" hidden="1" customHeight="1">
      <c r="L207" s="106"/>
      <c r="M207" s="106"/>
      <c r="N207" s="106"/>
    </row>
    <row r="208" ht="15.75" hidden="1" customHeight="1">
      <c r="L208" s="106"/>
      <c r="M208" s="106"/>
      <c r="N208" s="106"/>
    </row>
    <row r="209" ht="15.75" hidden="1" customHeight="1">
      <c r="L209" s="106"/>
      <c r="M209" s="106"/>
      <c r="N209" s="106"/>
    </row>
    <row r="210" ht="15.75" hidden="1" customHeight="1">
      <c r="L210" s="106"/>
      <c r="M210" s="106"/>
      <c r="N210" s="106"/>
    </row>
    <row r="211" ht="15.75" hidden="1" customHeight="1">
      <c r="L211" s="106"/>
      <c r="M211" s="106"/>
      <c r="N211" s="106"/>
    </row>
    <row r="212" ht="15.75" hidden="1" customHeight="1">
      <c r="L212" s="106"/>
      <c r="M212" s="106"/>
      <c r="N212" s="106"/>
    </row>
    <row r="213" ht="15.75" hidden="1" customHeight="1">
      <c r="L213" s="106"/>
      <c r="M213" s="106"/>
      <c r="N213" s="106"/>
    </row>
    <row r="214" ht="15.75" hidden="1" customHeight="1">
      <c r="L214" s="106"/>
      <c r="M214" s="106"/>
      <c r="N214" s="106"/>
    </row>
    <row r="215" ht="15.75" hidden="1" customHeight="1">
      <c r="L215" s="106"/>
      <c r="M215" s="106"/>
      <c r="N215" s="106"/>
    </row>
    <row r="216" ht="15.75" hidden="1" customHeight="1">
      <c r="L216" s="106"/>
      <c r="M216" s="106"/>
      <c r="N216" s="106"/>
    </row>
    <row r="217" ht="15.75" hidden="1" customHeight="1">
      <c r="L217" s="106"/>
      <c r="M217" s="106"/>
      <c r="N217" s="106"/>
    </row>
    <row r="218" ht="15.75" hidden="1" customHeight="1">
      <c r="L218" s="106"/>
      <c r="M218" s="106"/>
      <c r="N218" s="106"/>
    </row>
    <row r="219" ht="15.75" hidden="1" customHeight="1">
      <c r="L219" s="106"/>
      <c r="M219" s="106"/>
      <c r="N219" s="106"/>
    </row>
    <row r="220" ht="15.75" hidden="1" customHeight="1">
      <c r="L220" s="106"/>
      <c r="M220" s="106"/>
      <c r="N220" s="106"/>
    </row>
    <row r="221" ht="15.75" hidden="1" customHeight="1">
      <c r="L221" s="106"/>
      <c r="M221" s="106"/>
      <c r="N221" s="106"/>
    </row>
    <row r="222" ht="15.75" hidden="1" customHeight="1">
      <c r="L222" s="106"/>
      <c r="M222" s="106"/>
      <c r="N222" s="106"/>
    </row>
    <row r="223" ht="15.75" hidden="1" customHeight="1">
      <c r="L223" s="106"/>
      <c r="M223" s="106"/>
      <c r="N223" s="106"/>
    </row>
    <row r="224" ht="15.75" hidden="1" customHeight="1">
      <c r="L224" s="106"/>
      <c r="M224" s="106"/>
      <c r="N224" s="106"/>
    </row>
    <row r="225" ht="15.75" hidden="1" customHeight="1">
      <c r="L225" s="106"/>
      <c r="M225" s="106"/>
      <c r="N225" s="106"/>
    </row>
    <row r="226" ht="15.75" hidden="1" customHeight="1">
      <c r="L226" s="106"/>
      <c r="M226" s="106"/>
      <c r="N226" s="106"/>
    </row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</sheetData>
  <mergeCells count="26">
    <mergeCell ref="A4:S4"/>
    <mergeCell ref="A5:S5"/>
    <mergeCell ref="A6:S6"/>
    <mergeCell ref="A7:S7"/>
    <mergeCell ref="A8:S8"/>
    <mergeCell ref="B10:S10"/>
    <mergeCell ref="A12:S12"/>
    <mergeCell ref="L13:L16"/>
    <mergeCell ref="M13:M16"/>
    <mergeCell ref="N13:N16"/>
    <mergeCell ref="O13:S15"/>
    <mergeCell ref="B15:B16"/>
    <mergeCell ref="C15:C16"/>
    <mergeCell ref="D15:D16"/>
    <mergeCell ref="E15:E16"/>
    <mergeCell ref="F15:F16"/>
    <mergeCell ref="G15:G16"/>
    <mergeCell ref="A17:S17"/>
    <mergeCell ref="A20:S20"/>
    <mergeCell ref="A13:A16"/>
    <mergeCell ref="B13:D14"/>
    <mergeCell ref="E13:G14"/>
    <mergeCell ref="H13:H16"/>
    <mergeCell ref="I13:I16"/>
    <mergeCell ref="J13:J16"/>
    <mergeCell ref="K13:K16"/>
  </mergeCells>
  <conditionalFormatting sqref="E18:F19 I18:S19 E21:F21 I21:S21">
    <cfRule type="containsBlanks" dxfId="0" priority="1">
      <formula>LEN(TRIM(E18))=0</formula>
    </cfRule>
  </conditionalFormatting>
  <printOptions/>
  <pageMargins bottom="0.3" footer="0.0" header="0.0" left="0.3" right="0.3" top="0.3"/>
  <pageSetup paperSize="14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41.75"/>
    <col customWidth="1" min="2" max="2" width="8.0"/>
    <col customWidth="1" min="3" max="3" width="8.25"/>
    <col customWidth="1" min="4" max="4" width="8.88"/>
    <col customWidth="1" min="5" max="5" width="8.13"/>
    <col customWidth="1" min="6" max="7" width="7.25"/>
    <col customWidth="1" min="8" max="12" width="8.38"/>
    <col customWidth="1" min="13" max="13" width="8.75"/>
    <col customWidth="1" min="14" max="14" width="7.13"/>
    <col customWidth="1" min="15" max="15" width="8.88"/>
    <col customWidth="1" min="16" max="16" width="9.13"/>
    <col customWidth="1" min="17" max="17" width="10.75"/>
    <col customWidth="1" min="18" max="18" width="9.75"/>
    <col customWidth="1" min="19" max="19" width="10.38"/>
    <col hidden="1" min="20" max="25" width="12.63"/>
  </cols>
  <sheetData>
    <row r="1" ht="15.75" customHeight="1">
      <c r="A1" s="144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5.75" customHeight="1">
      <c r="A4" s="3" t="s">
        <v>0</v>
      </c>
    </row>
    <row r="5" ht="15.75" customHeight="1">
      <c r="A5" s="4" t="s">
        <v>1</v>
      </c>
    </row>
    <row r="6" ht="15.75" customHeight="1">
      <c r="A6" s="4" t="s">
        <v>2</v>
      </c>
    </row>
    <row r="7" ht="15.75" customHeight="1">
      <c r="A7" s="4" t="s">
        <v>3</v>
      </c>
    </row>
    <row r="8" ht="15.75" customHeight="1">
      <c r="A8" s="4" t="s">
        <v>4</v>
      </c>
    </row>
    <row r="9" ht="18.0" customHeight="1">
      <c r="A9" s="145" t="s">
        <v>5</v>
      </c>
      <c r="B9" s="146"/>
      <c r="C9" s="146"/>
      <c r="D9" s="146"/>
      <c r="E9" s="146"/>
      <c r="F9" s="146"/>
      <c r="G9" s="146"/>
      <c r="H9" s="147"/>
      <c r="I9" s="147"/>
      <c r="J9" s="147"/>
      <c r="K9" s="147"/>
      <c r="L9" s="147"/>
      <c r="M9" s="145"/>
      <c r="N9" s="145"/>
      <c r="O9" s="145"/>
      <c r="P9" s="145"/>
      <c r="Q9" s="145"/>
      <c r="R9" s="145"/>
      <c r="S9" s="145"/>
    </row>
    <row r="10" ht="18.0" customHeight="1">
      <c r="A10" s="12" t="s">
        <v>6</v>
      </c>
      <c r="B10" s="13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/>
    </row>
    <row r="11" ht="15.75" customHeight="1">
      <c r="A11" s="143"/>
      <c r="B11" s="143"/>
      <c r="C11" s="143"/>
      <c r="D11" s="143"/>
      <c r="E11" s="143"/>
      <c r="F11" s="143"/>
      <c r="G11" s="143"/>
      <c r="H11" s="105"/>
      <c r="I11" s="105"/>
      <c r="J11" s="105"/>
      <c r="K11" s="105"/>
      <c r="L11" s="106"/>
      <c r="M11" s="106"/>
      <c r="N11" s="106"/>
      <c r="O11" s="104"/>
      <c r="P11" s="104"/>
      <c r="Q11" s="104"/>
      <c r="R11" s="104"/>
      <c r="S11" s="104"/>
    </row>
    <row r="12" ht="15.75" customHeight="1">
      <c r="A12" s="20" t="s">
        <v>75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/>
    </row>
    <row r="13" ht="15.75" customHeight="1">
      <c r="A13" s="23" t="s">
        <v>9</v>
      </c>
      <c r="B13" s="24" t="s">
        <v>10</v>
      </c>
      <c r="C13" s="25"/>
      <c r="D13" s="26"/>
      <c r="E13" s="24" t="s">
        <v>11</v>
      </c>
      <c r="F13" s="25"/>
      <c r="G13" s="26"/>
      <c r="H13" s="27" t="s">
        <v>12</v>
      </c>
      <c r="I13" s="28" t="s">
        <v>13</v>
      </c>
      <c r="J13" s="28" t="s">
        <v>14</v>
      </c>
      <c r="K13" s="28" t="s">
        <v>15</v>
      </c>
      <c r="L13" s="23" t="s">
        <v>16</v>
      </c>
      <c r="M13" s="28" t="s">
        <v>17</v>
      </c>
      <c r="N13" s="28" t="s">
        <v>18</v>
      </c>
      <c r="O13" s="29" t="s">
        <v>19</v>
      </c>
      <c r="P13" s="25"/>
      <c r="Q13" s="25"/>
      <c r="R13" s="25"/>
      <c r="S13" s="26"/>
    </row>
    <row r="14" ht="15.75" customHeight="1">
      <c r="A14" s="30"/>
      <c r="B14" s="31"/>
      <c r="C14" s="32"/>
      <c r="D14" s="33"/>
      <c r="E14" s="31"/>
      <c r="F14" s="32"/>
      <c r="G14" s="33"/>
      <c r="H14" s="30"/>
      <c r="I14" s="30"/>
      <c r="J14" s="30"/>
      <c r="K14" s="30"/>
      <c r="L14" s="30"/>
      <c r="M14" s="30"/>
      <c r="N14" s="30"/>
      <c r="O14" s="34"/>
      <c r="S14" s="35"/>
    </row>
    <row r="15" ht="15.75" customHeight="1">
      <c r="A15" s="30"/>
      <c r="B15" s="36" t="s">
        <v>20</v>
      </c>
      <c r="C15" s="36" t="s">
        <v>21</v>
      </c>
      <c r="D15" s="36" t="s">
        <v>22</v>
      </c>
      <c r="E15" s="36" t="s">
        <v>20</v>
      </c>
      <c r="F15" s="36" t="s">
        <v>21</v>
      </c>
      <c r="G15" s="36" t="s">
        <v>22</v>
      </c>
      <c r="H15" s="30"/>
      <c r="I15" s="30"/>
      <c r="J15" s="30"/>
      <c r="K15" s="30"/>
      <c r="L15" s="30"/>
      <c r="M15" s="30"/>
      <c r="N15" s="30"/>
      <c r="O15" s="31"/>
      <c r="P15" s="32"/>
      <c r="Q15" s="32"/>
      <c r="R15" s="32"/>
      <c r="S15" s="33"/>
    </row>
    <row r="1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8" t="s">
        <v>23</v>
      </c>
      <c r="P16" s="38" t="s">
        <v>24</v>
      </c>
      <c r="Q16" s="38" t="s">
        <v>25</v>
      </c>
      <c r="R16" s="38" t="s">
        <v>26</v>
      </c>
      <c r="S16" s="38" t="s">
        <v>27</v>
      </c>
    </row>
    <row r="17" ht="15.75" customHeight="1">
      <c r="A17" s="75" t="s">
        <v>42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</row>
    <row r="18" ht="15.75" customHeight="1">
      <c r="A18" s="135" t="s">
        <v>57</v>
      </c>
      <c r="B18" s="125">
        <f>'SHS- CONSO'!B18</f>
        <v>861</v>
      </c>
      <c r="C18" s="125">
        <f>'SHS- CONSO'!C18</f>
        <v>718</v>
      </c>
      <c r="D18" s="42">
        <f t="shared" ref="D18:D20" si="1">SUM(B18:C18)</f>
        <v>1579</v>
      </c>
      <c r="E18" s="43">
        <v>795.0</v>
      </c>
      <c r="F18" s="43">
        <v>651.0</v>
      </c>
      <c r="G18" s="42">
        <f t="shared" ref="G18:G20" si="2">SUM(E18:F18)</f>
        <v>1446</v>
      </c>
      <c r="H18" s="44" t="s">
        <v>30</v>
      </c>
      <c r="I18" s="148">
        <v>40.0</v>
      </c>
      <c r="J18" s="148">
        <v>40.0</v>
      </c>
      <c r="K18" s="148">
        <v>8.0</v>
      </c>
      <c r="L18" s="66">
        <v>20.16</v>
      </c>
      <c r="M18" s="47">
        <f t="shared" ref="M18:M20" si="3">IFERROR(((L18/I18)*100)," ")</f>
        <v>50.4</v>
      </c>
      <c r="N18" s="149">
        <v>20.03</v>
      </c>
      <c r="O18" s="48">
        <v>39.0</v>
      </c>
      <c r="P18" s="48">
        <v>13.0</v>
      </c>
      <c r="Q18" s="48">
        <v>2.0</v>
      </c>
      <c r="R18" s="48">
        <v>3.0</v>
      </c>
      <c r="S18" s="48">
        <v>23.0</v>
      </c>
    </row>
    <row r="19" ht="15.75" customHeight="1">
      <c r="A19" s="135" t="s">
        <v>62</v>
      </c>
      <c r="B19" s="130">
        <f>'SHS- CONSO'!B23</f>
        <v>848</v>
      </c>
      <c r="C19" s="130">
        <f>'SHS- CONSO'!C23</f>
        <v>966</v>
      </c>
      <c r="D19" s="42">
        <f t="shared" si="1"/>
        <v>1814</v>
      </c>
      <c r="E19" s="58">
        <v>825.0</v>
      </c>
      <c r="F19" s="58">
        <v>950.0</v>
      </c>
      <c r="G19" s="42">
        <f t="shared" si="2"/>
        <v>1775</v>
      </c>
      <c r="H19" s="44" t="s">
        <v>30</v>
      </c>
      <c r="I19" s="45">
        <v>40.0</v>
      </c>
      <c r="J19" s="139">
        <v>40.0</v>
      </c>
      <c r="K19" s="139">
        <v>7.0</v>
      </c>
      <c r="L19" s="150">
        <v>27.71</v>
      </c>
      <c r="M19" s="47">
        <f t="shared" si="3"/>
        <v>69.275</v>
      </c>
      <c r="N19" s="150">
        <v>6.85</v>
      </c>
      <c r="O19" s="139">
        <v>34.0</v>
      </c>
      <c r="P19" s="139">
        <v>28.0</v>
      </c>
      <c r="Q19" s="139">
        <v>19.0</v>
      </c>
      <c r="R19" s="139">
        <v>35.0</v>
      </c>
      <c r="S19" s="139">
        <v>36.0</v>
      </c>
    </row>
    <row r="20" ht="15.75" customHeight="1">
      <c r="A20" s="135" t="s">
        <v>70</v>
      </c>
      <c r="B20" s="130">
        <f>'SHS- CONSO'!B34</f>
        <v>721</v>
      </c>
      <c r="C20" s="130">
        <f>'SHS- CONSO'!C34</f>
        <v>621</v>
      </c>
      <c r="D20" s="42">
        <f t="shared" si="1"/>
        <v>1342</v>
      </c>
      <c r="E20" s="43">
        <v>712.0</v>
      </c>
      <c r="F20" s="43">
        <v>578.0</v>
      </c>
      <c r="G20" s="42">
        <f t="shared" si="2"/>
        <v>1290</v>
      </c>
      <c r="H20" s="44" t="s">
        <v>30</v>
      </c>
      <c r="I20" s="45">
        <v>40.0</v>
      </c>
      <c r="J20" s="45">
        <v>37.0</v>
      </c>
      <c r="K20" s="45">
        <v>5.0</v>
      </c>
      <c r="L20" s="48">
        <v>16.47</v>
      </c>
      <c r="M20" s="47">
        <f t="shared" si="3"/>
        <v>41.175</v>
      </c>
      <c r="N20" s="48">
        <v>4.23</v>
      </c>
      <c r="O20" s="45">
        <v>8.0</v>
      </c>
      <c r="P20" s="45">
        <v>19.0</v>
      </c>
      <c r="Q20" s="45">
        <v>33.0</v>
      </c>
      <c r="R20" s="45">
        <v>4.0</v>
      </c>
      <c r="S20" s="45">
        <v>21.0</v>
      </c>
    </row>
    <row r="21" ht="15.75" customHeight="1">
      <c r="A21" s="50" t="s">
        <v>31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2"/>
    </row>
    <row r="22" ht="15.75" hidden="1" customHeight="1">
      <c r="A22" s="135" t="s">
        <v>76</v>
      </c>
      <c r="B22" s="125" t="str">
        <f>'SHS- CONSO'!B66</f>
        <v>N/A</v>
      </c>
      <c r="C22" s="125" t="str">
        <f>'SHS- CONSO'!C66</f>
        <v>N/A</v>
      </c>
      <c r="D22" s="42">
        <f t="shared" ref="D22:D27" si="4">SUM(B22:C22)</f>
        <v>0</v>
      </c>
      <c r="E22" s="52"/>
      <c r="F22" s="41"/>
      <c r="G22" s="42">
        <f t="shared" ref="G22:G27" si="5">SUM(E22:F22)</f>
        <v>0</v>
      </c>
      <c r="H22" s="44" t="s">
        <v>30</v>
      </c>
      <c r="I22" s="148">
        <v>40.0</v>
      </c>
      <c r="J22" s="151" t="str">
        <f>'SHS- CONSO'!J66</f>
        <v/>
      </c>
      <c r="K22" s="151" t="str">
        <f>'SHS- CONSO'!K66</f>
        <v/>
      </c>
      <c r="L22" s="55" t="str">
        <f>'SHS- CONSO'!L66</f>
        <v/>
      </c>
      <c r="M22" s="152" t="str">
        <f>'SHS- CONSO'!M66</f>
        <v> </v>
      </c>
      <c r="N22" s="152" t="str">
        <f>'SHS- CONSO'!N66</f>
        <v/>
      </c>
      <c r="O22" s="68" t="str">
        <f>'SHS- CONSO'!O66</f>
        <v/>
      </c>
      <c r="P22" s="68" t="str">
        <f>'SHS- CONSO'!P66</f>
        <v/>
      </c>
      <c r="Q22" s="68" t="str">
        <f>'SHS- CONSO'!Q66</f>
        <v/>
      </c>
      <c r="R22" s="68" t="str">
        <f>'SHS- CONSO'!R66</f>
        <v/>
      </c>
      <c r="S22" s="68" t="str">
        <f>'SHS- CONSO'!S66</f>
        <v/>
      </c>
    </row>
    <row r="23" ht="15.75" customHeight="1">
      <c r="A23" s="135" t="s">
        <v>77</v>
      </c>
      <c r="B23" s="153">
        <v>377.0</v>
      </c>
      <c r="C23" s="153">
        <v>479.0</v>
      </c>
      <c r="D23" s="42">
        <f t="shared" si="4"/>
        <v>856</v>
      </c>
      <c r="E23" s="65">
        <v>375.0</v>
      </c>
      <c r="F23" s="43">
        <v>455.0</v>
      </c>
      <c r="G23" s="42">
        <f t="shared" si="5"/>
        <v>830</v>
      </c>
      <c r="H23" s="44" t="s">
        <v>30</v>
      </c>
      <c r="I23" s="148">
        <v>40.0</v>
      </c>
      <c r="J23" s="148">
        <v>33.0</v>
      </c>
      <c r="K23" s="148">
        <v>11.0</v>
      </c>
      <c r="L23" s="66">
        <v>19.0</v>
      </c>
      <c r="M23" s="47">
        <f t="shared" ref="M23:M26" si="6">IFERROR(((L23/I23)*100)," ")</f>
        <v>47.5</v>
      </c>
      <c r="N23" s="149">
        <v>6.3</v>
      </c>
      <c r="O23" s="48">
        <v>7.0</v>
      </c>
      <c r="P23" s="48">
        <v>8.0</v>
      </c>
      <c r="Q23" s="48">
        <v>33.0</v>
      </c>
      <c r="R23" s="48">
        <v>34.0</v>
      </c>
      <c r="S23" s="48">
        <v>23.0</v>
      </c>
    </row>
    <row r="24" ht="15.75" customHeight="1">
      <c r="A24" s="135" t="s">
        <v>78</v>
      </c>
      <c r="B24" s="125">
        <f>'SHS- CONSO'!B70</f>
        <v>88</v>
      </c>
      <c r="C24" s="125">
        <f>'SHS- CONSO'!C70</f>
        <v>135</v>
      </c>
      <c r="D24" s="42">
        <f t="shared" si="4"/>
        <v>223</v>
      </c>
      <c r="E24" s="65">
        <v>87.0</v>
      </c>
      <c r="F24" s="43">
        <v>130.0</v>
      </c>
      <c r="G24" s="42">
        <f t="shared" si="5"/>
        <v>217</v>
      </c>
      <c r="H24" s="44" t="s">
        <v>30</v>
      </c>
      <c r="I24" s="148">
        <v>40.0</v>
      </c>
      <c r="J24" s="148">
        <v>37.0</v>
      </c>
      <c r="K24" s="148">
        <v>6.0</v>
      </c>
      <c r="L24" s="66">
        <v>20.35</v>
      </c>
      <c r="M24" s="47">
        <f t="shared" si="6"/>
        <v>50.875</v>
      </c>
      <c r="N24" s="149">
        <v>6.5</v>
      </c>
      <c r="O24" s="48">
        <v>33.0</v>
      </c>
      <c r="P24" s="48">
        <v>35.0</v>
      </c>
      <c r="Q24" s="48">
        <v>20.0</v>
      </c>
      <c r="R24" s="48">
        <v>37.0</v>
      </c>
      <c r="S24" s="48">
        <v>7.0</v>
      </c>
    </row>
    <row r="25" ht="15.75" customHeight="1">
      <c r="A25" s="135" t="s">
        <v>79</v>
      </c>
      <c r="B25" s="125">
        <f>'SHS- CONSO'!B71</f>
        <v>171</v>
      </c>
      <c r="C25" s="125">
        <f>'SHS- CONSO'!C71</f>
        <v>256</v>
      </c>
      <c r="D25" s="42">
        <f t="shared" si="4"/>
        <v>427</v>
      </c>
      <c r="E25" s="65">
        <v>168.0</v>
      </c>
      <c r="F25" s="65">
        <v>253.0</v>
      </c>
      <c r="G25" s="42">
        <f t="shared" si="5"/>
        <v>421</v>
      </c>
      <c r="H25" s="44" t="s">
        <v>30</v>
      </c>
      <c r="I25" s="148">
        <v>40.0</v>
      </c>
      <c r="J25" s="154">
        <v>34.0</v>
      </c>
      <c r="K25" s="154">
        <v>8.0</v>
      </c>
      <c r="L25" s="155">
        <v>21.0</v>
      </c>
      <c r="M25" s="47">
        <f t="shared" si="6"/>
        <v>52.5</v>
      </c>
      <c r="N25" s="156">
        <v>6.5</v>
      </c>
      <c r="O25" s="157">
        <v>14.0</v>
      </c>
      <c r="P25" s="157">
        <v>22.0</v>
      </c>
      <c r="Q25" s="157">
        <v>33.0</v>
      </c>
      <c r="R25" s="157">
        <v>12.0</v>
      </c>
      <c r="S25" s="157">
        <v>9.0</v>
      </c>
    </row>
    <row r="26" ht="15.75" customHeight="1">
      <c r="A26" s="135" t="s">
        <v>80</v>
      </c>
      <c r="B26" s="125">
        <f>'SHS- CONSO'!B72</f>
        <v>384</v>
      </c>
      <c r="C26" s="125">
        <f>'SHS- CONSO'!C72</f>
        <v>481</v>
      </c>
      <c r="D26" s="42">
        <f t="shared" si="4"/>
        <v>865</v>
      </c>
      <c r="E26" s="65">
        <v>360.0</v>
      </c>
      <c r="F26" s="43">
        <v>464.0</v>
      </c>
      <c r="G26" s="42">
        <f t="shared" si="5"/>
        <v>824</v>
      </c>
      <c r="H26" s="44" t="s">
        <v>30</v>
      </c>
      <c r="I26" s="148">
        <v>40.0</v>
      </c>
      <c r="J26" s="148">
        <v>38.0</v>
      </c>
      <c r="K26" s="148">
        <v>4.0</v>
      </c>
      <c r="L26" s="66">
        <v>18.0</v>
      </c>
      <c r="M26" s="47">
        <f t="shared" si="6"/>
        <v>45</v>
      </c>
      <c r="N26" s="149">
        <v>6.7</v>
      </c>
      <c r="O26" s="48">
        <v>14.0</v>
      </c>
      <c r="P26" s="48">
        <v>20.0</v>
      </c>
      <c r="Q26" s="48">
        <v>23.0</v>
      </c>
      <c r="R26" s="48">
        <v>35.0</v>
      </c>
      <c r="S26" s="48">
        <v>4.0</v>
      </c>
    </row>
    <row r="27" ht="15.75" hidden="1" customHeight="1">
      <c r="A27" s="135" t="s">
        <v>81</v>
      </c>
      <c r="B27" s="125" t="str">
        <f>'SHS- CONSO'!B73</f>
        <v>N/A</v>
      </c>
      <c r="C27" s="125" t="str">
        <f>'SHS- CONSO'!C73</f>
        <v>N/A</v>
      </c>
      <c r="D27" s="42">
        <f t="shared" si="4"/>
        <v>0</v>
      </c>
      <c r="E27" s="52"/>
      <c r="F27" s="41"/>
      <c r="G27" s="42">
        <f t="shared" si="5"/>
        <v>0</v>
      </c>
      <c r="H27" s="158"/>
      <c r="I27" s="148">
        <v>40.0</v>
      </c>
      <c r="J27" s="151" t="str">
        <f>'SHS- CONSO'!J73</f>
        <v/>
      </c>
      <c r="K27" s="151" t="str">
        <f>'SHS- CONSO'!K73</f>
        <v/>
      </c>
      <c r="L27" s="55" t="str">
        <f>'SHS- CONSO'!L73</f>
        <v/>
      </c>
      <c r="M27" s="152" t="str">
        <f>'SHS- CONSO'!M73</f>
        <v> </v>
      </c>
      <c r="N27" s="152" t="str">
        <f>'SHS- CONSO'!N73</f>
        <v/>
      </c>
      <c r="O27" s="68" t="str">
        <f>'SHS- CONSO'!O73</f>
        <v/>
      </c>
      <c r="P27" s="68" t="str">
        <f>'SHS- CONSO'!P73</f>
        <v/>
      </c>
      <c r="Q27" s="68" t="str">
        <f>'SHS- CONSO'!Q73</f>
        <v/>
      </c>
      <c r="R27" s="68" t="str">
        <f>'SHS- CONSO'!R73</f>
        <v/>
      </c>
      <c r="S27" s="68" t="str">
        <f>'SHS- CONSO'!S73</f>
        <v/>
      </c>
    </row>
    <row r="28" ht="15.75" customHeight="1">
      <c r="A28" s="69" t="s">
        <v>40</v>
      </c>
      <c r="B28" s="70">
        <f t="shared" ref="B28:G28" si="7">SUM(B18:B27)</f>
        <v>3450</v>
      </c>
      <c r="C28" s="70">
        <f t="shared" si="7"/>
        <v>3656</v>
      </c>
      <c r="D28" s="70">
        <f t="shared" si="7"/>
        <v>7106</v>
      </c>
      <c r="E28" s="70">
        <f t="shared" si="7"/>
        <v>3322</v>
      </c>
      <c r="F28" s="70">
        <f t="shared" si="7"/>
        <v>3481</v>
      </c>
      <c r="G28" s="70">
        <f t="shared" si="7"/>
        <v>6803</v>
      </c>
      <c r="H28" s="71"/>
      <c r="I28" s="71">
        <f>AVERAGE(I18:I27)</f>
        <v>40</v>
      </c>
      <c r="J28" s="72">
        <f t="shared" ref="J28:S28" si="8">IFERROR((AVERAGE(J16:J19,J21:J24,J26:J27)),"")</f>
        <v>37.6</v>
      </c>
      <c r="K28" s="72">
        <f t="shared" si="8"/>
        <v>7.2</v>
      </c>
      <c r="L28" s="72">
        <f t="shared" si="8"/>
        <v>21.044</v>
      </c>
      <c r="M28" s="72">
        <f t="shared" si="8"/>
        <v>52.61</v>
      </c>
      <c r="N28" s="72">
        <f t="shared" si="8"/>
        <v>9.276</v>
      </c>
      <c r="O28" s="72">
        <f t="shared" si="8"/>
        <v>25.4</v>
      </c>
      <c r="P28" s="72">
        <f t="shared" si="8"/>
        <v>20.8</v>
      </c>
      <c r="Q28" s="72">
        <f t="shared" si="8"/>
        <v>19.4</v>
      </c>
      <c r="R28" s="72">
        <f t="shared" si="8"/>
        <v>28.8</v>
      </c>
      <c r="S28" s="72">
        <f t="shared" si="8"/>
        <v>18.6</v>
      </c>
    </row>
    <row r="29" ht="15.75" hidden="1" customHeight="1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</row>
    <row r="30" ht="15.75" hidden="1" customHeight="1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6"/>
      <c r="M30" s="106"/>
      <c r="N30" s="106"/>
      <c r="O30" s="104"/>
      <c r="P30" s="104"/>
      <c r="Q30" s="104"/>
      <c r="R30" s="104"/>
      <c r="S30" s="104"/>
    </row>
    <row r="31" ht="15.75" hidden="1" customHeight="1"/>
    <row r="32" ht="15.75" hidden="1" customHeight="1"/>
    <row r="33" ht="15.75" hidden="1" customHeight="1"/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</sheetData>
  <mergeCells count="26">
    <mergeCell ref="A4:S4"/>
    <mergeCell ref="A5:S5"/>
    <mergeCell ref="A6:S6"/>
    <mergeCell ref="A7:S7"/>
    <mergeCell ref="A8:S8"/>
    <mergeCell ref="B10:S10"/>
    <mergeCell ref="A12:S12"/>
    <mergeCell ref="L13:L16"/>
    <mergeCell ref="M13:M16"/>
    <mergeCell ref="N13:N16"/>
    <mergeCell ref="O13:S15"/>
    <mergeCell ref="B15:B16"/>
    <mergeCell ref="C15:C16"/>
    <mergeCell ref="D15:D16"/>
    <mergeCell ref="E15:E16"/>
    <mergeCell ref="F15:F16"/>
    <mergeCell ref="G15:G16"/>
    <mergeCell ref="A17:S17"/>
    <mergeCell ref="A21:S21"/>
    <mergeCell ref="A13:A16"/>
    <mergeCell ref="B13:D14"/>
    <mergeCell ref="E13:G14"/>
    <mergeCell ref="H13:H16"/>
    <mergeCell ref="I13:I16"/>
    <mergeCell ref="J13:J16"/>
    <mergeCell ref="K13:K16"/>
  </mergeCells>
  <conditionalFormatting sqref="E18:F20 I18:S20 E22:F26 I22:S26">
    <cfRule type="containsBlanks" dxfId="0" priority="1">
      <formula>LEN(TRIM(E18))=0</formula>
    </cfRule>
  </conditionalFormatting>
  <printOptions/>
  <pageMargins bottom="0.3" footer="0.0" header="0.0" left="0.3" right="0.3" top="0.3"/>
  <pageSetup paperSize="14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21.0"/>
    <col customWidth="1" min="2" max="2" width="8.0"/>
    <col customWidth="1" min="3" max="3" width="8.25"/>
    <col customWidth="1" min="4" max="4" width="8.88"/>
    <col customWidth="1" min="5" max="5" width="8.13"/>
    <col customWidth="1" min="6" max="7" width="7.25"/>
    <col customWidth="1" min="8" max="12" width="8.38"/>
    <col customWidth="1" min="13" max="13" width="8.75"/>
    <col customWidth="1" min="14" max="14" width="7.13"/>
    <col customWidth="1" min="15" max="15" width="8.88"/>
    <col customWidth="1" min="16" max="16" width="9.13"/>
    <col customWidth="1" min="17" max="17" width="10.75"/>
    <col customWidth="1" min="18" max="18" width="9.75"/>
    <col customWidth="1" min="19" max="19" width="10.38"/>
    <col hidden="1" min="20" max="25" width="12.63"/>
  </cols>
  <sheetData>
    <row r="1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15.75" customHeight="1">
      <c r="A4" s="3" t="s">
        <v>0</v>
      </c>
    </row>
    <row r="5" ht="15.75" customHeight="1">
      <c r="A5" s="4" t="s">
        <v>1</v>
      </c>
    </row>
    <row r="6" ht="15.75" customHeight="1">
      <c r="A6" s="4" t="s">
        <v>2</v>
      </c>
    </row>
    <row r="7" ht="15.75" customHeight="1">
      <c r="A7" s="4" t="s">
        <v>3</v>
      </c>
    </row>
    <row r="8" ht="15.75" customHeight="1">
      <c r="A8" s="4" t="s">
        <v>4</v>
      </c>
    </row>
    <row r="9" ht="18.0" customHeight="1">
      <c r="A9" s="145" t="s">
        <v>5</v>
      </c>
      <c r="B9" s="146"/>
      <c r="C9" s="146"/>
      <c r="D9" s="146"/>
      <c r="E9" s="146"/>
      <c r="F9" s="146"/>
      <c r="G9" s="146"/>
      <c r="H9" s="147"/>
      <c r="I9" s="147"/>
      <c r="J9" s="147"/>
      <c r="K9" s="147"/>
      <c r="L9" s="147"/>
      <c r="M9" s="145"/>
      <c r="N9" s="145"/>
      <c r="O9" s="145"/>
      <c r="P9" s="145"/>
      <c r="Q9" s="145"/>
      <c r="R9" s="145"/>
      <c r="S9" s="145"/>
    </row>
    <row r="10" ht="18.0" customHeight="1">
      <c r="A10" s="12" t="s">
        <v>6</v>
      </c>
      <c r="B10" s="13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/>
    </row>
    <row r="11" ht="15.75" customHeight="1">
      <c r="A11" s="105"/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6"/>
      <c r="M11" s="106"/>
      <c r="N11" s="106"/>
      <c r="O11" s="104"/>
      <c r="P11" s="104"/>
      <c r="Q11" s="104"/>
      <c r="R11" s="104"/>
      <c r="S11" s="104"/>
    </row>
    <row r="12" ht="15.75" customHeight="1">
      <c r="A12" s="20" t="s">
        <v>129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/>
    </row>
    <row r="13" ht="15.75" customHeight="1">
      <c r="A13" s="23" t="s">
        <v>9</v>
      </c>
      <c r="B13" s="24" t="s">
        <v>10</v>
      </c>
      <c r="C13" s="25"/>
      <c r="D13" s="26"/>
      <c r="E13" s="24" t="s">
        <v>11</v>
      </c>
      <c r="F13" s="25"/>
      <c r="G13" s="26"/>
      <c r="H13" s="27" t="s">
        <v>12</v>
      </c>
      <c r="I13" s="28" t="s">
        <v>13</v>
      </c>
      <c r="J13" s="28" t="s">
        <v>14</v>
      </c>
      <c r="K13" s="28" t="s">
        <v>15</v>
      </c>
      <c r="L13" s="23" t="s">
        <v>16</v>
      </c>
      <c r="M13" s="28" t="s">
        <v>17</v>
      </c>
      <c r="N13" s="28" t="s">
        <v>18</v>
      </c>
      <c r="O13" s="29" t="s">
        <v>19</v>
      </c>
      <c r="P13" s="25"/>
      <c r="Q13" s="25"/>
      <c r="R13" s="25"/>
      <c r="S13" s="26"/>
    </row>
    <row r="14" ht="15.75" customHeight="1">
      <c r="A14" s="30"/>
      <c r="B14" s="31"/>
      <c r="C14" s="32"/>
      <c r="D14" s="33"/>
      <c r="E14" s="31"/>
      <c r="F14" s="32"/>
      <c r="G14" s="33"/>
      <c r="H14" s="30"/>
      <c r="I14" s="30"/>
      <c r="J14" s="30"/>
      <c r="K14" s="30"/>
      <c r="L14" s="30"/>
      <c r="M14" s="30"/>
      <c r="N14" s="30"/>
      <c r="O14" s="34"/>
      <c r="S14" s="35"/>
    </row>
    <row r="15" ht="15.75" customHeight="1">
      <c r="A15" s="30"/>
      <c r="B15" s="36" t="s">
        <v>20</v>
      </c>
      <c r="C15" s="36" t="s">
        <v>21</v>
      </c>
      <c r="D15" s="36" t="s">
        <v>22</v>
      </c>
      <c r="E15" s="36" t="s">
        <v>20</v>
      </c>
      <c r="F15" s="36" t="s">
        <v>21</v>
      </c>
      <c r="G15" s="36" t="s">
        <v>22</v>
      </c>
      <c r="H15" s="30"/>
      <c r="I15" s="30"/>
      <c r="J15" s="30"/>
      <c r="K15" s="30"/>
      <c r="L15" s="30"/>
      <c r="M15" s="30"/>
      <c r="N15" s="30"/>
      <c r="O15" s="31"/>
      <c r="P15" s="32"/>
      <c r="Q15" s="32"/>
      <c r="R15" s="32"/>
      <c r="S15" s="33"/>
    </row>
    <row r="1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8" t="s">
        <v>23</v>
      </c>
      <c r="P16" s="38" t="s">
        <v>24</v>
      </c>
      <c r="Q16" s="38" t="s">
        <v>25</v>
      </c>
      <c r="R16" s="38" t="s">
        <v>26</v>
      </c>
      <c r="S16" s="38" t="s">
        <v>27</v>
      </c>
    </row>
    <row r="17" ht="15.75" customHeight="1">
      <c r="A17" s="75" t="s">
        <v>42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</row>
    <row r="18" ht="15.75" customHeight="1">
      <c r="A18" s="40" t="s">
        <v>61</v>
      </c>
      <c r="B18" s="41">
        <f>'SHS- CONSO'!B22</f>
        <v>721</v>
      </c>
      <c r="C18" s="41">
        <f>'SHS- CONSO'!C22</f>
        <v>621</v>
      </c>
      <c r="D18" s="42">
        <f t="shared" ref="D18:D19" si="1">SUM(B18:C18)</f>
        <v>1342</v>
      </c>
      <c r="E18" s="159">
        <v>689.0</v>
      </c>
      <c r="F18" s="160">
        <v>613.0</v>
      </c>
      <c r="G18" s="42">
        <f t="shared" ref="G18:G19" si="2">SUM(E18:F18)</f>
        <v>1302</v>
      </c>
      <c r="H18" s="44" t="s">
        <v>30</v>
      </c>
      <c r="I18" s="161">
        <v>40.0</v>
      </c>
      <c r="J18" s="161">
        <v>31.0</v>
      </c>
      <c r="K18" s="161">
        <v>1.0</v>
      </c>
      <c r="L18" s="162">
        <v>14.23</v>
      </c>
      <c r="M18" s="47">
        <f t="shared" ref="M18:M19" si="3">IFERROR(((L18/I18)*100)," ")</f>
        <v>35.575</v>
      </c>
      <c r="N18" s="163">
        <v>4.26</v>
      </c>
      <c r="O18" s="164">
        <v>24.0</v>
      </c>
      <c r="P18" s="164">
        <v>8.0</v>
      </c>
      <c r="Q18" s="164">
        <v>26.0</v>
      </c>
      <c r="R18" s="164">
        <v>13.0</v>
      </c>
      <c r="S18" s="164">
        <v>30.0</v>
      </c>
    </row>
    <row r="19" ht="15.75" customHeight="1">
      <c r="A19" s="40" t="s">
        <v>69</v>
      </c>
      <c r="B19" s="41">
        <f>'SHS- CONSO'!B33</f>
        <v>769</v>
      </c>
      <c r="C19" s="41">
        <f>'SHS- CONSO'!C33</f>
        <v>891</v>
      </c>
      <c r="D19" s="42">
        <f t="shared" si="1"/>
        <v>1660</v>
      </c>
      <c r="E19" s="159">
        <v>767.0</v>
      </c>
      <c r="F19" s="160">
        <v>888.0</v>
      </c>
      <c r="G19" s="42">
        <f t="shared" si="2"/>
        <v>1655</v>
      </c>
      <c r="H19" s="44" t="s">
        <v>30</v>
      </c>
      <c r="I19" s="45">
        <v>40.0</v>
      </c>
      <c r="J19" s="165">
        <v>38.0</v>
      </c>
      <c r="K19" s="165">
        <v>5.0</v>
      </c>
      <c r="L19" s="162">
        <v>19.31</v>
      </c>
      <c r="M19" s="47">
        <f t="shared" si="3"/>
        <v>48.275</v>
      </c>
      <c r="N19" s="163">
        <v>5.25</v>
      </c>
      <c r="O19" s="164">
        <v>12.0</v>
      </c>
      <c r="P19" s="164">
        <v>2.0</v>
      </c>
      <c r="Q19" s="164">
        <v>39.0</v>
      </c>
      <c r="R19" s="164">
        <v>22.0</v>
      </c>
      <c r="S19" s="164">
        <v>8.0</v>
      </c>
    </row>
    <row r="20" ht="15.75" customHeight="1">
      <c r="A20" s="50" t="s">
        <v>31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2"/>
    </row>
    <row r="21" ht="15.75" hidden="1" customHeight="1">
      <c r="A21" s="40" t="s">
        <v>83</v>
      </c>
      <c r="B21" s="52" t="str">
        <f>'SHS- CONSO'!B76</f>
        <v>N/A</v>
      </c>
      <c r="C21" s="52" t="str">
        <f>'SHS- CONSO'!C76</f>
        <v>N/A</v>
      </c>
      <c r="D21" s="42">
        <f t="shared" ref="D21:D22" si="4">SUM(B21:C21)</f>
        <v>0</v>
      </c>
      <c r="E21" s="52"/>
      <c r="F21" s="41"/>
      <c r="G21" s="42">
        <f t="shared" ref="G21:G22" si="5">SUM(E21:F21)</f>
        <v>0</v>
      </c>
      <c r="H21" s="166"/>
      <c r="I21" s="67">
        <f>'SHS- CONSO'!I76</f>
        <v>40</v>
      </c>
      <c r="J21" s="67"/>
      <c r="K21" s="67"/>
      <c r="L21" s="55"/>
      <c r="M21" s="55"/>
      <c r="N21" s="55"/>
      <c r="O21" s="68"/>
      <c r="P21" s="68"/>
      <c r="Q21" s="68"/>
      <c r="R21" s="68"/>
      <c r="S21" s="68"/>
    </row>
    <row r="22" ht="15.75" customHeight="1">
      <c r="A22" s="135" t="s">
        <v>90</v>
      </c>
      <c r="B22" s="125">
        <f>'SHS- CONSO'!B83</f>
        <v>256</v>
      </c>
      <c r="C22" s="125">
        <f>'SHS- CONSO'!C83</f>
        <v>246</v>
      </c>
      <c r="D22" s="42">
        <f t="shared" si="4"/>
        <v>502</v>
      </c>
      <c r="E22" s="159">
        <v>256.0</v>
      </c>
      <c r="F22" s="160">
        <v>241.0</v>
      </c>
      <c r="G22" s="42">
        <f t="shared" si="5"/>
        <v>497</v>
      </c>
      <c r="H22" s="44" t="s">
        <v>30</v>
      </c>
      <c r="I22" s="148">
        <v>40.0</v>
      </c>
      <c r="J22" s="161">
        <v>32.0</v>
      </c>
      <c r="K22" s="161">
        <v>2.0</v>
      </c>
      <c r="L22" s="162">
        <v>19.13</v>
      </c>
      <c r="M22" s="47">
        <f>IFERROR(((L22/I22)*100)," ")</f>
        <v>47.825</v>
      </c>
      <c r="N22" s="163">
        <v>4.83</v>
      </c>
      <c r="O22" s="164">
        <v>16.0</v>
      </c>
      <c r="P22" s="164">
        <v>17.0</v>
      </c>
      <c r="Q22" s="164">
        <v>19.0</v>
      </c>
      <c r="R22" s="164">
        <v>33.0</v>
      </c>
      <c r="S22" s="164">
        <v>36.0</v>
      </c>
    </row>
    <row r="23" ht="15.75" customHeight="1">
      <c r="A23" s="69" t="s">
        <v>40</v>
      </c>
      <c r="B23" s="70">
        <f t="shared" ref="B23:G23" si="6">SUM(B18:B22)</f>
        <v>1746</v>
      </c>
      <c r="C23" s="70">
        <f t="shared" si="6"/>
        <v>1758</v>
      </c>
      <c r="D23" s="70">
        <f t="shared" si="6"/>
        <v>3504</v>
      </c>
      <c r="E23" s="70">
        <f t="shared" si="6"/>
        <v>1712</v>
      </c>
      <c r="F23" s="70">
        <f t="shared" si="6"/>
        <v>1742</v>
      </c>
      <c r="G23" s="70">
        <f t="shared" si="6"/>
        <v>3454</v>
      </c>
      <c r="H23" s="71"/>
      <c r="I23" s="71">
        <f>AVERAGE(I18:I22)</f>
        <v>40</v>
      </c>
      <c r="J23" s="167" t="str">
        <f t="shared" ref="J23:S23" si="7">IFERROR((AVERAGE(J20,#REF!,J21:J22)),"")</f>
        <v/>
      </c>
      <c r="K23" s="167" t="str">
        <f t="shared" si="7"/>
        <v/>
      </c>
      <c r="L23" s="167" t="str">
        <f t="shared" si="7"/>
        <v/>
      </c>
      <c r="M23" s="167" t="str">
        <f t="shared" si="7"/>
        <v/>
      </c>
      <c r="N23" s="167" t="str">
        <f t="shared" si="7"/>
        <v/>
      </c>
      <c r="O23" s="167" t="str">
        <f t="shared" si="7"/>
        <v/>
      </c>
      <c r="P23" s="167" t="str">
        <f t="shared" si="7"/>
        <v/>
      </c>
      <c r="Q23" s="167" t="str">
        <f t="shared" si="7"/>
        <v/>
      </c>
      <c r="R23" s="167" t="str">
        <f t="shared" si="7"/>
        <v/>
      </c>
      <c r="S23" s="167" t="str">
        <f t="shared" si="7"/>
        <v/>
      </c>
    </row>
    <row r="24" ht="15.75" hidden="1" customHeight="1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</row>
    <row r="25" ht="15.75" hidden="1" customHeight="1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106"/>
      <c r="N25" s="106"/>
      <c r="O25" s="104"/>
      <c r="P25" s="104"/>
      <c r="Q25" s="104"/>
      <c r="R25" s="104"/>
      <c r="S25" s="104"/>
    </row>
    <row r="26" ht="15.75" hidden="1" customHeight="1">
      <c r="A26" s="105"/>
      <c r="B26" s="105"/>
      <c r="C26" s="105"/>
      <c r="D26" s="143"/>
      <c r="E26" s="105"/>
      <c r="F26" s="105"/>
      <c r="G26" s="105"/>
      <c r="H26" s="105"/>
      <c r="I26" s="105"/>
      <c r="J26" s="105"/>
      <c r="K26" s="143"/>
      <c r="L26" s="106"/>
      <c r="M26" s="106"/>
      <c r="N26" s="106"/>
      <c r="O26" s="104"/>
      <c r="P26" s="104"/>
      <c r="Q26" s="104"/>
      <c r="R26" s="104"/>
      <c r="S26" s="104"/>
    </row>
    <row r="27" ht="15.75" hidden="1" customHeight="1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6"/>
      <c r="M27" s="106"/>
      <c r="N27" s="106"/>
      <c r="O27" s="104"/>
      <c r="P27" s="104"/>
      <c r="Q27" s="104"/>
      <c r="R27" s="104"/>
      <c r="S27" s="104"/>
    </row>
    <row r="28" ht="15.75" hidden="1" customHeight="1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6"/>
      <c r="M28" s="106"/>
      <c r="N28" s="106"/>
      <c r="O28" s="104"/>
      <c r="P28" s="104"/>
      <c r="Q28" s="104"/>
      <c r="R28" s="104"/>
      <c r="S28" s="104"/>
    </row>
    <row r="29" ht="15.75" hidden="1" customHeight="1"/>
    <row r="30" ht="15.75" hidden="1" customHeight="1"/>
    <row r="31" ht="15.75" hidden="1" customHeight="1"/>
    <row r="32" ht="15.75" hidden="1" customHeight="1"/>
    <row r="33" ht="15.75" hidden="1" customHeight="1"/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</sheetData>
  <mergeCells count="26">
    <mergeCell ref="A4:S4"/>
    <mergeCell ref="A5:S5"/>
    <mergeCell ref="A6:S6"/>
    <mergeCell ref="A7:S7"/>
    <mergeCell ref="A8:S8"/>
    <mergeCell ref="B10:S10"/>
    <mergeCell ref="A12:S12"/>
    <mergeCell ref="L13:L16"/>
    <mergeCell ref="M13:M16"/>
    <mergeCell ref="N13:N16"/>
    <mergeCell ref="O13:S15"/>
    <mergeCell ref="B15:B16"/>
    <mergeCell ref="C15:C16"/>
    <mergeCell ref="D15:D16"/>
    <mergeCell ref="E15:E16"/>
    <mergeCell ref="F15:F16"/>
    <mergeCell ref="G15:G16"/>
    <mergeCell ref="A17:S17"/>
    <mergeCell ref="A20:S20"/>
    <mergeCell ref="A13:A16"/>
    <mergeCell ref="B13:D14"/>
    <mergeCell ref="E13:G14"/>
    <mergeCell ref="H13:H16"/>
    <mergeCell ref="I13:I16"/>
    <mergeCell ref="J13:J16"/>
    <mergeCell ref="K13:K16"/>
  </mergeCells>
  <conditionalFormatting sqref="E18:F19 I18:S19 E22:F22 I22:S22">
    <cfRule type="containsBlanks" dxfId="0" priority="1">
      <formula>LEN(TRIM(E18))=0</formula>
    </cfRule>
  </conditionalFormatting>
  <printOptions/>
  <pageMargins bottom="0.3" footer="0.0" header="0.0" left="0.3" right="0.3" top="0.3"/>
  <pageSetup paperSize="14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18.38"/>
    <col customWidth="1" min="2" max="2" width="8.0"/>
    <col customWidth="1" min="3" max="3" width="8.25"/>
    <col customWidth="1" min="4" max="4" width="8.88"/>
    <col customWidth="1" min="5" max="5" width="8.13"/>
    <col customWidth="1" min="6" max="7" width="7.25"/>
    <col customWidth="1" min="8" max="12" width="8.38"/>
    <col customWidth="1" min="13" max="13" width="8.75"/>
    <col customWidth="1" min="14" max="14" width="7.13"/>
    <col customWidth="1" min="15" max="15" width="8.88"/>
    <col customWidth="1" min="16" max="16" width="9.13"/>
    <col customWidth="1" min="17" max="17" width="10.75"/>
    <col customWidth="1" min="18" max="18" width="9.75"/>
    <col customWidth="1" min="19" max="19" width="10.38"/>
    <col hidden="1" min="20" max="25" width="12.63"/>
  </cols>
  <sheetData>
    <row r="1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15.75" customHeight="1">
      <c r="A4" s="3" t="s">
        <v>0</v>
      </c>
    </row>
    <row r="5" ht="15.75" customHeight="1">
      <c r="A5" s="4" t="s">
        <v>1</v>
      </c>
    </row>
    <row r="6" ht="15.75" customHeight="1">
      <c r="A6" s="4" t="s">
        <v>2</v>
      </c>
    </row>
    <row r="7" ht="15.75" customHeight="1">
      <c r="A7" s="4" t="s">
        <v>3</v>
      </c>
    </row>
    <row r="8" ht="15.75" customHeight="1">
      <c r="A8" s="4" t="s">
        <v>4</v>
      </c>
    </row>
    <row r="9" ht="18.0" customHeight="1">
      <c r="A9" s="145" t="s">
        <v>5</v>
      </c>
      <c r="B9" s="146"/>
      <c r="C9" s="146"/>
      <c r="D9" s="146"/>
      <c r="E9" s="146"/>
      <c r="F9" s="146"/>
      <c r="G9" s="146"/>
      <c r="H9" s="147"/>
      <c r="I9" s="147"/>
      <c r="J9" s="147"/>
      <c r="K9" s="147"/>
      <c r="L9" s="147"/>
      <c r="M9" s="145"/>
      <c r="N9" s="145"/>
      <c r="O9" s="145"/>
      <c r="P9" s="145"/>
      <c r="Q9" s="145"/>
      <c r="R9" s="145"/>
      <c r="S9" s="145"/>
    </row>
    <row r="10" ht="18.0" customHeight="1">
      <c r="A10" s="12" t="s">
        <v>6</v>
      </c>
      <c r="B10" s="13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/>
    </row>
    <row r="11" ht="15.75" customHeight="1">
      <c r="A11" s="105"/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6"/>
      <c r="M11" s="106"/>
      <c r="N11" s="106"/>
      <c r="O11" s="104"/>
      <c r="P11" s="104"/>
      <c r="Q11" s="104"/>
      <c r="R11" s="104"/>
      <c r="S11" s="104"/>
    </row>
    <row r="12" ht="15.75" customHeight="1">
      <c r="A12" s="20" t="s">
        <v>130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/>
    </row>
    <row r="13" ht="15.75" customHeight="1">
      <c r="A13" s="23" t="s">
        <v>9</v>
      </c>
      <c r="B13" s="24" t="s">
        <v>10</v>
      </c>
      <c r="C13" s="25"/>
      <c r="D13" s="26"/>
      <c r="E13" s="24" t="s">
        <v>11</v>
      </c>
      <c r="F13" s="25"/>
      <c r="G13" s="26"/>
      <c r="H13" s="27" t="s">
        <v>12</v>
      </c>
      <c r="I13" s="28" t="s">
        <v>13</v>
      </c>
      <c r="J13" s="28" t="s">
        <v>14</v>
      </c>
      <c r="K13" s="28" t="s">
        <v>15</v>
      </c>
      <c r="L13" s="23" t="s">
        <v>16</v>
      </c>
      <c r="M13" s="28" t="s">
        <v>17</v>
      </c>
      <c r="N13" s="28" t="s">
        <v>18</v>
      </c>
      <c r="O13" s="29" t="s">
        <v>19</v>
      </c>
      <c r="P13" s="25"/>
      <c r="Q13" s="25"/>
      <c r="R13" s="25"/>
      <c r="S13" s="26"/>
    </row>
    <row r="14" ht="15.75" customHeight="1">
      <c r="A14" s="30"/>
      <c r="B14" s="31"/>
      <c r="C14" s="32"/>
      <c r="D14" s="33"/>
      <c r="E14" s="31"/>
      <c r="F14" s="32"/>
      <c r="G14" s="33"/>
      <c r="H14" s="30"/>
      <c r="I14" s="30"/>
      <c r="J14" s="30"/>
      <c r="K14" s="30"/>
      <c r="L14" s="30"/>
      <c r="M14" s="30"/>
      <c r="N14" s="30"/>
      <c r="O14" s="34"/>
      <c r="S14" s="35"/>
    </row>
    <row r="15" ht="15.75" customHeight="1">
      <c r="A15" s="30"/>
      <c r="B15" s="36" t="s">
        <v>20</v>
      </c>
      <c r="C15" s="36" t="s">
        <v>21</v>
      </c>
      <c r="D15" s="36" t="s">
        <v>22</v>
      </c>
      <c r="E15" s="36" t="s">
        <v>20</v>
      </c>
      <c r="F15" s="36" t="s">
        <v>21</v>
      </c>
      <c r="G15" s="36" t="s">
        <v>22</v>
      </c>
      <c r="H15" s="30"/>
      <c r="I15" s="30"/>
      <c r="J15" s="30"/>
      <c r="K15" s="30"/>
      <c r="L15" s="30"/>
      <c r="M15" s="30"/>
      <c r="N15" s="30"/>
      <c r="O15" s="31"/>
      <c r="P15" s="32"/>
      <c r="Q15" s="32"/>
      <c r="R15" s="32"/>
      <c r="S15" s="33"/>
    </row>
    <row r="1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8" t="s">
        <v>23</v>
      </c>
      <c r="P16" s="38" t="s">
        <v>24</v>
      </c>
      <c r="Q16" s="38" t="s">
        <v>25</v>
      </c>
      <c r="R16" s="38" t="s">
        <v>26</v>
      </c>
      <c r="S16" s="38" t="s">
        <v>27</v>
      </c>
    </row>
    <row r="17" ht="15.75" customHeight="1">
      <c r="A17" s="75" t="s">
        <v>42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</row>
    <row r="18" ht="15.75" customHeight="1">
      <c r="A18" s="135" t="s">
        <v>131</v>
      </c>
      <c r="B18" s="168">
        <f>'SHS- CONSO'!B29</f>
        <v>769</v>
      </c>
      <c r="C18" s="168">
        <f>'SHS- CONSO'!C29</f>
        <v>891</v>
      </c>
      <c r="D18" s="42">
        <f t="shared" ref="D18:D19" si="1">SUM(B18:C18)</f>
        <v>1660</v>
      </c>
      <c r="E18" s="141"/>
      <c r="F18" s="141"/>
      <c r="G18" s="42">
        <f t="shared" ref="G18:G19" si="2">SUM(E18:F18)</f>
        <v>0</v>
      </c>
      <c r="H18" s="44" t="s">
        <v>30</v>
      </c>
      <c r="I18" s="169">
        <v>40.0</v>
      </c>
      <c r="J18" s="169"/>
      <c r="K18" s="169"/>
      <c r="L18" s="170"/>
      <c r="M18" s="47">
        <f t="shared" ref="M18:M19" si="3">IFERROR(((L18/I18)*100)," ")</f>
        <v>0</v>
      </c>
      <c r="N18" s="170"/>
      <c r="O18" s="171"/>
      <c r="P18" s="171"/>
      <c r="Q18" s="171"/>
      <c r="R18" s="171"/>
      <c r="S18" s="171"/>
    </row>
    <row r="19" ht="15.75" customHeight="1">
      <c r="A19" s="135" t="s">
        <v>132</v>
      </c>
      <c r="B19" s="130">
        <f>'SHS- CONSO'!B30</f>
        <v>848</v>
      </c>
      <c r="C19" s="130">
        <f>'SHS- CONSO'!C30</f>
        <v>966</v>
      </c>
      <c r="D19" s="42">
        <f t="shared" si="1"/>
        <v>1814</v>
      </c>
      <c r="E19" s="43"/>
      <c r="F19" s="43"/>
      <c r="G19" s="42">
        <f t="shared" si="2"/>
        <v>0</v>
      </c>
      <c r="H19" s="44" t="s">
        <v>30</v>
      </c>
      <c r="I19" s="45">
        <v>40.0</v>
      </c>
      <c r="J19" s="45"/>
      <c r="K19" s="45"/>
      <c r="L19" s="46"/>
      <c r="M19" s="47">
        <f t="shared" si="3"/>
        <v>0</v>
      </c>
      <c r="N19" s="46"/>
      <c r="O19" s="48"/>
      <c r="P19" s="48"/>
      <c r="Q19" s="48"/>
      <c r="R19" s="48"/>
      <c r="S19" s="48"/>
    </row>
    <row r="20" ht="15.75" customHeight="1">
      <c r="A20" s="69" t="s">
        <v>40</v>
      </c>
      <c r="B20" s="70">
        <f t="shared" ref="B20:G20" si="4">SUM(B18:B19)</f>
        <v>1617</v>
      </c>
      <c r="C20" s="70">
        <f t="shared" si="4"/>
        <v>1857</v>
      </c>
      <c r="D20" s="70">
        <f t="shared" si="4"/>
        <v>3474</v>
      </c>
      <c r="E20" s="70">
        <f t="shared" si="4"/>
        <v>0</v>
      </c>
      <c r="F20" s="70">
        <f t="shared" si="4"/>
        <v>0</v>
      </c>
      <c r="G20" s="70">
        <f t="shared" si="4"/>
        <v>0</v>
      </c>
      <c r="H20" s="70"/>
      <c r="I20" s="70">
        <f>AVERAGE(I18:I19)</f>
        <v>40</v>
      </c>
      <c r="J20" s="172" t="str">
        <f t="shared" ref="J20:S20" si="5">IFERROR((AVERAGE(J8:J11,J13:J16,J18:J19)),"")</f>
        <v/>
      </c>
      <c r="K20" s="172" t="str">
        <f t="shared" si="5"/>
        <v/>
      </c>
      <c r="L20" s="172" t="str">
        <f t="shared" si="5"/>
        <v/>
      </c>
      <c r="M20" s="172">
        <f t="shared" si="5"/>
        <v>0</v>
      </c>
      <c r="N20" s="172" t="str">
        <f t="shared" si="5"/>
        <v/>
      </c>
      <c r="O20" s="172" t="str">
        <f t="shared" si="5"/>
        <v/>
      </c>
      <c r="P20" s="172" t="str">
        <f t="shared" si="5"/>
        <v/>
      </c>
      <c r="Q20" s="172" t="str">
        <f t="shared" si="5"/>
        <v/>
      </c>
      <c r="R20" s="172" t="str">
        <f t="shared" si="5"/>
        <v/>
      </c>
      <c r="S20" s="172" t="str">
        <f t="shared" si="5"/>
        <v/>
      </c>
    </row>
    <row r="21" ht="15.75" hidden="1" customHeight="1">
      <c r="A21" s="104"/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38"/>
      <c r="M21" s="138"/>
      <c r="N21" s="138"/>
      <c r="O21" s="104"/>
      <c r="P21" s="104"/>
      <c r="Q21" s="104"/>
      <c r="R21" s="104"/>
      <c r="S21" s="104"/>
    </row>
    <row r="22" ht="15.75" hidden="1" customHeight="1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6"/>
      <c r="M22" s="106"/>
      <c r="N22" s="106"/>
      <c r="O22" s="104"/>
      <c r="P22" s="104"/>
      <c r="Q22" s="104"/>
      <c r="R22" s="104"/>
      <c r="S22" s="104"/>
    </row>
    <row r="23" ht="15.75" hidden="1" customHeight="1"/>
    <row r="24" ht="15.75" hidden="1" customHeight="1"/>
    <row r="25" ht="15.75" hidden="1" customHeight="1"/>
    <row r="26" ht="15.75" hidden="1" customHeight="1"/>
    <row r="27" ht="15.75" hidden="1" customHeight="1"/>
    <row r="28" ht="15.75" hidden="1" customHeight="1"/>
    <row r="29" ht="15.75" hidden="1" customHeight="1"/>
    <row r="30" ht="15.75" hidden="1" customHeight="1"/>
    <row r="31" ht="15.75" hidden="1" customHeight="1"/>
    <row r="32" ht="15.75" hidden="1" customHeight="1"/>
    <row r="33" ht="15.75" hidden="1" customHeight="1"/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</sheetData>
  <mergeCells count="25">
    <mergeCell ref="A4:S4"/>
    <mergeCell ref="A5:S5"/>
    <mergeCell ref="A6:S6"/>
    <mergeCell ref="A7:S7"/>
    <mergeCell ref="A8:S8"/>
    <mergeCell ref="B10:S10"/>
    <mergeCell ref="A12:S12"/>
    <mergeCell ref="L13:L16"/>
    <mergeCell ref="M13:M16"/>
    <mergeCell ref="N13:N16"/>
    <mergeCell ref="O13:S15"/>
    <mergeCell ref="B15:B16"/>
    <mergeCell ref="C15:C16"/>
    <mergeCell ref="D15:D16"/>
    <mergeCell ref="E15:E16"/>
    <mergeCell ref="F15:F16"/>
    <mergeCell ref="G15:G16"/>
    <mergeCell ref="A13:A16"/>
    <mergeCell ref="B13:D14"/>
    <mergeCell ref="E13:G14"/>
    <mergeCell ref="H13:H16"/>
    <mergeCell ref="I13:I16"/>
    <mergeCell ref="J13:J16"/>
    <mergeCell ref="K13:K16"/>
    <mergeCell ref="A17:S17"/>
  </mergeCells>
  <conditionalFormatting sqref="E18:F19 I18:S19">
    <cfRule type="containsBlanks" dxfId="0" priority="1">
      <formula>LEN(TRIM(E18))=0</formula>
    </cfRule>
  </conditionalFormatting>
  <printOptions/>
  <pageMargins bottom="0.3" footer="0.0" header="0.0" left="0.3" right="0.3" top="0.3"/>
  <pageSetup paperSize="14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32.38"/>
    <col customWidth="1" min="2" max="2" width="8.0"/>
    <col customWidth="1" min="3" max="3" width="8.25"/>
    <col customWidth="1" min="4" max="4" width="8.88"/>
    <col customWidth="1" min="5" max="5" width="8.13"/>
    <col customWidth="1" min="6" max="7" width="7.25"/>
    <col customWidth="1" min="8" max="12" width="8.38"/>
    <col customWidth="1" min="13" max="13" width="8.75"/>
    <col customWidth="1" min="14" max="14" width="7.13"/>
    <col customWidth="1" min="15" max="15" width="8.88"/>
    <col customWidth="1" min="16" max="16" width="9.13"/>
    <col customWidth="1" min="17" max="17" width="10.75"/>
    <col customWidth="1" min="18" max="18" width="9.75"/>
    <col customWidth="1" min="19" max="19" width="10.38"/>
    <col hidden="1" min="20" max="26" width="12.63"/>
  </cols>
  <sheetData>
    <row r="1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15.75" customHeight="1">
      <c r="A4" s="3" t="s">
        <v>0</v>
      </c>
    </row>
    <row r="5" ht="15.75" customHeight="1">
      <c r="A5" s="4" t="s">
        <v>1</v>
      </c>
    </row>
    <row r="6" ht="15.75" customHeight="1">
      <c r="A6" s="4" t="s">
        <v>2</v>
      </c>
    </row>
    <row r="7" ht="15.75" customHeight="1">
      <c r="A7" s="4" t="s">
        <v>3</v>
      </c>
    </row>
    <row r="8" ht="15.75" customHeight="1">
      <c r="A8" s="4" t="s">
        <v>4</v>
      </c>
    </row>
    <row r="9" ht="18.0" customHeight="1">
      <c r="A9" s="145" t="s">
        <v>5</v>
      </c>
      <c r="B9" s="146"/>
      <c r="C9" s="146"/>
      <c r="D9" s="146"/>
      <c r="E9" s="146"/>
      <c r="F9" s="146"/>
      <c r="G9" s="146"/>
      <c r="H9" s="147"/>
      <c r="I9" s="147"/>
      <c r="J9" s="147"/>
      <c r="K9" s="147"/>
      <c r="L9" s="147"/>
      <c r="M9" s="145"/>
      <c r="N9" s="145"/>
      <c r="O9" s="145"/>
      <c r="P9" s="145"/>
      <c r="Q9" s="145"/>
      <c r="R9" s="145"/>
      <c r="S9" s="145"/>
    </row>
    <row r="10" ht="18.0" customHeight="1">
      <c r="A10" s="12" t="s">
        <v>6</v>
      </c>
      <c r="B10" s="13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/>
    </row>
    <row r="11" ht="15.75" customHeight="1">
      <c r="A11" s="105"/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6"/>
      <c r="M11" s="106"/>
      <c r="N11" s="106"/>
      <c r="O11" s="104"/>
      <c r="P11" s="104"/>
      <c r="Q11" s="104"/>
      <c r="R11" s="104"/>
      <c r="S11" s="104"/>
    </row>
    <row r="12" ht="15.75" customHeight="1">
      <c r="A12" s="20" t="s">
        <v>133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/>
    </row>
    <row r="13" ht="15.75" customHeight="1">
      <c r="A13" s="23" t="s">
        <v>9</v>
      </c>
      <c r="B13" s="24" t="s">
        <v>10</v>
      </c>
      <c r="C13" s="25"/>
      <c r="D13" s="26"/>
      <c r="E13" s="24" t="s">
        <v>11</v>
      </c>
      <c r="F13" s="25"/>
      <c r="G13" s="26"/>
      <c r="H13" s="27" t="s">
        <v>12</v>
      </c>
      <c r="I13" s="28" t="s">
        <v>13</v>
      </c>
      <c r="J13" s="28" t="s">
        <v>14</v>
      </c>
      <c r="K13" s="28" t="s">
        <v>15</v>
      </c>
      <c r="L13" s="23" t="s">
        <v>16</v>
      </c>
      <c r="M13" s="28" t="s">
        <v>17</v>
      </c>
      <c r="N13" s="28" t="s">
        <v>18</v>
      </c>
      <c r="O13" s="29" t="s">
        <v>19</v>
      </c>
      <c r="P13" s="25"/>
      <c r="Q13" s="25"/>
      <c r="R13" s="25"/>
      <c r="S13" s="26"/>
    </row>
    <row r="14" ht="15.75" customHeight="1">
      <c r="A14" s="30"/>
      <c r="B14" s="31"/>
      <c r="C14" s="32"/>
      <c r="D14" s="33"/>
      <c r="E14" s="31"/>
      <c r="F14" s="32"/>
      <c r="G14" s="33"/>
      <c r="H14" s="30"/>
      <c r="I14" s="30"/>
      <c r="J14" s="30"/>
      <c r="K14" s="30"/>
      <c r="L14" s="30"/>
      <c r="M14" s="30"/>
      <c r="N14" s="30"/>
      <c r="O14" s="34"/>
      <c r="S14" s="35"/>
    </row>
    <row r="15" ht="15.75" customHeight="1">
      <c r="A15" s="30"/>
      <c r="B15" s="36" t="s">
        <v>20</v>
      </c>
      <c r="C15" s="36" t="s">
        <v>21</v>
      </c>
      <c r="D15" s="36" t="s">
        <v>22</v>
      </c>
      <c r="E15" s="36" t="s">
        <v>20</v>
      </c>
      <c r="F15" s="36" t="s">
        <v>21</v>
      </c>
      <c r="G15" s="36" t="s">
        <v>22</v>
      </c>
      <c r="H15" s="30"/>
      <c r="I15" s="30"/>
      <c r="J15" s="30"/>
      <c r="K15" s="30"/>
      <c r="L15" s="30"/>
      <c r="M15" s="30"/>
      <c r="N15" s="30"/>
      <c r="O15" s="31"/>
      <c r="P15" s="32"/>
      <c r="Q15" s="32"/>
      <c r="R15" s="32"/>
      <c r="S15" s="33"/>
    </row>
    <row r="1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8" t="s">
        <v>23</v>
      </c>
      <c r="P16" s="38" t="s">
        <v>24</v>
      </c>
      <c r="Q16" s="38" t="s">
        <v>25</v>
      </c>
      <c r="R16" s="38" t="s">
        <v>26</v>
      </c>
      <c r="S16" s="38" t="s">
        <v>27</v>
      </c>
    </row>
    <row r="17" ht="15.75" customHeight="1">
      <c r="A17" s="75" t="s">
        <v>42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</row>
    <row r="18" ht="15.75" customHeight="1">
      <c r="A18" s="173" t="s">
        <v>134</v>
      </c>
      <c r="B18" s="125">
        <f>'SHS- CONSO'!B19</f>
        <v>169</v>
      </c>
      <c r="C18" s="125">
        <f>'SHS- CONSO'!C19</f>
        <v>181</v>
      </c>
      <c r="D18" s="42">
        <f t="shared" ref="D18:D21" si="1">SUM(B18:C18)</f>
        <v>350</v>
      </c>
      <c r="E18" s="65">
        <v>170.0</v>
      </c>
      <c r="F18" s="65">
        <v>181.0</v>
      </c>
      <c r="G18" s="42">
        <f t="shared" ref="G18:G21" si="2">SUM(E18:F18)</f>
        <v>351</v>
      </c>
      <c r="H18" s="44" t="s">
        <v>30</v>
      </c>
      <c r="I18" s="148">
        <v>40.0</v>
      </c>
      <c r="J18" s="148">
        <v>40.0</v>
      </c>
      <c r="K18" s="148">
        <v>10.0</v>
      </c>
      <c r="L18" s="66">
        <v>25.24</v>
      </c>
      <c r="M18" s="47">
        <f t="shared" ref="M18:M21" si="3">IFERROR(((L18/I18)*100)," ")</f>
        <v>63.1</v>
      </c>
      <c r="N18" s="149">
        <v>4.4</v>
      </c>
      <c r="O18" s="48">
        <v>29.0</v>
      </c>
      <c r="P18" s="48">
        <v>6.0</v>
      </c>
      <c r="Q18" s="48">
        <v>13.0</v>
      </c>
      <c r="R18" s="48">
        <v>4.0</v>
      </c>
      <c r="S18" s="48">
        <v>27.0</v>
      </c>
    </row>
    <row r="19" ht="15.75" customHeight="1">
      <c r="A19" s="135" t="s">
        <v>60</v>
      </c>
      <c r="B19" s="130">
        <f>'SHS- CONSO'!B20</f>
        <v>87</v>
      </c>
      <c r="C19" s="130">
        <f>'SHS- CONSO'!C20</f>
        <v>65</v>
      </c>
      <c r="D19" s="42">
        <f t="shared" si="1"/>
        <v>152</v>
      </c>
      <c r="E19" s="43">
        <v>587.0</v>
      </c>
      <c r="F19" s="43">
        <v>483.0</v>
      </c>
      <c r="G19" s="42">
        <f t="shared" si="2"/>
        <v>1070</v>
      </c>
      <c r="H19" s="44" t="s">
        <v>30</v>
      </c>
      <c r="I19" s="45">
        <v>40.0</v>
      </c>
      <c r="J19" s="45">
        <v>33.0</v>
      </c>
      <c r="K19" s="45">
        <v>6.0</v>
      </c>
      <c r="L19" s="46">
        <v>16.32</v>
      </c>
      <c r="M19" s="47">
        <f t="shared" si="3"/>
        <v>40.8</v>
      </c>
      <c r="N19" s="46">
        <v>4.6</v>
      </c>
      <c r="O19" s="48">
        <v>21.0</v>
      </c>
      <c r="P19" s="48">
        <v>13.0</v>
      </c>
      <c r="Q19" s="48">
        <v>16.0</v>
      </c>
      <c r="R19" s="48">
        <v>31.0</v>
      </c>
      <c r="S19" s="48">
        <v>8.0</v>
      </c>
    </row>
    <row r="20" ht="15.75" customHeight="1">
      <c r="A20" s="135" t="s">
        <v>59</v>
      </c>
      <c r="B20" s="125">
        <f>'SHS- CONSO'!B21</f>
        <v>634</v>
      </c>
      <c r="C20" s="125">
        <f>'SHS- CONSO'!C21</f>
        <v>556</v>
      </c>
      <c r="D20" s="42">
        <f t="shared" si="1"/>
        <v>1190</v>
      </c>
      <c r="E20" s="65">
        <v>87.0</v>
      </c>
      <c r="F20" s="43">
        <v>64.0</v>
      </c>
      <c r="G20" s="42">
        <f t="shared" si="2"/>
        <v>151</v>
      </c>
      <c r="H20" s="44" t="s">
        <v>30</v>
      </c>
      <c r="I20" s="148">
        <v>40.0</v>
      </c>
      <c r="J20" s="148">
        <v>36.0</v>
      </c>
      <c r="K20" s="148">
        <v>7.0</v>
      </c>
      <c r="L20" s="66">
        <v>24.17</v>
      </c>
      <c r="M20" s="47">
        <f t="shared" si="3"/>
        <v>60.425</v>
      </c>
      <c r="N20" s="149">
        <v>5.02</v>
      </c>
      <c r="O20" s="48">
        <v>6.0</v>
      </c>
      <c r="P20" s="48">
        <v>21.0</v>
      </c>
      <c r="Q20" s="48">
        <v>17.0</v>
      </c>
      <c r="R20" s="48">
        <v>24.0</v>
      </c>
      <c r="S20" s="48">
        <v>7.0</v>
      </c>
    </row>
    <row r="21" ht="15.75" customHeight="1">
      <c r="A21" s="135" t="s">
        <v>68</v>
      </c>
      <c r="B21" s="125">
        <f>'SHS- CONSO'!B31</f>
        <v>600</v>
      </c>
      <c r="C21" s="125">
        <f>'SHS- CONSO'!C31</f>
        <v>710</v>
      </c>
      <c r="D21" s="42">
        <f t="shared" si="1"/>
        <v>1310</v>
      </c>
      <c r="E21" s="65">
        <v>600.0</v>
      </c>
      <c r="F21" s="43">
        <v>710.0</v>
      </c>
      <c r="G21" s="42">
        <f t="shared" si="2"/>
        <v>1310</v>
      </c>
      <c r="H21" s="44" t="s">
        <v>30</v>
      </c>
      <c r="I21" s="148">
        <v>40.0</v>
      </c>
      <c r="J21" s="148">
        <v>40.0</v>
      </c>
      <c r="K21" s="148">
        <v>6.0</v>
      </c>
      <c r="L21" s="66">
        <v>20.67</v>
      </c>
      <c r="M21" s="47">
        <f t="shared" si="3"/>
        <v>51.675</v>
      </c>
      <c r="N21" s="149">
        <v>5.77</v>
      </c>
      <c r="O21" s="48">
        <v>32.0</v>
      </c>
      <c r="P21" s="48">
        <v>15.0</v>
      </c>
      <c r="Q21" s="48">
        <v>26.0</v>
      </c>
      <c r="R21" s="48">
        <v>24.0</v>
      </c>
      <c r="S21" s="48">
        <v>25.0</v>
      </c>
    </row>
    <row r="22" ht="15.75" customHeight="1">
      <c r="A22" s="39" t="s">
        <v>28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2"/>
      <c r="T22" s="174"/>
      <c r="U22" s="174"/>
      <c r="V22" s="174"/>
      <c r="W22" s="174"/>
      <c r="X22" s="174"/>
      <c r="Y22" s="174"/>
      <c r="Z22" s="174"/>
    </row>
    <row r="23" ht="15.75" customHeight="1">
      <c r="A23" s="175" t="s">
        <v>50</v>
      </c>
      <c r="B23" s="176">
        <f>'SHS- CONSO'!B44</f>
        <v>1709</v>
      </c>
      <c r="C23" s="176">
        <f>'SHS- CONSO'!C44</f>
        <v>1684</v>
      </c>
      <c r="D23" s="177">
        <f>SUM(B23:C23)</f>
        <v>3393</v>
      </c>
      <c r="E23" s="64">
        <v>332.0</v>
      </c>
      <c r="F23" s="64">
        <v>337.0</v>
      </c>
      <c r="G23" s="177">
        <f>sum(E23:F23)</f>
        <v>669</v>
      </c>
      <c r="H23" s="44" t="s">
        <v>30</v>
      </c>
      <c r="I23" s="64">
        <v>40.0</v>
      </c>
      <c r="J23" s="64">
        <v>40.0</v>
      </c>
      <c r="K23" s="64">
        <v>7.0</v>
      </c>
      <c r="L23" s="178">
        <v>29.08</v>
      </c>
      <c r="M23" s="47">
        <f>IFERROR(((L23/I23)*100)," ")</f>
        <v>72.7</v>
      </c>
      <c r="N23" s="64">
        <v>7.53</v>
      </c>
      <c r="O23" s="64">
        <v>10.0</v>
      </c>
      <c r="P23" s="64">
        <v>8.0</v>
      </c>
      <c r="Q23" s="64">
        <v>11.0</v>
      </c>
      <c r="R23" s="64">
        <v>5.0</v>
      </c>
      <c r="S23" s="64">
        <v>39.0</v>
      </c>
      <c r="T23" s="174"/>
      <c r="U23" s="174"/>
      <c r="V23" s="174"/>
      <c r="W23" s="174"/>
      <c r="X23" s="174"/>
      <c r="Y23" s="174"/>
      <c r="Z23" s="174"/>
    </row>
    <row r="24" ht="15.75" customHeight="1">
      <c r="A24" s="50" t="s">
        <v>31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2"/>
    </row>
    <row r="25" ht="15.75" customHeight="1">
      <c r="A25" s="135" t="s">
        <v>84</v>
      </c>
      <c r="B25" s="125">
        <f>'SHS- CONSO'!B77</f>
        <v>332</v>
      </c>
      <c r="C25" s="125">
        <f>'SHS- CONSO'!C77</f>
        <v>337</v>
      </c>
      <c r="D25" s="42">
        <f t="shared" ref="D25:D30" si="4">SUM(B25:C25)</f>
        <v>669</v>
      </c>
      <c r="E25" s="65">
        <v>326.0</v>
      </c>
      <c r="F25" s="43">
        <v>333.0</v>
      </c>
      <c r="G25" s="42">
        <f t="shared" ref="G25:G30" si="5">SUM(E25:F25)</f>
        <v>659</v>
      </c>
      <c r="H25" s="44" t="s">
        <v>30</v>
      </c>
      <c r="I25" s="148">
        <v>40.0</v>
      </c>
      <c r="J25" s="148">
        <v>40.0</v>
      </c>
      <c r="K25" s="148">
        <v>6.0</v>
      </c>
      <c r="L25" s="66">
        <v>26.15</v>
      </c>
      <c r="M25" s="47">
        <f t="shared" ref="M25:M29" si="6">IFERROR(((L25/I25)*100)," ")</f>
        <v>65.375</v>
      </c>
      <c r="N25" s="149">
        <v>7.13</v>
      </c>
      <c r="O25" s="48">
        <v>15.0</v>
      </c>
      <c r="P25" s="48">
        <v>20.0</v>
      </c>
      <c r="Q25" s="48">
        <v>19.0</v>
      </c>
      <c r="R25" s="48">
        <v>30.0</v>
      </c>
      <c r="S25" s="48">
        <v>25.0</v>
      </c>
    </row>
    <row r="26" ht="15.75" hidden="1" customHeight="1">
      <c r="A26" s="135" t="s">
        <v>85</v>
      </c>
      <c r="B26" s="125">
        <f>'SHS- CONSO'!B78</f>
        <v>0</v>
      </c>
      <c r="C26" s="125">
        <f>'SHS- CONSO'!C78</f>
        <v>0</v>
      </c>
      <c r="D26" s="42">
        <f t="shared" si="4"/>
        <v>0</v>
      </c>
      <c r="E26" s="52"/>
      <c r="F26" s="41"/>
      <c r="G26" s="42">
        <f t="shared" si="5"/>
        <v>0</v>
      </c>
      <c r="H26" s="44" t="s">
        <v>30</v>
      </c>
      <c r="I26" s="151">
        <f>'SHS- CONSO'!I78</f>
        <v>40</v>
      </c>
      <c r="J26" s="151"/>
      <c r="K26" s="151"/>
      <c r="L26" s="55"/>
      <c r="M26" s="47">
        <f t="shared" si="6"/>
        <v>0</v>
      </c>
      <c r="N26" s="152"/>
      <c r="O26" s="68"/>
      <c r="P26" s="68"/>
      <c r="Q26" s="68"/>
      <c r="R26" s="68"/>
      <c r="S26" s="68"/>
    </row>
    <row r="27" ht="15.75" customHeight="1">
      <c r="A27" s="135" t="s">
        <v>86</v>
      </c>
      <c r="B27" s="125">
        <f>'SHS- CONSO'!B79</f>
        <v>256</v>
      </c>
      <c r="C27" s="125">
        <f>'SHS- CONSO'!C79</f>
        <v>246</v>
      </c>
      <c r="D27" s="42">
        <f t="shared" si="4"/>
        <v>502</v>
      </c>
      <c r="E27" s="65">
        <v>256.0</v>
      </c>
      <c r="F27" s="43">
        <v>250.0</v>
      </c>
      <c r="G27" s="42">
        <f t="shared" si="5"/>
        <v>506</v>
      </c>
      <c r="H27" s="44" t="s">
        <v>30</v>
      </c>
      <c r="I27" s="148">
        <v>40.0</v>
      </c>
      <c r="J27" s="148">
        <v>40.0</v>
      </c>
      <c r="K27" s="148">
        <v>7.0</v>
      </c>
      <c r="L27" s="66">
        <v>19.28</v>
      </c>
      <c r="M27" s="47">
        <f t="shared" si="6"/>
        <v>48.2</v>
      </c>
      <c r="N27" s="149">
        <v>4.87</v>
      </c>
      <c r="O27" s="48">
        <v>3.0</v>
      </c>
      <c r="P27" s="48">
        <v>10.0</v>
      </c>
      <c r="Q27" s="48">
        <v>32.0</v>
      </c>
      <c r="R27" s="48">
        <v>12.0</v>
      </c>
      <c r="S27" s="48">
        <v>35.0</v>
      </c>
    </row>
    <row r="28" ht="15.75" hidden="1" customHeight="1">
      <c r="A28" s="135" t="s">
        <v>87</v>
      </c>
      <c r="B28" s="125">
        <f>'SHS- CONSO'!B80</f>
        <v>0</v>
      </c>
      <c r="C28" s="125">
        <f>'SHS- CONSO'!C80</f>
        <v>0</v>
      </c>
      <c r="D28" s="42">
        <f t="shared" si="4"/>
        <v>0</v>
      </c>
      <c r="E28" s="52"/>
      <c r="F28" s="41"/>
      <c r="G28" s="42">
        <f t="shared" si="5"/>
        <v>0</v>
      </c>
      <c r="H28" s="44" t="s">
        <v>30</v>
      </c>
      <c r="I28" s="151">
        <f>'SHS- CONSO'!I80</f>
        <v>40</v>
      </c>
      <c r="J28" s="151"/>
      <c r="K28" s="151"/>
      <c r="L28" s="55"/>
      <c r="M28" s="47">
        <f t="shared" si="6"/>
        <v>0</v>
      </c>
      <c r="N28" s="152"/>
      <c r="O28" s="68"/>
      <c r="P28" s="68"/>
      <c r="Q28" s="68"/>
      <c r="R28" s="68"/>
      <c r="S28" s="68"/>
    </row>
    <row r="29" ht="15.75" customHeight="1">
      <c r="A29" s="135" t="s">
        <v>88</v>
      </c>
      <c r="B29" s="125">
        <f>'SHS- CONSO'!B81</f>
        <v>332</v>
      </c>
      <c r="C29" s="125">
        <f>'SHS- CONSO'!C81</f>
        <v>337</v>
      </c>
      <c r="D29" s="42">
        <f t="shared" si="4"/>
        <v>669</v>
      </c>
      <c r="E29" s="153">
        <v>332.0</v>
      </c>
      <c r="F29" s="153">
        <v>337.0</v>
      </c>
      <c r="G29" s="42">
        <f t="shared" si="5"/>
        <v>669</v>
      </c>
      <c r="H29" s="44" t="s">
        <v>30</v>
      </c>
      <c r="I29" s="148">
        <v>40.0</v>
      </c>
      <c r="J29" s="148">
        <v>39.0</v>
      </c>
      <c r="K29" s="148">
        <v>7.0</v>
      </c>
      <c r="L29" s="66">
        <v>24.9</v>
      </c>
      <c r="M29" s="47">
        <f t="shared" si="6"/>
        <v>62.25</v>
      </c>
      <c r="N29" s="149">
        <v>6.28</v>
      </c>
      <c r="O29" s="48">
        <v>26.0</v>
      </c>
      <c r="P29" s="48">
        <v>16.0</v>
      </c>
      <c r="Q29" s="48">
        <v>29.0</v>
      </c>
      <c r="R29" s="48">
        <v>35.0</v>
      </c>
      <c r="S29" s="48">
        <v>11.0</v>
      </c>
    </row>
    <row r="30" ht="15.75" hidden="1" customHeight="1">
      <c r="A30" s="135" t="s">
        <v>89</v>
      </c>
      <c r="B30" s="125">
        <f>'SHS- CONSO'!B82</f>
        <v>0</v>
      </c>
      <c r="C30" s="125">
        <f>'SHS- CONSO'!C82</f>
        <v>0</v>
      </c>
      <c r="D30" s="42">
        <f t="shared" si="4"/>
        <v>0</v>
      </c>
      <c r="E30" s="52"/>
      <c r="F30" s="41"/>
      <c r="G30" s="42">
        <f t="shared" si="5"/>
        <v>0</v>
      </c>
      <c r="H30" s="158"/>
      <c r="I30" s="151" t="str">
        <f>'SHS- CONSO'!I82</f>
        <v/>
      </c>
      <c r="J30" s="151"/>
      <c r="K30" s="151"/>
      <c r="L30" s="55"/>
      <c r="M30" s="152"/>
      <c r="N30" s="152"/>
      <c r="O30" s="68"/>
      <c r="P30" s="68"/>
      <c r="Q30" s="68"/>
      <c r="R30" s="68"/>
      <c r="S30" s="68"/>
    </row>
    <row r="31" ht="15.75" customHeight="1">
      <c r="A31" s="69" t="s">
        <v>40</v>
      </c>
      <c r="B31" s="70">
        <f t="shared" ref="B31:G31" si="7">SUM(B18:B30)</f>
        <v>4119</v>
      </c>
      <c r="C31" s="70">
        <f t="shared" si="7"/>
        <v>4116</v>
      </c>
      <c r="D31" s="70">
        <f t="shared" si="7"/>
        <v>8235</v>
      </c>
      <c r="E31" s="70">
        <f t="shared" si="7"/>
        <v>2690</v>
      </c>
      <c r="F31" s="70">
        <f t="shared" si="7"/>
        <v>2695</v>
      </c>
      <c r="G31" s="70">
        <f t="shared" si="7"/>
        <v>5385</v>
      </c>
      <c r="H31" s="71"/>
      <c r="I31" s="71">
        <f>AVERAGE(I18:I30)</f>
        <v>40</v>
      </c>
      <c r="J31" s="172">
        <f t="shared" ref="J31:S31" si="8">IFERROR((AVERAGE(J17:J20,J24:J27,J29:J30)),"")</f>
        <v>38</v>
      </c>
      <c r="K31" s="172">
        <f t="shared" si="8"/>
        <v>7.166666667</v>
      </c>
      <c r="L31" s="172">
        <f t="shared" si="8"/>
        <v>22.67666667</v>
      </c>
      <c r="M31" s="172">
        <f t="shared" si="8"/>
        <v>48.59285714</v>
      </c>
      <c r="N31" s="172">
        <f t="shared" si="8"/>
        <v>5.383333333</v>
      </c>
      <c r="O31" s="172">
        <f t="shared" si="8"/>
        <v>16.66666667</v>
      </c>
      <c r="P31" s="172">
        <f t="shared" si="8"/>
        <v>14.33333333</v>
      </c>
      <c r="Q31" s="172">
        <f t="shared" si="8"/>
        <v>21</v>
      </c>
      <c r="R31" s="172">
        <f t="shared" si="8"/>
        <v>22.66666667</v>
      </c>
      <c r="S31" s="172">
        <f t="shared" si="8"/>
        <v>18.83333333</v>
      </c>
    </row>
    <row r="32" ht="15.75" hidden="1" customHeight="1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</row>
    <row r="33" ht="15.75" hidden="1" customHeight="1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6"/>
      <c r="M33" s="106"/>
      <c r="N33" s="106"/>
      <c r="O33" s="104"/>
      <c r="P33" s="104"/>
      <c r="Q33" s="104"/>
      <c r="R33" s="104"/>
      <c r="S33" s="104"/>
    </row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</sheetData>
  <mergeCells count="27">
    <mergeCell ref="A4:S4"/>
    <mergeCell ref="A5:S5"/>
    <mergeCell ref="A6:S6"/>
    <mergeCell ref="A7:S7"/>
    <mergeCell ref="A8:S8"/>
    <mergeCell ref="B10:S10"/>
    <mergeCell ref="A12:S12"/>
    <mergeCell ref="L13:L16"/>
    <mergeCell ref="M13:M16"/>
    <mergeCell ref="N13:N16"/>
    <mergeCell ref="O13:S15"/>
    <mergeCell ref="B15:B16"/>
    <mergeCell ref="C15:C16"/>
    <mergeCell ref="D15:D16"/>
    <mergeCell ref="E15:E16"/>
    <mergeCell ref="F15:F16"/>
    <mergeCell ref="G15:G16"/>
    <mergeCell ref="A17:S17"/>
    <mergeCell ref="A22:S22"/>
    <mergeCell ref="A24:S24"/>
    <mergeCell ref="A13:A16"/>
    <mergeCell ref="B13:D14"/>
    <mergeCell ref="E13:G14"/>
    <mergeCell ref="H13:H16"/>
    <mergeCell ref="I13:I16"/>
    <mergeCell ref="J13:J16"/>
    <mergeCell ref="K13:K16"/>
  </mergeCells>
  <conditionalFormatting sqref="E18:F21 I18:S21 E23:F23 I23:S23 E25:F29 I25:S29">
    <cfRule type="containsBlanks" dxfId="0" priority="1">
      <formula>LEN(TRIM(E18))=0</formula>
    </cfRule>
  </conditionalFormatting>
  <printOptions/>
  <pageMargins bottom="0.3" footer="0.0" header="0.0" left="0.3" right="0.3" top="0.3"/>
  <pageSetup paperSize="14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43.88"/>
    <col customWidth="1" min="2" max="2" width="8.0"/>
    <col customWidth="1" min="3" max="3" width="8.25"/>
    <col customWidth="1" min="4" max="4" width="8.88"/>
    <col customWidth="1" min="5" max="5" width="8.13"/>
    <col customWidth="1" min="6" max="7" width="7.25"/>
    <col customWidth="1" min="8" max="12" width="8.38"/>
    <col customWidth="1" min="13" max="13" width="8.75"/>
    <col customWidth="1" min="14" max="14" width="7.13"/>
    <col customWidth="1" min="15" max="15" width="8.88"/>
    <col customWidth="1" min="16" max="16" width="9.13"/>
    <col customWidth="1" min="17" max="17" width="10.75"/>
    <col customWidth="1" min="18" max="18" width="9.75"/>
    <col customWidth="1" min="19" max="19" width="10.38"/>
    <col hidden="1" min="20" max="25" width="12.63"/>
  </cols>
  <sheetData>
    <row r="1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15.75" customHeight="1">
      <c r="A4" s="3" t="s">
        <v>0</v>
      </c>
    </row>
    <row r="5" ht="15.75" customHeight="1">
      <c r="A5" s="4" t="s">
        <v>1</v>
      </c>
    </row>
    <row r="6" ht="15.75" customHeight="1">
      <c r="A6" s="4" t="s">
        <v>2</v>
      </c>
    </row>
    <row r="7" ht="15.75" customHeight="1">
      <c r="A7" s="4" t="s">
        <v>3</v>
      </c>
    </row>
    <row r="8" ht="15.75" customHeight="1">
      <c r="A8" s="4" t="s">
        <v>4</v>
      </c>
    </row>
    <row r="9" ht="18.0" customHeight="1">
      <c r="A9" s="145" t="s">
        <v>5</v>
      </c>
      <c r="B9" s="146"/>
      <c r="C9" s="146"/>
      <c r="D9" s="146"/>
      <c r="E9" s="146"/>
      <c r="F9" s="146"/>
      <c r="G9" s="146"/>
      <c r="H9" s="147"/>
      <c r="I9" s="147"/>
      <c r="J9" s="147"/>
      <c r="K9" s="147"/>
      <c r="L9" s="147"/>
      <c r="M9" s="145"/>
      <c r="N9" s="145"/>
      <c r="O9" s="145"/>
      <c r="P9" s="145"/>
      <c r="Q9" s="145"/>
      <c r="R9" s="145"/>
      <c r="S9" s="145"/>
    </row>
    <row r="10" ht="18.0" customHeight="1">
      <c r="A10" s="12" t="s">
        <v>6</v>
      </c>
      <c r="B10" s="13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/>
    </row>
    <row r="11" ht="15.75" customHeight="1">
      <c r="A11" s="105"/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6"/>
      <c r="M11" s="106"/>
      <c r="N11" s="106"/>
      <c r="O11" s="104"/>
      <c r="P11" s="104"/>
      <c r="Q11" s="104"/>
      <c r="R11" s="104"/>
      <c r="S11" s="104"/>
    </row>
    <row r="12" ht="15.75" customHeight="1">
      <c r="A12" s="20" t="s">
        <v>135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/>
    </row>
    <row r="13" ht="15.75" customHeight="1">
      <c r="A13" s="23" t="s">
        <v>9</v>
      </c>
      <c r="B13" s="24" t="s">
        <v>10</v>
      </c>
      <c r="C13" s="25"/>
      <c r="D13" s="26"/>
      <c r="E13" s="24" t="s">
        <v>11</v>
      </c>
      <c r="F13" s="25"/>
      <c r="G13" s="26"/>
      <c r="H13" s="27" t="s">
        <v>12</v>
      </c>
      <c r="I13" s="28" t="s">
        <v>13</v>
      </c>
      <c r="J13" s="28" t="s">
        <v>14</v>
      </c>
      <c r="K13" s="28" t="s">
        <v>15</v>
      </c>
      <c r="L13" s="23" t="s">
        <v>16</v>
      </c>
      <c r="M13" s="28" t="s">
        <v>17</v>
      </c>
      <c r="N13" s="28" t="s">
        <v>18</v>
      </c>
      <c r="O13" s="29" t="s">
        <v>19</v>
      </c>
      <c r="P13" s="25"/>
      <c r="Q13" s="25"/>
      <c r="R13" s="25"/>
      <c r="S13" s="26"/>
    </row>
    <row r="14" ht="15.75" customHeight="1">
      <c r="A14" s="30"/>
      <c r="B14" s="31"/>
      <c r="C14" s="32"/>
      <c r="D14" s="33"/>
      <c r="E14" s="31"/>
      <c r="F14" s="32"/>
      <c r="G14" s="33"/>
      <c r="H14" s="30"/>
      <c r="I14" s="30"/>
      <c r="J14" s="30"/>
      <c r="K14" s="30"/>
      <c r="L14" s="30"/>
      <c r="M14" s="30"/>
      <c r="N14" s="30"/>
      <c r="O14" s="34"/>
      <c r="S14" s="35"/>
    </row>
    <row r="15" ht="15.75" customHeight="1">
      <c r="A15" s="30"/>
      <c r="B15" s="36" t="s">
        <v>20</v>
      </c>
      <c r="C15" s="36" t="s">
        <v>21</v>
      </c>
      <c r="D15" s="36" t="s">
        <v>22</v>
      </c>
      <c r="E15" s="36" t="s">
        <v>20</v>
      </c>
      <c r="F15" s="36" t="s">
        <v>21</v>
      </c>
      <c r="G15" s="36" t="s">
        <v>22</v>
      </c>
      <c r="H15" s="30"/>
      <c r="I15" s="30"/>
      <c r="J15" s="30"/>
      <c r="K15" s="30"/>
      <c r="L15" s="30"/>
      <c r="M15" s="30"/>
      <c r="N15" s="30"/>
      <c r="O15" s="31"/>
      <c r="P15" s="32"/>
      <c r="Q15" s="32"/>
      <c r="R15" s="32"/>
      <c r="S15" s="33"/>
    </row>
    <row r="1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8" t="s">
        <v>23</v>
      </c>
      <c r="P16" s="38" t="s">
        <v>24</v>
      </c>
      <c r="Q16" s="38" t="s">
        <v>25</v>
      </c>
      <c r="R16" s="38" t="s">
        <v>26</v>
      </c>
      <c r="S16" s="38" t="s">
        <v>27</v>
      </c>
    </row>
    <row r="17" ht="15.75" customHeight="1">
      <c r="A17" s="39" t="s">
        <v>28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</row>
    <row r="18" ht="15.75" customHeight="1">
      <c r="A18" s="179" t="s">
        <v>71</v>
      </c>
      <c r="B18" s="180">
        <f>'SHS- CONSO'!B42</f>
        <v>861</v>
      </c>
      <c r="C18" s="180">
        <f>'SHS- CONSO'!C42</f>
        <v>718</v>
      </c>
      <c r="D18" s="181">
        <f>SUM(B18:C18)</f>
        <v>1579</v>
      </c>
      <c r="E18" s="80">
        <v>825.0</v>
      </c>
      <c r="F18" s="182">
        <v>690.0</v>
      </c>
      <c r="G18" s="183">
        <f>SUM(E18:F18)</f>
        <v>1515</v>
      </c>
      <c r="H18" s="44" t="s">
        <v>30</v>
      </c>
      <c r="I18" s="184">
        <v>40.0</v>
      </c>
      <c r="J18" s="184">
        <v>39.0</v>
      </c>
      <c r="K18" s="184">
        <v>6.0</v>
      </c>
      <c r="L18" s="83">
        <v>22.53</v>
      </c>
      <c r="M18" s="47">
        <f>IFERROR(((L18/I18)*100)," ")</f>
        <v>56.325</v>
      </c>
      <c r="N18" s="185">
        <v>5.74</v>
      </c>
      <c r="O18" s="49">
        <v>27.0</v>
      </c>
      <c r="P18" s="49">
        <v>17.0</v>
      </c>
      <c r="Q18" s="49">
        <v>29.0</v>
      </c>
      <c r="R18" s="49">
        <v>23.0</v>
      </c>
      <c r="S18" s="49">
        <v>15.0</v>
      </c>
    </row>
    <row r="19" ht="15.75" customHeight="1">
      <c r="A19" s="50" t="s">
        <v>31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2"/>
    </row>
    <row r="20" ht="15.75" customHeight="1">
      <c r="A20" s="135" t="s">
        <v>92</v>
      </c>
      <c r="B20" s="153">
        <f>'SHS- CONSO'!B86</f>
        <v>131</v>
      </c>
      <c r="C20" s="153">
        <f>'SHS- CONSO'!C86</f>
        <v>6</v>
      </c>
      <c r="D20" s="42">
        <f t="shared" ref="D20:D47" si="1">SUM(B20:C20)</f>
        <v>137</v>
      </c>
      <c r="E20" s="65">
        <v>123.0</v>
      </c>
      <c r="F20" s="43">
        <v>4.0</v>
      </c>
      <c r="G20" s="42">
        <f t="shared" ref="G20:G47" si="2">SUM(E20:F20)</f>
        <v>127</v>
      </c>
      <c r="H20" s="44" t="s">
        <v>30</v>
      </c>
      <c r="I20" s="148">
        <v>40.0</v>
      </c>
      <c r="J20" s="148">
        <v>39.0</v>
      </c>
      <c r="K20" s="148">
        <v>7.0</v>
      </c>
      <c r="L20" s="66">
        <v>23.68</v>
      </c>
      <c r="M20" s="47">
        <f t="shared" ref="M20:M46" si="3">IFERROR(((L20/I20)*100)," ")</f>
        <v>59.2</v>
      </c>
      <c r="N20" s="149">
        <v>6.36</v>
      </c>
      <c r="O20" s="164">
        <v>8.0</v>
      </c>
      <c r="P20" s="164">
        <v>14.0</v>
      </c>
      <c r="Q20" s="164">
        <v>40.0</v>
      </c>
      <c r="R20" s="164">
        <v>22.0</v>
      </c>
      <c r="S20" s="164">
        <v>23.0</v>
      </c>
    </row>
    <row r="21" ht="15.75" hidden="1" customHeight="1">
      <c r="A21" s="135" t="s">
        <v>93</v>
      </c>
      <c r="B21" s="153" t="s">
        <v>30</v>
      </c>
      <c r="C21" s="153" t="s">
        <v>30</v>
      </c>
      <c r="D21" s="42">
        <f t="shared" si="1"/>
        <v>0</v>
      </c>
      <c r="E21" s="52"/>
      <c r="F21" s="41"/>
      <c r="G21" s="42">
        <f t="shared" si="2"/>
        <v>0</v>
      </c>
      <c r="H21" s="44" t="s">
        <v>30</v>
      </c>
      <c r="I21" s="151">
        <f>'SHS- CONSO'!I87</f>
        <v>40</v>
      </c>
      <c r="J21" s="151"/>
      <c r="K21" s="151"/>
      <c r="L21" s="55"/>
      <c r="M21" s="47">
        <f t="shared" si="3"/>
        <v>0</v>
      </c>
      <c r="N21" s="152"/>
      <c r="O21" s="68"/>
      <c r="P21" s="68"/>
      <c r="Q21" s="68"/>
      <c r="R21" s="68"/>
      <c r="S21" s="68"/>
    </row>
    <row r="22" ht="15.75" customHeight="1">
      <c r="A22" s="135" t="s">
        <v>94</v>
      </c>
      <c r="B22" s="153">
        <f>'SHS- CONSO'!B88</f>
        <v>194</v>
      </c>
      <c r="C22" s="153">
        <f>'SHS- CONSO'!C88</f>
        <v>2</v>
      </c>
      <c r="D22" s="42">
        <f t="shared" si="1"/>
        <v>196</v>
      </c>
      <c r="E22" s="65">
        <v>182.0</v>
      </c>
      <c r="F22" s="43">
        <v>2.0</v>
      </c>
      <c r="G22" s="42">
        <f t="shared" si="2"/>
        <v>184</v>
      </c>
      <c r="H22" s="44" t="s">
        <v>30</v>
      </c>
      <c r="I22" s="148">
        <v>40.0</v>
      </c>
      <c r="J22" s="161">
        <v>36.0</v>
      </c>
      <c r="K22" s="161">
        <v>7.0</v>
      </c>
      <c r="L22" s="162">
        <v>23.89</v>
      </c>
      <c r="M22" s="47">
        <f t="shared" si="3"/>
        <v>59.725</v>
      </c>
      <c r="N22" s="163">
        <v>4.86</v>
      </c>
      <c r="O22" s="164">
        <v>8.0</v>
      </c>
      <c r="P22" s="164">
        <v>21.0</v>
      </c>
      <c r="Q22" s="164">
        <v>23.0</v>
      </c>
      <c r="R22" s="164">
        <v>24.0</v>
      </c>
      <c r="S22" s="164">
        <v>35.0</v>
      </c>
    </row>
    <row r="23" ht="15.75" hidden="1" customHeight="1">
      <c r="A23" s="135" t="s">
        <v>95</v>
      </c>
      <c r="B23" s="153" t="s">
        <v>30</v>
      </c>
      <c r="C23" s="153" t="s">
        <v>30</v>
      </c>
      <c r="D23" s="42">
        <f t="shared" si="1"/>
        <v>0</v>
      </c>
      <c r="E23" s="52"/>
      <c r="F23" s="41"/>
      <c r="G23" s="42">
        <f t="shared" si="2"/>
        <v>0</v>
      </c>
      <c r="H23" s="44" t="s">
        <v>30</v>
      </c>
      <c r="I23" s="151">
        <f>'SHS- CONSO'!I89</f>
        <v>40</v>
      </c>
      <c r="J23" s="151"/>
      <c r="K23" s="151"/>
      <c r="L23" s="55"/>
      <c r="M23" s="47">
        <f t="shared" si="3"/>
        <v>0</v>
      </c>
      <c r="N23" s="152"/>
      <c r="O23" s="68"/>
      <c r="P23" s="68"/>
      <c r="Q23" s="68"/>
      <c r="R23" s="68"/>
      <c r="S23" s="68"/>
    </row>
    <row r="24" ht="15.75" customHeight="1">
      <c r="A24" s="135" t="s">
        <v>136</v>
      </c>
      <c r="B24" s="153">
        <f>'SHS- CONSO'!B92</f>
        <v>8</v>
      </c>
      <c r="C24" s="153">
        <f>'SHS- CONSO'!C92</f>
        <v>48</v>
      </c>
      <c r="D24" s="42">
        <f t="shared" si="1"/>
        <v>56</v>
      </c>
      <c r="E24" s="65">
        <v>8.0</v>
      </c>
      <c r="F24" s="43">
        <v>38.0</v>
      </c>
      <c r="G24" s="42">
        <f t="shared" si="2"/>
        <v>46</v>
      </c>
      <c r="H24" s="44" t="s">
        <v>30</v>
      </c>
      <c r="I24" s="148">
        <v>40.0</v>
      </c>
      <c r="J24" s="148">
        <v>29.0</v>
      </c>
      <c r="K24" s="148">
        <v>10.0</v>
      </c>
      <c r="L24" s="66">
        <v>21.0</v>
      </c>
      <c r="M24" s="47">
        <f t="shared" si="3"/>
        <v>52.5</v>
      </c>
      <c r="N24" s="149">
        <v>4.87</v>
      </c>
      <c r="O24" s="48">
        <v>5.0</v>
      </c>
      <c r="P24" s="48">
        <v>9.0</v>
      </c>
      <c r="Q24" s="48">
        <v>20.0</v>
      </c>
      <c r="R24" s="48">
        <v>23.0</v>
      </c>
      <c r="S24" s="48">
        <v>39.0</v>
      </c>
    </row>
    <row r="25" ht="15.75" hidden="1" customHeight="1">
      <c r="A25" s="135" t="s">
        <v>137</v>
      </c>
      <c r="B25" s="153"/>
      <c r="C25" s="153"/>
      <c r="D25" s="42">
        <f t="shared" si="1"/>
        <v>0</v>
      </c>
      <c r="E25" s="52"/>
      <c r="F25" s="41"/>
      <c r="G25" s="42">
        <f t="shared" si="2"/>
        <v>0</v>
      </c>
      <c r="H25" s="44" t="s">
        <v>30</v>
      </c>
      <c r="I25" s="151">
        <f>'SHS- CONSO'!I93</f>
        <v>40</v>
      </c>
      <c r="J25" s="151"/>
      <c r="K25" s="151"/>
      <c r="L25" s="55"/>
      <c r="M25" s="47">
        <f t="shared" si="3"/>
        <v>0</v>
      </c>
      <c r="N25" s="152"/>
      <c r="O25" s="68"/>
      <c r="P25" s="68"/>
      <c r="Q25" s="68"/>
      <c r="R25" s="68"/>
      <c r="S25" s="68"/>
    </row>
    <row r="26" ht="15.75" customHeight="1">
      <c r="A26" s="135" t="s">
        <v>138</v>
      </c>
      <c r="B26" s="153">
        <f>'SHS- CONSO'!B94</f>
        <v>8</v>
      </c>
      <c r="C26" s="153">
        <f>'SHS- CONSO'!C94</f>
        <v>66</v>
      </c>
      <c r="D26" s="42">
        <f t="shared" si="1"/>
        <v>74</v>
      </c>
      <c r="E26" s="65">
        <v>7.0</v>
      </c>
      <c r="F26" s="43">
        <v>61.0</v>
      </c>
      <c r="G26" s="42">
        <f t="shared" si="2"/>
        <v>68</v>
      </c>
      <c r="H26" s="44" t="s">
        <v>30</v>
      </c>
      <c r="I26" s="148">
        <v>40.0</v>
      </c>
      <c r="J26" s="148">
        <v>28.0</v>
      </c>
      <c r="K26" s="148">
        <v>11.0</v>
      </c>
      <c r="L26" s="66">
        <v>21.8</v>
      </c>
      <c r="M26" s="47">
        <f t="shared" si="3"/>
        <v>54.5</v>
      </c>
      <c r="N26" s="149">
        <v>3.8</v>
      </c>
      <c r="O26" s="48">
        <v>9.0</v>
      </c>
      <c r="P26" s="48">
        <v>15.0</v>
      </c>
      <c r="Q26" s="48">
        <v>30.0</v>
      </c>
      <c r="R26" s="48">
        <v>32.0</v>
      </c>
      <c r="S26" s="48">
        <v>39.0</v>
      </c>
    </row>
    <row r="27" ht="15.75" hidden="1" customHeight="1">
      <c r="A27" s="135" t="s">
        <v>139</v>
      </c>
      <c r="B27" s="153"/>
      <c r="C27" s="153"/>
      <c r="D27" s="42">
        <f t="shared" si="1"/>
        <v>0</v>
      </c>
      <c r="E27" s="52"/>
      <c r="F27" s="41"/>
      <c r="G27" s="42">
        <f t="shared" si="2"/>
        <v>0</v>
      </c>
      <c r="H27" s="44" t="s">
        <v>30</v>
      </c>
      <c r="I27" s="151">
        <f>'SHS- CONSO'!I95</f>
        <v>40</v>
      </c>
      <c r="J27" s="151"/>
      <c r="K27" s="151"/>
      <c r="L27" s="55"/>
      <c r="M27" s="47">
        <f t="shared" si="3"/>
        <v>0</v>
      </c>
      <c r="N27" s="152"/>
      <c r="O27" s="68"/>
      <c r="P27" s="68"/>
      <c r="Q27" s="68"/>
      <c r="R27" s="68"/>
      <c r="S27" s="68"/>
    </row>
    <row r="28" ht="15.75" customHeight="1">
      <c r="A28" s="135" t="s">
        <v>102</v>
      </c>
      <c r="B28" s="153">
        <f>'SHS- CONSO'!B98</f>
        <v>226</v>
      </c>
      <c r="C28" s="153">
        <f>'SHS- CONSO'!C98</f>
        <v>309</v>
      </c>
      <c r="D28" s="42">
        <f t="shared" si="1"/>
        <v>535</v>
      </c>
      <c r="E28" s="65">
        <v>211.0</v>
      </c>
      <c r="F28" s="43">
        <v>297.0</v>
      </c>
      <c r="G28" s="42">
        <f t="shared" si="2"/>
        <v>508</v>
      </c>
      <c r="H28" s="44" t="s">
        <v>30</v>
      </c>
      <c r="I28" s="148">
        <v>40.0</v>
      </c>
      <c r="J28" s="148">
        <v>39.0</v>
      </c>
      <c r="K28" s="148">
        <v>9.0</v>
      </c>
      <c r="L28" s="66">
        <v>18.67</v>
      </c>
      <c r="M28" s="47">
        <f t="shared" si="3"/>
        <v>46.675</v>
      </c>
      <c r="N28" s="149">
        <v>7.17</v>
      </c>
      <c r="O28" s="48">
        <v>23.0</v>
      </c>
      <c r="P28" s="48">
        <v>14.0</v>
      </c>
      <c r="Q28" s="48">
        <v>10.0</v>
      </c>
      <c r="R28" s="48">
        <v>33.0</v>
      </c>
      <c r="S28" s="48">
        <v>40.0</v>
      </c>
    </row>
    <row r="29" ht="15.75" hidden="1" customHeight="1">
      <c r="A29" s="135" t="s">
        <v>103</v>
      </c>
      <c r="B29" s="153"/>
      <c r="C29" s="153"/>
      <c r="D29" s="42">
        <f t="shared" si="1"/>
        <v>0</v>
      </c>
      <c r="E29" s="52"/>
      <c r="F29" s="41"/>
      <c r="G29" s="42">
        <f t="shared" si="2"/>
        <v>0</v>
      </c>
      <c r="H29" s="44" t="s">
        <v>30</v>
      </c>
      <c r="I29" s="151">
        <f>'SHS- CONSO'!I99</f>
        <v>40</v>
      </c>
      <c r="J29" s="151"/>
      <c r="K29" s="151"/>
      <c r="L29" s="55"/>
      <c r="M29" s="47">
        <f t="shared" si="3"/>
        <v>0</v>
      </c>
      <c r="N29" s="152"/>
      <c r="O29" s="68"/>
      <c r="P29" s="68"/>
      <c r="Q29" s="68"/>
      <c r="R29" s="68"/>
      <c r="S29" s="68"/>
    </row>
    <row r="30" ht="15.75" customHeight="1">
      <c r="A30" s="135" t="s">
        <v>140</v>
      </c>
      <c r="B30" s="153">
        <f>'SHS- CONSO'!B100</f>
        <v>188</v>
      </c>
      <c r="C30" s="153">
        <f>'SHS- CONSO'!C100</f>
        <v>266</v>
      </c>
      <c r="D30" s="42">
        <f t="shared" si="1"/>
        <v>454</v>
      </c>
      <c r="E30" s="65">
        <v>178.0</v>
      </c>
      <c r="F30" s="65">
        <v>257.0</v>
      </c>
      <c r="G30" s="42">
        <f t="shared" si="2"/>
        <v>435</v>
      </c>
      <c r="H30" s="44" t="s">
        <v>30</v>
      </c>
      <c r="I30" s="148">
        <v>40.0</v>
      </c>
      <c r="J30" s="148">
        <v>36.0</v>
      </c>
      <c r="K30" s="148">
        <v>12.0</v>
      </c>
      <c r="L30" s="66">
        <v>19.49</v>
      </c>
      <c r="M30" s="47">
        <f t="shared" si="3"/>
        <v>48.725</v>
      </c>
      <c r="N30" s="149">
        <v>8.12</v>
      </c>
      <c r="O30" s="48">
        <v>11.0</v>
      </c>
      <c r="P30" s="48">
        <v>37.0</v>
      </c>
      <c r="Q30" s="48">
        <v>4.0</v>
      </c>
      <c r="R30" s="48">
        <v>10.0</v>
      </c>
      <c r="S30" s="48">
        <v>5.0</v>
      </c>
    </row>
    <row r="31" ht="15.75" hidden="1" customHeight="1">
      <c r="A31" s="135" t="s">
        <v>141</v>
      </c>
      <c r="B31" s="153"/>
      <c r="C31" s="153"/>
      <c r="D31" s="42">
        <f t="shared" si="1"/>
        <v>0</v>
      </c>
      <c r="E31" s="52"/>
      <c r="F31" s="41"/>
      <c r="G31" s="42">
        <f t="shared" si="2"/>
        <v>0</v>
      </c>
      <c r="H31" s="44" t="s">
        <v>30</v>
      </c>
      <c r="I31" s="151">
        <f>'SHS- CONSO'!I101</f>
        <v>40</v>
      </c>
      <c r="J31" s="151"/>
      <c r="K31" s="151"/>
      <c r="L31" s="55"/>
      <c r="M31" s="47">
        <f t="shared" si="3"/>
        <v>0</v>
      </c>
      <c r="N31" s="152"/>
      <c r="O31" s="68"/>
      <c r="P31" s="68"/>
      <c r="Q31" s="68"/>
      <c r="R31" s="68"/>
      <c r="S31" s="68"/>
    </row>
    <row r="32" ht="15.75" customHeight="1">
      <c r="A32" s="135" t="s">
        <v>107</v>
      </c>
      <c r="B32" s="153">
        <f>'SHS- CONSO'!B104</f>
        <v>7</v>
      </c>
      <c r="C32" s="153">
        <f>'SHS- CONSO'!C104</f>
        <v>27</v>
      </c>
      <c r="D32" s="42">
        <f t="shared" si="1"/>
        <v>34</v>
      </c>
      <c r="E32" s="65">
        <v>7.0</v>
      </c>
      <c r="F32" s="43">
        <v>23.0</v>
      </c>
      <c r="G32" s="42">
        <f t="shared" si="2"/>
        <v>30</v>
      </c>
      <c r="H32" s="44" t="s">
        <v>30</v>
      </c>
      <c r="I32" s="148">
        <v>40.0</v>
      </c>
      <c r="J32" s="148">
        <v>33.0</v>
      </c>
      <c r="K32" s="148">
        <v>6.0</v>
      </c>
      <c r="L32" s="66">
        <v>18.5</v>
      </c>
      <c r="M32" s="47">
        <f t="shared" si="3"/>
        <v>46.25</v>
      </c>
      <c r="N32" s="149">
        <v>6.8</v>
      </c>
      <c r="O32" s="48">
        <v>11.0</v>
      </c>
      <c r="P32" s="48">
        <v>12.0</v>
      </c>
      <c r="Q32" s="48">
        <v>17.0</v>
      </c>
      <c r="R32" s="48">
        <v>34.0</v>
      </c>
      <c r="S32" s="48">
        <v>35.0</v>
      </c>
    </row>
    <row r="33" ht="15.75" hidden="1" customHeight="1">
      <c r="A33" s="135" t="s">
        <v>108</v>
      </c>
      <c r="B33" s="153"/>
      <c r="C33" s="153"/>
      <c r="D33" s="42">
        <f t="shared" si="1"/>
        <v>0</v>
      </c>
      <c r="E33" s="52"/>
      <c r="F33" s="41"/>
      <c r="G33" s="42">
        <f t="shared" si="2"/>
        <v>0</v>
      </c>
      <c r="H33" s="44" t="s">
        <v>30</v>
      </c>
      <c r="I33" s="148">
        <v>40.0</v>
      </c>
      <c r="J33" s="151"/>
      <c r="K33" s="151"/>
      <c r="L33" s="55"/>
      <c r="M33" s="47">
        <f t="shared" si="3"/>
        <v>0</v>
      </c>
      <c r="N33" s="152"/>
      <c r="O33" s="68"/>
      <c r="P33" s="68"/>
      <c r="Q33" s="68"/>
      <c r="R33" s="68"/>
      <c r="S33" s="68"/>
    </row>
    <row r="34" ht="15.75" customHeight="1">
      <c r="A34" s="135" t="s">
        <v>109</v>
      </c>
      <c r="B34" s="153">
        <f>'SHS- CONSO'!B106</f>
        <v>8</v>
      </c>
      <c r="C34" s="153">
        <f>'SHS- CONSO'!C106</f>
        <v>10</v>
      </c>
      <c r="D34" s="42">
        <f t="shared" si="1"/>
        <v>18</v>
      </c>
      <c r="E34" s="65">
        <v>8.0</v>
      </c>
      <c r="F34" s="43">
        <v>10.0</v>
      </c>
      <c r="G34" s="42">
        <f t="shared" si="2"/>
        <v>18</v>
      </c>
      <c r="H34" s="44" t="s">
        <v>30</v>
      </c>
      <c r="I34" s="148">
        <v>40.0</v>
      </c>
      <c r="J34" s="148">
        <v>33.0</v>
      </c>
      <c r="K34" s="148">
        <v>11.0</v>
      </c>
      <c r="L34" s="66">
        <v>21.8</v>
      </c>
      <c r="M34" s="47">
        <f t="shared" si="3"/>
        <v>54.5</v>
      </c>
      <c r="N34" s="149">
        <v>7.8</v>
      </c>
      <c r="O34" s="48">
        <v>3.0</v>
      </c>
      <c r="P34" s="48">
        <v>19.0</v>
      </c>
      <c r="Q34" s="48">
        <v>21.0</v>
      </c>
      <c r="R34" s="48">
        <v>4.0</v>
      </c>
      <c r="S34" s="48">
        <v>22.0</v>
      </c>
    </row>
    <row r="35" ht="15.75" hidden="1" customHeight="1">
      <c r="A35" s="135" t="s">
        <v>110</v>
      </c>
      <c r="B35" s="153" t="s">
        <v>30</v>
      </c>
      <c r="C35" s="153" t="s">
        <v>30</v>
      </c>
      <c r="D35" s="42">
        <f t="shared" si="1"/>
        <v>0</v>
      </c>
      <c r="E35" s="52"/>
      <c r="F35" s="41"/>
      <c r="G35" s="42">
        <f t="shared" si="2"/>
        <v>0</v>
      </c>
      <c r="H35" s="44" t="s">
        <v>30</v>
      </c>
      <c r="I35" s="148">
        <v>40.0</v>
      </c>
      <c r="J35" s="151"/>
      <c r="K35" s="151"/>
      <c r="L35" s="55"/>
      <c r="M35" s="47">
        <f t="shared" si="3"/>
        <v>0</v>
      </c>
      <c r="N35" s="152"/>
      <c r="O35" s="68"/>
      <c r="P35" s="68"/>
      <c r="Q35" s="68"/>
      <c r="R35" s="68"/>
      <c r="S35" s="68"/>
    </row>
    <row r="36" ht="15.75" customHeight="1">
      <c r="A36" s="135" t="s">
        <v>142</v>
      </c>
      <c r="B36" s="159">
        <v>53.0</v>
      </c>
      <c r="C36" s="159">
        <v>4.0</v>
      </c>
      <c r="D36" s="42">
        <f t="shared" si="1"/>
        <v>57</v>
      </c>
      <c r="E36" s="186">
        <v>53.0</v>
      </c>
      <c r="F36" s="187">
        <v>4.0</v>
      </c>
      <c r="G36" s="42">
        <f t="shared" si="2"/>
        <v>57</v>
      </c>
      <c r="H36" s="44" t="s">
        <v>30</v>
      </c>
      <c r="I36" s="151">
        <f>'SHS- CONSO'!I108</f>
        <v>40</v>
      </c>
      <c r="J36" s="161">
        <v>32.0</v>
      </c>
      <c r="K36" s="161">
        <v>9.0</v>
      </c>
      <c r="L36" s="162">
        <v>20.7</v>
      </c>
      <c r="M36" s="47">
        <f t="shared" si="3"/>
        <v>51.75</v>
      </c>
      <c r="N36" s="163">
        <v>7.47</v>
      </c>
      <c r="O36" s="164">
        <v>39.0</v>
      </c>
      <c r="P36" s="164">
        <v>37.0</v>
      </c>
      <c r="Q36" s="164">
        <v>21.0</v>
      </c>
      <c r="R36" s="164">
        <v>24.0</v>
      </c>
      <c r="S36" s="164">
        <v>9.0</v>
      </c>
    </row>
    <row r="37" ht="15.75" hidden="1" customHeight="1">
      <c r="A37" s="135" t="s">
        <v>143</v>
      </c>
      <c r="B37" s="159">
        <v>0.0</v>
      </c>
      <c r="C37" s="159">
        <v>0.0</v>
      </c>
      <c r="D37" s="42">
        <f t="shared" si="1"/>
        <v>0</v>
      </c>
      <c r="E37" s="188"/>
      <c r="F37" s="187"/>
      <c r="G37" s="42">
        <f t="shared" si="2"/>
        <v>0</v>
      </c>
      <c r="H37" s="44" t="s">
        <v>30</v>
      </c>
      <c r="I37" s="148">
        <v>40.0</v>
      </c>
      <c r="J37" s="189"/>
      <c r="K37" s="189"/>
      <c r="L37" s="190"/>
      <c r="M37" s="47">
        <f t="shared" si="3"/>
        <v>0</v>
      </c>
      <c r="N37" s="191"/>
      <c r="O37" s="192"/>
      <c r="P37" s="192"/>
      <c r="Q37" s="192"/>
      <c r="R37" s="192"/>
      <c r="S37" s="192"/>
    </row>
    <row r="38" ht="15.75" customHeight="1">
      <c r="A38" s="135" t="s">
        <v>144</v>
      </c>
      <c r="B38" s="159">
        <v>74.0</v>
      </c>
      <c r="C38" s="159">
        <v>9.0</v>
      </c>
      <c r="D38" s="42">
        <f t="shared" si="1"/>
        <v>83</v>
      </c>
      <c r="E38" s="188">
        <v>72.0</v>
      </c>
      <c r="F38" s="187">
        <v>5.0</v>
      </c>
      <c r="G38" s="42">
        <f t="shared" si="2"/>
        <v>77</v>
      </c>
      <c r="H38" s="44" t="s">
        <v>30</v>
      </c>
      <c r="I38" s="121">
        <f>'SHS- CONSO'!I110</f>
        <v>40</v>
      </c>
      <c r="J38" s="161">
        <v>31.0</v>
      </c>
      <c r="K38" s="161">
        <v>12.0</v>
      </c>
      <c r="L38" s="162">
        <v>19.3</v>
      </c>
      <c r="M38" s="47">
        <f t="shared" si="3"/>
        <v>48.25</v>
      </c>
      <c r="N38" s="163">
        <v>4.69</v>
      </c>
      <c r="O38" s="164">
        <v>40.0</v>
      </c>
      <c r="P38" s="164">
        <v>5.0</v>
      </c>
      <c r="Q38" s="164">
        <v>8.0</v>
      </c>
      <c r="R38" s="164">
        <v>30.0</v>
      </c>
      <c r="S38" s="164">
        <v>25.0</v>
      </c>
    </row>
    <row r="39" ht="15.75" hidden="1" customHeight="1">
      <c r="A39" s="135" t="s">
        <v>145</v>
      </c>
      <c r="B39" s="153" t="s">
        <v>30</v>
      </c>
      <c r="C39" s="153" t="s">
        <v>30</v>
      </c>
      <c r="D39" s="42">
        <f t="shared" si="1"/>
        <v>0</v>
      </c>
      <c r="E39" s="52"/>
      <c r="F39" s="41"/>
      <c r="G39" s="42">
        <f t="shared" si="2"/>
        <v>0</v>
      </c>
      <c r="H39" s="44" t="s">
        <v>30</v>
      </c>
      <c r="I39" s="148">
        <v>40.0</v>
      </c>
      <c r="J39" s="151"/>
      <c r="K39" s="151"/>
      <c r="L39" s="55"/>
      <c r="M39" s="47">
        <f t="shared" si="3"/>
        <v>0</v>
      </c>
      <c r="N39" s="152"/>
      <c r="O39" s="68"/>
      <c r="P39" s="68"/>
      <c r="Q39" s="68"/>
      <c r="R39" s="68"/>
      <c r="S39" s="68"/>
    </row>
    <row r="40" ht="15.75" customHeight="1">
      <c r="A40" s="135" t="s">
        <v>146</v>
      </c>
      <c r="B40" s="153">
        <v>51.0</v>
      </c>
      <c r="C40" s="153">
        <v>0.0</v>
      </c>
      <c r="D40" s="42">
        <f t="shared" si="1"/>
        <v>51</v>
      </c>
      <c r="E40" s="65">
        <v>42.0</v>
      </c>
      <c r="F40" s="43">
        <v>0.0</v>
      </c>
      <c r="G40" s="42">
        <f t="shared" si="2"/>
        <v>42</v>
      </c>
      <c r="H40" s="44" t="s">
        <v>30</v>
      </c>
      <c r="I40" s="121">
        <f>'SHS- CONSO'!I112</f>
        <v>40</v>
      </c>
      <c r="J40" s="161">
        <v>23.0</v>
      </c>
      <c r="K40" s="161">
        <v>5.0</v>
      </c>
      <c r="L40" s="162">
        <v>14.4</v>
      </c>
      <c r="M40" s="47">
        <f t="shared" si="3"/>
        <v>36</v>
      </c>
      <c r="N40" s="163">
        <v>4.1</v>
      </c>
      <c r="O40" s="164">
        <v>20.0</v>
      </c>
      <c r="P40" s="164">
        <v>24.0</v>
      </c>
      <c r="Q40" s="164">
        <v>13.0</v>
      </c>
      <c r="R40" s="164">
        <v>27.0</v>
      </c>
      <c r="S40" s="164">
        <v>10.0</v>
      </c>
    </row>
    <row r="41" ht="15.75" hidden="1" customHeight="1">
      <c r="A41" s="135" t="s">
        <v>147</v>
      </c>
      <c r="B41" s="153" t="s">
        <v>30</v>
      </c>
      <c r="C41" s="153" t="s">
        <v>30</v>
      </c>
      <c r="D41" s="42">
        <f t="shared" si="1"/>
        <v>0</v>
      </c>
      <c r="E41" s="52"/>
      <c r="F41" s="41"/>
      <c r="G41" s="42">
        <f t="shared" si="2"/>
        <v>0</v>
      </c>
      <c r="H41" s="44" t="s">
        <v>30</v>
      </c>
      <c r="I41" s="148">
        <v>40.0</v>
      </c>
      <c r="J41" s="189"/>
      <c r="K41" s="189"/>
      <c r="L41" s="190"/>
      <c r="M41" s="47">
        <f t="shared" si="3"/>
        <v>0</v>
      </c>
      <c r="N41" s="191"/>
      <c r="O41" s="192"/>
      <c r="P41" s="192"/>
      <c r="Q41" s="192"/>
      <c r="R41" s="192"/>
      <c r="S41" s="192"/>
    </row>
    <row r="42" ht="15.75" customHeight="1">
      <c r="A42" s="135" t="s">
        <v>148</v>
      </c>
      <c r="B42" s="153">
        <v>34.0</v>
      </c>
      <c r="C42" s="153">
        <v>5.0</v>
      </c>
      <c r="D42" s="42">
        <f t="shared" si="1"/>
        <v>39</v>
      </c>
      <c r="E42" s="65">
        <v>33.0</v>
      </c>
      <c r="F42" s="43">
        <v>4.0</v>
      </c>
      <c r="G42" s="42">
        <f t="shared" si="2"/>
        <v>37</v>
      </c>
      <c r="H42" s="44" t="s">
        <v>30</v>
      </c>
      <c r="I42" s="151">
        <f>'SHS- CONSO'!I114</f>
        <v>40</v>
      </c>
      <c r="J42" s="161">
        <v>27.0</v>
      </c>
      <c r="K42" s="161">
        <v>14.0</v>
      </c>
      <c r="L42" s="162">
        <v>19.9</v>
      </c>
      <c r="M42" s="47">
        <f t="shared" si="3"/>
        <v>49.75</v>
      </c>
      <c r="N42" s="163">
        <v>7.47</v>
      </c>
      <c r="O42" s="164">
        <v>34.0</v>
      </c>
      <c r="P42" s="164">
        <v>23.0</v>
      </c>
      <c r="Q42" s="164">
        <v>6.0</v>
      </c>
      <c r="R42" s="164">
        <v>38.0</v>
      </c>
      <c r="S42" s="164">
        <v>33.0</v>
      </c>
    </row>
    <row r="43" ht="15.75" hidden="1" customHeight="1">
      <c r="A43" s="135" t="s">
        <v>149</v>
      </c>
      <c r="B43" s="153" t="s">
        <v>30</v>
      </c>
      <c r="C43" s="153" t="s">
        <v>30</v>
      </c>
      <c r="D43" s="42">
        <f t="shared" si="1"/>
        <v>0</v>
      </c>
      <c r="E43" s="52"/>
      <c r="F43" s="41"/>
      <c r="G43" s="42">
        <f t="shared" si="2"/>
        <v>0</v>
      </c>
      <c r="H43" s="44" t="s">
        <v>30</v>
      </c>
      <c r="I43" s="148">
        <v>40.0</v>
      </c>
      <c r="J43" s="151"/>
      <c r="K43" s="151"/>
      <c r="L43" s="55"/>
      <c r="M43" s="47">
        <f t="shared" si="3"/>
        <v>0</v>
      </c>
      <c r="N43" s="152"/>
      <c r="O43" s="68"/>
      <c r="P43" s="68"/>
      <c r="Q43" s="68"/>
      <c r="R43" s="68"/>
      <c r="S43" s="68"/>
    </row>
    <row r="44" ht="15.75" customHeight="1">
      <c r="A44" s="173" t="s">
        <v>150</v>
      </c>
      <c r="B44" s="153">
        <f>'SHS- CONSO'!B122</f>
        <v>239</v>
      </c>
      <c r="C44" s="153">
        <f>'SHS- CONSO'!C122</f>
        <v>80</v>
      </c>
      <c r="D44" s="42">
        <f t="shared" si="1"/>
        <v>319</v>
      </c>
      <c r="E44" s="176">
        <v>237.0</v>
      </c>
      <c r="F44" s="193">
        <v>78.0</v>
      </c>
      <c r="G44" s="42">
        <f t="shared" si="2"/>
        <v>315</v>
      </c>
      <c r="H44" s="44" t="s">
        <v>30</v>
      </c>
      <c r="I44" s="121">
        <f>'SHS- CONSO'!I116</f>
        <v>40</v>
      </c>
      <c r="J44" s="165">
        <v>34.0</v>
      </c>
      <c r="K44" s="165">
        <v>8.0</v>
      </c>
      <c r="L44" s="162">
        <v>19.53</v>
      </c>
      <c r="M44" s="47">
        <f t="shared" si="3"/>
        <v>48.825</v>
      </c>
      <c r="N44" s="163">
        <v>5.44</v>
      </c>
      <c r="O44" s="164">
        <v>27.0</v>
      </c>
      <c r="P44" s="164">
        <v>32.0</v>
      </c>
      <c r="Q44" s="164">
        <v>36.0</v>
      </c>
      <c r="R44" s="164">
        <v>19.0</v>
      </c>
      <c r="S44" s="164">
        <v>16.0</v>
      </c>
    </row>
    <row r="45" ht="15.75" hidden="1" customHeight="1">
      <c r="A45" s="135" t="s">
        <v>151</v>
      </c>
      <c r="B45" s="153"/>
      <c r="C45" s="153"/>
      <c r="D45" s="42">
        <f t="shared" si="1"/>
        <v>0</v>
      </c>
      <c r="E45" s="52"/>
      <c r="F45" s="41"/>
      <c r="G45" s="42">
        <f t="shared" si="2"/>
        <v>0</v>
      </c>
      <c r="H45" s="44" t="s">
        <v>30</v>
      </c>
      <c r="I45" s="148">
        <v>40.0</v>
      </c>
      <c r="J45" s="151"/>
      <c r="K45" s="151"/>
      <c r="L45" s="55"/>
      <c r="M45" s="47">
        <f t="shared" si="3"/>
        <v>0</v>
      </c>
      <c r="N45" s="152"/>
      <c r="O45" s="68"/>
      <c r="P45" s="68"/>
      <c r="Q45" s="68"/>
      <c r="R45" s="68"/>
      <c r="S45" s="68"/>
    </row>
    <row r="46" ht="15.75" customHeight="1">
      <c r="A46" s="173" t="s">
        <v>152</v>
      </c>
      <c r="B46" s="153">
        <f>'SHS- CONSO'!B124</f>
        <v>233</v>
      </c>
      <c r="C46" s="153">
        <f>'SHS- CONSO'!C124</f>
        <v>94</v>
      </c>
      <c r="D46" s="42">
        <f t="shared" si="1"/>
        <v>327</v>
      </c>
      <c r="E46" s="65">
        <v>229.0</v>
      </c>
      <c r="F46" s="43">
        <v>92.0</v>
      </c>
      <c r="G46" s="42">
        <f t="shared" si="2"/>
        <v>321</v>
      </c>
      <c r="H46" s="44" t="s">
        <v>30</v>
      </c>
      <c r="I46" s="121">
        <f>'SHS- CONSO'!I118</f>
        <v>40</v>
      </c>
      <c r="J46" s="148">
        <v>37.0</v>
      </c>
      <c r="K46" s="148">
        <v>5.0</v>
      </c>
      <c r="L46" s="66">
        <v>18.57</v>
      </c>
      <c r="M46" s="47">
        <f t="shared" si="3"/>
        <v>46.425</v>
      </c>
      <c r="N46" s="149">
        <v>7.98</v>
      </c>
      <c r="O46" s="48">
        <v>3.0</v>
      </c>
      <c r="P46" s="48">
        <v>33.0</v>
      </c>
      <c r="Q46" s="48">
        <v>26.0</v>
      </c>
      <c r="R46" s="48">
        <v>31.0</v>
      </c>
      <c r="S46" s="48">
        <v>24.0</v>
      </c>
      <c r="T46" s="194">
        <v>24.0</v>
      </c>
    </row>
    <row r="47" ht="15.75" hidden="1" customHeight="1">
      <c r="A47" s="135" t="s">
        <v>153</v>
      </c>
      <c r="B47" s="153" t="s">
        <v>30</v>
      </c>
      <c r="C47" s="153" t="s">
        <v>30</v>
      </c>
      <c r="D47" s="42">
        <f t="shared" si="1"/>
        <v>0</v>
      </c>
      <c r="E47" s="52"/>
      <c r="F47" s="41"/>
      <c r="G47" s="42">
        <f t="shared" si="2"/>
        <v>0</v>
      </c>
      <c r="H47" s="158"/>
      <c r="I47" s="148">
        <v>40.0</v>
      </c>
      <c r="J47" s="151"/>
      <c r="K47" s="151"/>
      <c r="L47" s="55"/>
      <c r="M47" s="152"/>
      <c r="N47" s="152"/>
      <c r="O47" s="68"/>
      <c r="P47" s="68"/>
      <c r="Q47" s="68"/>
      <c r="R47" s="68"/>
      <c r="S47" s="68"/>
    </row>
    <row r="48" ht="15.75" customHeight="1">
      <c r="A48" s="69" t="s">
        <v>40</v>
      </c>
      <c r="B48" s="70">
        <f t="shared" ref="B48:G48" si="4">SUM(B20:B47)</f>
        <v>1454</v>
      </c>
      <c r="C48" s="70">
        <f t="shared" si="4"/>
        <v>926</v>
      </c>
      <c r="D48" s="70">
        <f t="shared" si="4"/>
        <v>2380</v>
      </c>
      <c r="E48" s="70">
        <f t="shared" si="4"/>
        <v>1390</v>
      </c>
      <c r="F48" s="70">
        <f t="shared" si="4"/>
        <v>875</v>
      </c>
      <c r="G48" s="70">
        <f t="shared" si="4"/>
        <v>2265</v>
      </c>
      <c r="H48" s="70"/>
      <c r="I48" s="70">
        <f>AVERAGE(I20:I47)</f>
        <v>40</v>
      </c>
      <c r="J48" s="172">
        <f t="shared" ref="J48:S48" si="5">IFERROR((AVERAGE(J36:J39,J41:J44,J46:J47)),"")</f>
        <v>32.2</v>
      </c>
      <c r="K48" s="172">
        <f t="shared" si="5"/>
        <v>9.6</v>
      </c>
      <c r="L48" s="172">
        <f t="shared" si="5"/>
        <v>19.6</v>
      </c>
      <c r="M48" s="172">
        <f t="shared" si="5"/>
        <v>27.22222222</v>
      </c>
      <c r="N48" s="172">
        <f t="shared" si="5"/>
        <v>6.61</v>
      </c>
      <c r="O48" s="172">
        <f t="shared" si="5"/>
        <v>28.6</v>
      </c>
      <c r="P48" s="172">
        <f t="shared" si="5"/>
        <v>26</v>
      </c>
      <c r="Q48" s="172">
        <f t="shared" si="5"/>
        <v>19.4</v>
      </c>
      <c r="R48" s="172">
        <f t="shared" si="5"/>
        <v>28.4</v>
      </c>
      <c r="S48" s="172">
        <f t="shared" si="5"/>
        <v>21.4</v>
      </c>
    </row>
    <row r="49" ht="15.75" hidden="1" customHeight="1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38"/>
      <c r="M49" s="138"/>
      <c r="N49" s="138"/>
      <c r="O49" s="104"/>
      <c r="P49" s="104"/>
      <c r="Q49" s="104"/>
      <c r="R49" s="104"/>
      <c r="S49" s="104"/>
    </row>
    <row r="50" ht="15.75" hidden="1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6"/>
      <c r="M50" s="106"/>
      <c r="N50" s="106"/>
      <c r="O50" s="104"/>
      <c r="P50" s="104"/>
      <c r="Q50" s="104"/>
      <c r="R50" s="104"/>
      <c r="S50" s="104"/>
    </row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</sheetData>
  <mergeCells count="26">
    <mergeCell ref="A4:S4"/>
    <mergeCell ref="A5:S5"/>
    <mergeCell ref="A6:S6"/>
    <mergeCell ref="A7:S7"/>
    <mergeCell ref="A8:S8"/>
    <mergeCell ref="B10:S10"/>
    <mergeCell ref="A12:S12"/>
    <mergeCell ref="L13:L16"/>
    <mergeCell ref="M13:M16"/>
    <mergeCell ref="N13:N16"/>
    <mergeCell ref="O13:S15"/>
    <mergeCell ref="B15:B16"/>
    <mergeCell ref="C15:C16"/>
    <mergeCell ref="D15:D16"/>
    <mergeCell ref="E15:E16"/>
    <mergeCell ref="F15:F16"/>
    <mergeCell ref="G15:G16"/>
    <mergeCell ref="A17:S17"/>
    <mergeCell ref="A19:S19"/>
    <mergeCell ref="A13:A16"/>
    <mergeCell ref="B13:D14"/>
    <mergeCell ref="E13:G14"/>
    <mergeCell ref="H13:H16"/>
    <mergeCell ref="I13:I16"/>
    <mergeCell ref="J13:J16"/>
    <mergeCell ref="K13:K16"/>
  </mergeCells>
  <conditionalFormatting sqref="B18:C18 E18:F18 I18:S18">
    <cfRule type="containsBlanks" dxfId="0" priority="1">
      <formula>LEN(TRIM(B18))=0</formula>
    </cfRule>
  </conditionalFormatting>
  <conditionalFormatting sqref="J20:S46">
    <cfRule type="containsBlanks" dxfId="1" priority="2">
      <formula>LEN(TRIM(J20))=0</formula>
    </cfRule>
  </conditionalFormatting>
  <conditionalFormatting sqref="E20:F46 I20:I46">
    <cfRule type="containsBlanks" dxfId="0" priority="3">
      <formula>LEN(TRIM(E20))=0</formula>
    </cfRule>
  </conditionalFormatting>
  <printOptions/>
  <pageMargins bottom="0.3" footer="0.0" header="0.0" left="0.3" right="0.3" top="0.3"/>
  <pageSetup paperSize="14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1" width="46.88"/>
    <col customWidth="1" min="2" max="19" width="8.25"/>
    <col hidden="1" min="20" max="25" width="12.63"/>
    <col customWidth="1" hidden="1" min="26" max="26" width="0.38"/>
  </cols>
  <sheetData>
    <row r="1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15.75" customHeight="1">
      <c r="A4" s="3" t="s">
        <v>0</v>
      </c>
    </row>
    <row r="5" ht="15.75" customHeight="1">
      <c r="A5" s="4" t="s">
        <v>1</v>
      </c>
    </row>
    <row r="6" ht="15.75" customHeight="1">
      <c r="A6" s="4" t="s">
        <v>2</v>
      </c>
    </row>
    <row r="7" ht="15.75" customHeight="1">
      <c r="A7" s="4" t="s">
        <v>3</v>
      </c>
    </row>
    <row r="8" ht="15.75" customHeight="1">
      <c r="A8" s="4" t="s">
        <v>4</v>
      </c>
    </row>
    <row r="9" ht="15.75" customHeight="1">
      <c r="A9" s="145" t="s">
        <v>5</v>
      </c>
      <c r="B9" s="146"/>
      <c r="C9" s="146"/>
      <c r="D9" s="146"/>
      <c r="E9" s="146"/>
      <c r="F9" s="146"/>
      <c r="G9" s="146"/>
      <c r="H9" s="147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</row>
    <row r="10" ht="18.0" customHeight="1">
      <c r="A10" s="12" t="s">
        <v>6</v>
      </c>
      <c r="B10" s="13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/>
    </row>
    <row r="11" ht="15.75" customHeight="1">
      <c r="A11" s="16"/>
      <c r="B11" s="17"/>
      <c r="C11" s="17"/>
      <c r="D11" s="17"/>
      <c r="E11" s="17"/>
      <c r="F11" s="17"/>
      <c r="G11" s="17"/>
      <c r="H11" s="18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ht="15.75" customHeight="1">
      <c r="A12" s="75" t="s">
        <v>42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/>
    </row>
    <row r="13" ht="15.75" customHeight="1">
      <c r="A13" s="23" t="s">
        <v>9</v>
      </c>
      <c r="B13" s="24" t="s">
        <v>10</v>
      </c>
      <c r="C13" s="25"/>
      <c r="D13" s="26"/>
      <c r="E13" s="24" t="s">
        <v>11</v>
      </c>
      <c r="F13" s="25"/>
      <c r="G13" s="26"/>
      <c r="H13" s="27" t="s">
        <v>12</v>
      </c>
      <c r="I13" s="28" t="s">
        <v>13</v>
      </c>
      <c r="J13" s="28" t="s">
        <v>14</v>
      </c>
      <c r="K13" s="28" t="s">
        <v>15</v>
      </c>
      <c r="L13" s="23" t="s">
        <v>16</v>
      </c>
      <c r="M13" s="28" t="s">
        <v>17</v>
      </c>
      <c r="N13" s="28" t="s">
        <v>18</v>
      </c>
      <c r="O13" s="29" t="s">
        <v>19</v>
      </c>
      <c r="P13" s="25"/>
      <c r="Q13" s="25"/>
      <c r="R13" s="25"/>
      <c r="S13" s="26"/>
    </row>
    <row r="14" ht="15.75" customHeight="1">
      <c r="A14" s="30"/>
      <c r="B14" s="31"/>
      <c r="C14" s="32"/>
      <c r="D14" s="33"/>
      <c r="E14" s="31"/>
      <c r="F14" s="32"/>
      <c r="G14" s="33"/>
      <c r="H14" s="30"/>
      <c r="I14" s="30"/>
      <c r="J14" s="30"/>
      <c r="K14" s="30"/>
      <c r="L14" s="30"/>
      <c r="M14" s="30"/>
      <c r="N14" s="30"/>
      <c r="O14" s="34"/>
      <c r="S14" s="35"/>
    </row>
    <row r="15" ht="15.75" customHeight="1">
      <c r="A15" s="30"/>
      <c r="B15" s="36" t="s">
        <v>20</v>
      </c>
      <c r="C15" s="36" t="s">
        <v>21</v>
      </c>
      <c r="D15" s="36" t="s">
        <v>22</v>
      </c>
      <c r="E15" s="36" t="s">
        <v>20</v>
      </c>
      <c r="F15" s="36" t="s">
        <v>21</v>
      </c>
      <c r="G15" s="36" t="s">
        <v>22</v>
      </c>
      <c r="H15" s="30"/>
      <c r="I15" s="30"/>
      <c r="J15" s="30"/>
      <c r="K15" s="30"/>
      <c r="L15" s="30"/>
      <c r="M15" s="30"/>
      <c r="N15" s="30"/>
      <c r="O15" s="31"/>
      <c r="P15" s="32"/>
      <c r="Q15" s="32"/>
      <c r="R15" s="32"/>
      <c r="S15" s="33"/>
    </row>
    <row r="1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8" t="s">
        <v>23</v>
      </c>
      <c r="P16" s="38" t="s">
        <v>24</v>
      </c>
      <c r="Q16" s="38" t="s">
        <v>25</v>
      </c>
      <c r="R16" s="38" t="s">
        <v>26</v>
      </c>
      <c r="S16" s="38" t="s">
        <v>27</v>
      </c>
    </row>
    <row r="17" ht="15.75" customHeight="1">
      <c r="A17" s="179" t="s">
        <v>43</v>
      </c>
      <c r="B17" s="180">
        <v>980.0</v>
      </c>
      <c r="C17" s="180">
        <v>926.0</v>
      </c>
      <c r="D17" s="181">
        <f t="shared" ref="D17:D34" si="1">SUM(B17:C17)</f>
        <v>1906</v>
      </c>
      <c r="E17" s="84">
        <f>ENG!E18</f>
        <v>813</v>
      </c>
      <c r="F17" s="84">
        <f>ENG!F18</f>
        <v>801</v>
      </c>
      <c r="G17" s="183">
        <f t="shared" ref="G17:G34" si="2">SUM(E17:F17)</f>
        <v>1614</v>
      </c>
      <c r="H17" s="195">
        <f t="shared" ref="H17:H34" si="3">IFERROR((G17/D17),"")</f>
        <v>0.8467995803</v>
      </c>
      <c r="I17" s="196">
        <f>ENG!I18</f>
        <v>40</v>
      </c>
      <c r="J17" s="196">
        <f>ENG!J18</f>
        <v>38</v>
      </c>
      <c r="K17" s="196">
        <f>ENG!K18</f>
        <v>11</v>
      </c>
      <c r="L17" s="197">
        <f>ENG!L18</f>
        <v>24.5</v>
      </c>
      <c r="M17" s="197">
        <f>ENG!M18</f>
        <v>61.25</v>
      </c>
      <c r="N17" s="197">
        <f>ENG!N18</f>
        <v>4.5</v>
      </c>
      <c r="O17" s="196">
        <f>ENG!O18</f>
        <v>4</v>
      </c>
      <c r="P17" s="196">
        <f>ENG!P18</f>
        <v>11</v>
      </c>
      <c r="Q17" s="196">
        <f>ENG!Q18</f>
        <v>17</v>
      </c>
      <c r="R17" s="196">
        <f>ENG!R18</f>
        <v>33</v>
      </c>
      <c r="S17" s="196">
        <f>ENG!S18</f>
        <v>38</v>
      </c>
    </row>
    <row r="18" ht="15.75" customHeight="1">
      <c r="A18" s="179" t="s">
        <v>57</v>
      </c>
      <c r="B18" s="180">
        <v>861.0</v>
      </c>
      <c r="C18" s="180">
        <v>718.0</v>
      </c>
      <c r="D18" s="181">
        <f t="shared" si="1"/>
        <v>1579</v>
      </c>
      <c r="E18" s="84">
        <f>HumSS!E18</f>
        <v>795</v>
      </c>
      <c r="F18" s="84">
        <f>HumSS!F18</f>
        <v>651</v>
      </c>
      <c r="G18" s="183">
        <f t="shared" si="2"/>
        <v>1446</v>
      </c>
      <c r="H18" s="195">
        <f t="shared" si="3"/>
        <v>0.9157694744</v>
      </c>
      <c r="I18" s="196">
        <f>HumSS!I18</f>
        <v>40</v>
      </c>
      <c r="J18" s="196">
        <f>HumSS!J18</f>
        <v>40</v>
      </c>
      <c r="K18" s="196">
        <f>HumSS!K18</f>
        <v>8</v>
      </c>
      <c r="L18" s="197">
        <f>HumSS!L18</f>
        <v>20.16</v>
      </c>
      <c r="M18" s="197">
        <f>HumSS!M18</f>
        <v>50.4</v>
      </c>
      <c r="N18" s="197">
        <f>HumSS!N18</f>
        <v>20.03</v>
      </c>
      <c r="O18" s="196">
        <f>HumSS!O18</f>
        <v>39</v>
      </c>
      <c r="P18" s="196">
        <f>HumSS!P18</f>
        <v>13</v>
      </c>
      <c r="Q18" s="196">
        <f>HumSS!Q18</f>
        <v>2</v>
      </c>
      <c r="R18" s="196">
        <f>HumSS!R18</f>
        <v>3</v>
      </c>
      <c r="S18" s="196">
        <f>HumSS!S18</f>
        <v>23</v>
      </c>
    </row>
    <row r="19" ht="15.75" customHeight="1">
      <c r="A19" s="198" t="s">
        <v>154</v>
      </c>
      <c r="B19" s="180">
        <v>169.0</v>
      </c>
      <c r="C19" s="180">
        <v>181.0</v>
      </c>
      <c r="D19" s="181">
        <f t="shared" si="1"/>
        <v>350</v>
      </c>
      <c r="E19" s="84">
        <f>SCI!E18</f>
        <v>170</v>
      </c>
      <c r="F19" s="84">
        <f>SCI!F18</f>
        <v>181</v>
      </c>
      <c r="G19" s="183">
        <f t="shared" si="2"/>
        <v>351</v>
      </c>
      <c r="H19" s="195">
        <f t="shared" si="3"/>
        <v>1.002857143</v>
      </c>
      <c r="I19" s="196">
        <f>SCI!I18</f>
        <v>40</v>
      </c>
      <c r="J19" s="184">
        <f>SCI!J18</f>
        <v>40</v>
      </c>
      <c r="K19" s="196">
        <f>SCI!K18</f>
        <v>10</v>
      </c>
      <c r="L19" s="197">
        <f>SCI!L18</f>
        <v>25.24</v>
      </c>
      <c r="M19" s="197">
        <f>SCI!M18</f>
        <v>63.1</v>
      </c>
      <c r="N19" s="197">
        <f>SCI!N18</f>
        <v>4.4</v>
      </c>
      <c r="O19" s="196">
        <f>SCI!O18</f>
        <v>29</v>
      </c>
      <c r="P19" s="196">
        <f>SCI!P18</f>
        <v>6</v>
      </c>
      <c r="Q19" s="196">
        <f>SCI!Q18</f>
        <v>13</v>
      </c>
      <c r="R19" s="196">
        <f>SCI!R18</f>
        <v>4</v>
      </c>
      <c r="S19" s="196">
        <f>SCI!S18</f>
        <v>27</v>
      </c>
    </row>
    <row r="20" ht="15.75" customHeight="1">
      <c r="A20" s="179" t="s">
        <v>59</v>
      </c>
      <c r="B20" s="180">
        <v>87.0</v>
      </c>
      <c r="C20" s="180">
        <v>65.0</v>
      </c>
      <c r="D20" s="181">
        <f t="shared" si="1"/>
        <v>152</v>
      </c>
      <c r="E20" s="84">
        <f>SCI!E19</f>
        <v>587</v>
      </c>
      <c r="F20" s="84">
        <f>SCI!F19</f>
        <v>483</v>
      </c>
      <c r="G20" s="183">
        <f t="shared" si="2"/>
        <v>1070</v>
      </c>
      <c r="H20" s="195">
        <f t="shared" si="3"/>
        <v>7.039473684</v>
      </c>
      <c r="I20" s="196">
        <f>SCI!I20</f>
        <v>40</v>
      </c>
      <c r="J20" s="196">
        <f>SCI!J20</f>
        <v>36</v>
      </c>
      <c r="K20" s="196">
        <f>SCI!K20</f>
        <v>7</v>
      </c>
      <c r="L20" s="197">
        <f>SCI!L20</f>
        <v>24.17</v>
      </c>
      <c r="M20" s="197">
        <f>SCI!M20</f>
        <v>60.425</v>
      </c>
      <c r="N20" s="197">
        <f>SCI!N20</f>
        <v>5.02</v>
      </c>
      <c r="O20" s="196">
        <f>SCI!O20</f>
        <v>6</v>
      </c>
      <c r="P20" s="196">
        <f>SCI!P20</f>
        <v>21</v>
      </c>
      <c r="Q20" s="196">
        <f>SCI!Q20</f>
        <v>17</v>
      </c>
      <c r="R20" s="196">
        <f>SCI!R20</f>
        <v>24</v>
      </c>
      <c r="S20" s="196">
        <f>SCI!S20</f>
        <v>7</v>
      </c>
    </row>
    <row r="21" ht="15.75" customHeight="1">
      <c r="A21" s="179" t="s">
        <v>60</v>
      </c>
      <c r="B21" s="180">
        <v>634.0</v>
      </c>
      <c r="C21" s="180">
        <v>556.0</v>
      </c>
      <c r="D21" s="181">
        <f t="shared" si="1"/>
        <v>1190</v>
      </c>
      <c r="E21" s="84">
        <f>SCI!E19</f>
        <v>587</v>
      </c>
      <c r="F21" s="84">
        <f>SCI!F19</f>
        <v>483</v>
      </c>
      <c r="G21" s="183">
        <f t="shared" si="2"/>
        <v>1070</v>
      </c>
      <c r="H21" s="195">
        <f t="shared" si="3"/>
        <v>0.8991596639</v>
      </c>
      <c r="I21" s="199">
        <f>SCI!I19</f>
        <v>40</v>
      </c>
      <c r="J21" s="199">
        <f>SCI!J19</f>
        <v>33</v>
      </c>
      <c r="K21" s="199">
        <f>SCI!K19</f>
        <v>6</v>
      </c>
      <c r="L21" s="197">
        <f>SCI!L19</f>
        <v>16.32</v>
      </c>
      <c r="M21" s="197">
        <f>SCI!M19</f>
        <v>40.8</v>
      </c>
      <c r="N21" s="197">
        <f>SCI!N19</f>
        <v>4.6</v>
      </c>
      <c r="O21" s="196">
        <f>SCI!O19</f>
        <v>21</v>
      </c>
      <c r="P21" s="196">
        <f>SCI!P19</f>
        <v>13</v>
      </c>
      <c r="Q21" s="196">
        <f>SCI!Q19</f>
        <v>16</v>
      </c>
      <c r="R21" s="196">
        <f>SCI!R19</f>
        <v>31</v>
      </c>
      <c r="S21" s="196">
        <f>SCI!S19</f>
        <v>8</v>
      </c>
    </row>
    <row r="22" ht="15.75" customHeight="1">
      <c r="A22" s="179" t="s">
        <v>61</v>
      </c>
      <c r="B22" s="180">
        <v>721.0</v>
      </c>
      <c r="C22" s="180">
        <v>621.0</v>
      </c>
      <c r="D22" s="181">
        <f t="shared" si="1"/>
        <v>1342</v>
      </c>
      <c r="E22" s="84">
        <f>MATH!E18</f>
        <v>689</v>
      </c>
      <c r="F22" s="84">
        <f>MATH!F18</f>
        <v>613</v>
      </c>
      <c r="G22" s="183">
        <f t="shared" si="2"/>
        <v>1302</v>
      </c>
      <c r="H22" s="195">
        <f t="shared" si="3"/>
        <v>0.9701937407</v>
      </c>
      <c r="I22" s="196">
        <f>MATH!I18</f>
        <v>40</v>
      </c>
      <c r="J22" s="196">
        <f>MATH!J18</f>
        <v>31</v>
      </c>
      <c r="K22" s="196">
        <f>MATH!K18</f>
        <v>1</v>
      </c>
      <c r="L22" s="197">
        <f>MATH!L18</f>
        <v>14.23</v>
      </c>
      <c r="M22" s="197">
        <f>MATH!M18</f>
        <v>35.575</v>
      </c>
      <c r="N22" s="197">
        <f>MATH!N18</f>
        <v>4.26</v>
      </c>
      <c r="O22" s="196">
        <f>MATH!O18</f>
        <v>24</v>
      </c>
      <c r="P22" s="196">
        <f>MATH!P18</f>
        <v>8</v>
      </c>
      <c r="Q22" s="196">
        <f>MATH!Q18</f>
        <v>26</v>
      </c>
      <c r="R22" s="196">
        <f>MATH!R18</f>
        <v>13</v>
      </c>
      <c r="S22" s="196">
        <f>MATH!S18</f>
        <v>30</v>
      </c>
    </row>
    <row r="23" ht="15.75" customHeight="1">
      <c r="A23" s="179" t="s">
        <v>62</v>
      </c>
      <c r="B23" s="180">
        <v>848.0</v>
      </c>
      <c r="C23" s="180">
        <v>966.0</v>
      </c>
      <c r="D23" s="181">
        <f t="shared" si="1"/>
        <v>1814</v>
      </c>
      <c r="E23" s="84">
        <f>HumSS!E19</f>
        <v>825</v>
      </c>
      <c r="F23" s="84">
        <f>HumSS!F19</f>
        <v>950</v>
      </c>
      <c r="G23" s="183">
        <f t="shared" si="2"/>
        <v>1775</v>
      </c>
      <c r="H23" s="195">
        <f t="shared" si="3"/>
        <v>0.9785005513</v>
      </c>
      <c r="I23" s="199">
        <f>HumSS!I19</f>
        <v>40</v>
      </c>
      <c r="J23" s="199">
        <f>HumSS!J19</f>
        <v>40</v>
      </c>
      <c r="K23" s="199">
        <f>HumSS!K19</f>
        <v>7</v>
      </c>
      <c r="L23" s="197">
        <f>HumSS!L19</f>
        <v>27.71</v>
      </c>
      <c r="M23" s="197">
        <f>HumSS!M19</f>
        <v>69.275</v>
      </c>
      <c r="N23" s="197">
        <f>HumSS!N19</f>
        <v>6.85</v>
      </c>
      <c r="O23" s="199">
        <f>HumSS!O19</f>
        <v>34</v>
      </c>
      <c r="P23" s="199">
        <f>HumSS!P19</f>
        <v>28</v>
      </c>
      <c r="Q23" s="199">
        <f>HumSS!Q19</f>
        <v>19</v>
      </c>
      <c r="R23" s="199">
        <f>HumSS!R19</f>
        <v>35</v>
      </c>
      <c r="S23" s="199">
        <f>HumSS!S19</f>
        <v>36</v>
      </c>
    </row>
    <row r="24" ht="15.75" customHeight="1">
      <c r="A24" s="179" t="s">
        <v>63</v>
      </c>
      <c r="B24" s="180">
        <v>721.0</v>
      </c>
      <c r="C24" s="180">
        <v>621.0</v>
      </c>
      <c r="D24" s="181">
        <f t="shared" si="1"/>
        <v>1342</v>
      </c>
      <c r="E24" s="84">
        <f>FIL!E18</f>
        <v>671</v>
      </c>
      <c r="F24" s="84">
        <f>FIL!F18</f>
        <v>547</v>
      </c>
      <c r="G24" s="183">
        <f t="shared" si="2"/>
        <v>1218</v>
      </c>
      <c r="H24" s="195">
        <f t="shared" si="3"/>
        <v>0.9076005961</v>
      </c>
      <c r="I24" s="199">
        <f>FIL!I18</f>
        <v>40</v>
      </c>
      <c r="J24" s="199">
        <f>FIL!J18</f>
        <v>38</v>
      </c>
      <c r="K24" s="199">
        <f>FIL!K18</f>
        <v>6</v>
      </c>
      <c r="L24" s="197">
        <f>FIL!L18</f>
        <v>24.72</v>
      </c>
      <c r="M24" s="197">
        <f>FIL!M18</f>
        <v>61.8</v>
      </c>
      <c r="N24" s="197">
        <f>FIL!N18</f>
        <v>4.8</v>
      </c>
      <c r="O24" s="199">
        <f>FIL!O18</f>
        <v>17</v>
      </c>
      <c r="P24" s="199">
        <f>FIL!P18</f>
        <v>15</v>
      </c>
      <c r="Q24" s="199">
        <f>FIL!Q18</f>
        <v>29</v>
      </c>
      <c r="R24" s="199">
        <f>FIL!R18</f>
        <v>22</v>
      </c>
      <c r="S24" s="199">
        <f>FIL!S18</f>
        <v>14</v>
      </c>
    </row>
    <row r="25" ht="15.75" customHeight="1">
      <c r="A25" s="179" t="s">
        <v>44</v>
      </c>
      <c r="B25" s="180">
        <v>848.0</v>
      </c>
      <c r="C25" s="180">
        <v>966.0</v>
      </c>
      <c r="D25" s="181">
        <f t="shared" si="1"/>
        <v>1814</v>
      </c>
      <c r="E25" s="84">
        <f>ENG!E19</f>
        <v>799</v>
      </c>
      <c r="F25" s="84">
        <f>ENG!F19</f>
        <v>963</v>
      </c>
      <c r="G25" s="183">
        <f t="shared" si="2"/>
        <v>1762</v>
      </c>
      <c r="H25" s="195">
        <f t="shared" si="3"/>
        <v>0.9713340684</v>
      </c>
      <c r="I25" s="199">
        <f>ENG!I19</f>
        <v>40</v>
      </c>
      <c r="J25" s="199">
        <f>ENG!J19</f>
        <v>39</v>
      </c>
      <c r="K25" s="199">
        <f>ENG!K19</f>
        <v>9</v>
      </c>
      <c r="L25" s="197">
        <f>ENG!L19</f>
        <v>26.2</v>
      </c>
      <c r="M25" s="197">
        <f>ENG!M19</f>
        <v>65.5</v>
      </c>
      <c r="N25" s="197">
        <f>ENG!N19</f>
        <v>5.4</v>
      </c>
      <c r="O25" s="196">
        <f>ENG!O19</f>
        <v>23</v>
      </c>
      <c r="P25" s="196">
        <f>ENG!P19</f>
        <v>21</v>
      </c>
      <c r="Q25" s="196">
        <f>ENG!Q19</f>
        <v>16</v>
      </c>
      <c r="R25" s="196">
        <f>ENG!R19</f>
        <v>34</v>
      </c>
      <c r="S25" s="196">
        <f>ENG!S19</f>
        <v>15</v>
      </c>
    </row>
    <row r="26" ht="15.75" customHeight="1">
      <c r="A26" s="179" t="s">
        <v>45</v>
      </c>
      <c r="B26" s="180">
        <v>721.0</v>
      </c>
      <c r="C26" s="180">
        <v>621.0</v>
      </c>
      <c r="D26" s="181">
        <f t="shared" si="1"/>
        <v>1342</v>
      </c>
      <c r="E26" s="84">
        <f>ENG!E20</f>
        <v>726</v>
      </c>
      <c r="F26" s="84">
        <f>ENG!F20</f>
        <v>562</v>
      </c>
      <c r="G26" s="183">
        <f t="shared" si="2"/>
        <v>1288</v>
      </c>
      <c r="H26" s="195">
        <f t="shared" si="3"/>
        <v>0.9597615499</v>
      </c>
      <c r="I26" s="199">
        <f>ENG!I20</f>
        <v>40</v>
      </c>
      <c r="J26" s="199">
        <f>ENG!J20</f>
        <v>40</v>
      </c>
      <c r="K26" s="199">
        <f>ENG!K20</f>
        <v>5</v>
      </c>
      <c r="L26" s="197">
        <f>ENG!L20</f>
        <v>21.89</v>
      </c>
      <c r="M26" s="197">
        <f>ENG!M20</f>
        <v>54.725</v>
      </c>
      <c r="N26" s="197">
        <f>ENG!N20</f>
        <v>6.34</v>
      </c>
      <c r="O26" s="196">
        <f>ENG!O20</f>
        <v>22</v>
      </c>
      <c r="P26" s="196">
        <f>ENG!P20</f>
        <v>23</v>
      </c>
      <c r="Q26" s="196">
        <f>ENG!Q20</f>
        <v>16</v>
      </c>
      <c r="R26" s="196">
        <f>ENG!R20</f>
        <v>30</v>
      </c>
      <c r="S26" s="196">
        <f>ENG!S20</f>
        <v>25</v>
      </c>
    </row>
    <row r="27" ht="15.75" customHeight="1">
      <c r="A27" s="179" t="s">
        <v>64</v>
      </c>
      <c r="B27" s="180">
        <v>769.0</v>
      </c>
      <c r="C27" s="180">
        <v>891.0</v>
      </c>
      <c r="D27" s="181">
        <f t="shared" si="1"/>
        <v>1660</v>
      </c>
      <c r="E27" s="84">
        <f>FIL!E19</f>
        <v>768</v>
      </c>
      <c r="F27" s="84">
        <f>FIL!F19</f>
        <v>882</v>
      </c>
      <c r="G27" s="183">
        <f t="shared" si="2"/>
        <v>1650</v>
      </c>
      <c r="H27" s="195">
        <f t="shared" si="3"/>
        <v>0.9939759036</v>
      </c>
      <c r="I27" s="199">
        <f>FIL!I19</f>
        <v>40</v>
      </c>
      <c r="J27" s="200">
        <f>FIL!J19</f>
        <v>40</v>
      </c>
      <c r="K27" s="199">
        <f>FIL!K19</f>
        <v>8</v>
      </c>
      <c r="L27" s="197">
        <f>FIL!L19</f>
        <v>24.43</v>
      </c>
      <c r="M27" s="197">
        <f>FIL!M19</f>
        <v>61.075</v>
      </c>
      <c r="N27" s="197">
        <f>FIL!N19</f>
        <v>4.91</v>
      </c>
      <c r="O27" s="199">
        <f>FIL!O19</f>
        <v>27</v>
      </c>
      <c r="P27" s="199">
        <f>FIL!P19</f>
        <v>28</v>
      </c>
      <c r="Q27" s="199">
        <f>FIL!Q19</f>
        <v>4</v>
      </c>
      <c r="R27" s="199">
        <f>FIL!R19</f>
        <v>25</v>
      </c>
      <c r="S27" s="199">
        <f>FIL!S19</f>
        <v>6</v>
      </c>
    </row>
    <row r="28" ht="15.75" customHeight="1">
      <c r="A28" s="179" t="s">
        <v>65</v>
      </c>
      <c r="B28" s="180">
        <v>769.0</v>
      </c>
      <c r="C28" s="180">
        <v>891.0</v>
      </c>
      <c r="D28" s="181">
        <f t="shared" si="1"/>
        <v>1660</v>
      </c>
      <c r="E28" s="84">
        <f>ESP!E18</f>
        <v>762</v>
      </c>
      <c r="F28" s="84">
        <f>ESP!F18</f>
        <v>887</v>
      </c>
      <c r="G28" s="183">
        <f t="shared" si="2"/>
        <v>1649</v>
      </c>
      <c r="H28" s="195">
        <f t="shared" si="3"/>
        <v>0.993373494</v>
      </c>
      <c r="I28" s="184">
        <v>40.0</v>
      </c>
      <c r="J28" s="199">
        <f>ESP!J18</f>
        <v>38</v>
      </c>
      <c r="K28" s="199">
        <f>ESP!K18</f>
        <v>5</v>
      </c>
      <c r="L28" s="197">
        <f>ESP!L18</f>
        <v>29.04</v>
      </c>
      <c r="M28" s="197">
        <f>ESP!M18</f>
        <v>72.6</v>
      </c>
      <c r="N28" s="197">
        <f>ESP!N18</f>
        <v>4.85</v>
      </c>
      <c r="O28" s="196">
        <f>ESP!O18</f>
        <v>7</v>
      </c>
      <c r="P28" s="196">
        <f>ESP!P18</f>
        <v>8</v>
      </c>
      <c r="Q28" s="196">
        <f>ESP!Q18</f>
        <v>38</v>
      </c>
      <c r="R28" s="196">
        <f>ESP!R18</f>
        <v>9</v>
      </c>
      <c r="S28" s="196">
        <f>ESP!S18</f>
        <v>40</v>
      </c>
    </row>
    <row r="29" ht="15.75" customHeight="1">
      <c r="A29" s="179" t="s">
        <v>66</v>
      </c>
      <c r="B29" s="180">
        <v>769.0</v>
      </c>
      <c r="C29" s="180">
        <v>891.0</v>
      </c>
      <c r="D29" s="181">
        <f t="shared" si="1"/>
        <v>1660</v>
      </c>
      <c r="E29" s="84" t="str">
        <f>PE!E18</f>
        <v/>
      </c>
      <c r="F29" s="84" t="str">
        <f>PE!F18</f>
        <v/>
      </c>
      <c r="G29" s="183">
        <f t="shared" si="2"/>
        <v>0</v>
      </c>
      <c r="H29" s="195">
        <f t="shared" si="3"/>
        <v>0</v>
      </c>
      <c r="I29" s="199">
        <f>PE!I18</f>
        <v>40</v>
      </c>
      <c r="J29" s="199" t="str">
        <f>PE!J18</f>
        <v/>
      </c>
      <c r="K29" s="199" t="str">
        <f>PE!K18</f>
        <v/>
      </c>
      <c r="L29" s="197" t="str">
        <f>PE!L18</f>
        <v/>
      </c>
      <c r="M29" s="197">
        <f>PE!M18</f>
        <v>0</v>
      </c>
      <c r="N29" s="197" t="str">
        <f>PE!N18</f>
        <v/>
      </c>
      <c r="O29" s="196" t="str">
        <f>PE!O18</f>
        <v/>
      </c>
      <c r="P29" s="196" t="str">
        <f>PE!P18</f>
        <v/>
      </c>
      <c r="Q29" s="196" t="str">
        <f>PE!Q18</f>
        <v/>
      </c>
      <c r="R29" s="196" t="str">
        <f>PE!R18</f>
        <v/>
      </c>
      <c r="S29" s="196" t="str">
        <f>PE!S18</f>
        <v/>
      </c>
    </row>
    <row r="30" ht="15.75" customHeight="1">
      <c r="A30" s="179" t="s">
        <v>67</v>
      </c>
      <c r="B30" s="180">
        <v>848.0</v>
      </c>
      <c r="C30" s="180">
        <v>966.0</v>
      </c>
      <c r="D30" s="181">
        <f t="shared" si="1"/>
        <v>1814</v>
      </c>
      <c r="E30" s="84" t="str">
        <f>PE!E19</f>
        <v/>
      </c>
      <c r="F30" s="84" t="str">
        <f>PE!F19</f>
        <v/>
      </c>
      <c r="G30" s="183">
        <f t="shared" si="2"/>
        <v>0</v>
      </c>
      <c r="H30" s="195">
        <f t="shared" si="3"/>
        <v>0</v>
      </c>
      <c r="I30" s="199">
        <f>PE!I19</f>
        <v>40</v>
      </c>
      <c r="J30" s="199" t="str">
        <f>PE!J19</f>
        <v/>
      </c>
      <c r="K30" s="199" t="str">
        <f>PE!K19</f>
        <v/>
      </c>
      <c r="L30" s="197" t="str">
        <f>PE!L19</f>
        <v/>
      </c>
      <c r="M30" s="197">
        <f>PE!M19</f>
        <v>0</v>
      </c>
      <c r="N30" s="197" t="str">
        <f>PE!N19</f>
        <v/>
      </c>
      <c r="O30" s="196" t="str">
        <f>PE!O19</f>
        <v/>
      </c>
      <c r="P30" s="196" t="str">
        <f>PE!P19</f>
        <v/>
      </c>
      <c r="Q30" s="196" t="str">
        <f>PE!Q19</f>
        <v/>
      </c>
      <c r="R30" s="196" t="str">
        <f>PE!R19</f>
        <v/>
      </c>
      <c r="S30" s="196" t="str">
        <f>PE!S19</f>
        <v/>
      </c>
    </row>
    <row r="31" ht="15.75" customHeight="1">
      <c r="A31" s="179" t="s">
        <v>68</v>
      </c>
      <c r="B31" s="180">
        <v>600.0</v>
      </c>
      <c r="C31" s="180">
        <v>710.0</v>
      </c>
      <c r="D31" s="181">
        <f t="shared" si="1"/>
        <v>1310</v>
      </c>
      <c r="E31" s="84">
        <f>SCI!E21</f>
        <v>600</v>
      </c>
      <c r="F31" s="84">
        <f>SCI!F21</f>
        <v>710</v>
      </c>
      <c r="G31" s="183">
        <f t="shared" si="2"/>
        <v>1310</v>
      </c>
      <c r="H31" s="195">
        <f t="shared" si="3"/>
        <v>1</v>
      </c>
      <c r="I31" s="196">
        <f>SCI!I21</f>
        <v>40</v>
      </c>
      <c r="J31" s="196">
        <f>SCI!J21</f>
        <v>40</v>
      </c>
      <c r="K31" s="196">
        <f>SCI!K21</f>
        <v>6</v>
      </c>
      <c r="L31" s="197">
        <f>SCI!L21</f>
        <v>20.67</v>
      </c>
      <c r="M31" s="197">
        <f>SCI!M21</f>
        <v>51.675</v>
      </c>
      <c r="N31" s="197">
        <f>SCI!N21</f>
        <v>5.77</v>
      </c>
      <c r="O31" s="196">
        <f>SCI!O21</f>
        <v>32</v>
      </c>
      <c r="P31" s="196">
        <f>SCI!P21</f>
        <v>15</v>
      </c>
      <c r="Q31" s="196">
        <f>SCI!Q21</f>
        <v>26</v>
      </c>
      <c r="R31" s="196">
        <f>SCI!R21</f>
        <v>24</v>
      </c>
      <c r="S31" s="196">
        <f>SCI!S21</f>
        <v>25</v>
      </c>
    </row>
    <row r="32" ht="15.75" customHeight="1">
      <c r="A32" s="179" t="s">
        <v>46</v>
      </c>
      <c r="B32" s="180">
        <v>769.0</v>
      </c>
      <c r="C32" s="180">
        <v>891.0</v>
      </c>
      <c r="D32" s="181">
        <f t="shared" si="1"/>
        <v>1660</v>
      </c>
      <c r="E32" s="84">
        <f>ENG!E21</f>
        <v>755</v>
      </c>
      <c r="F32" s="84">
        <f>ENG!F21</f>
        <v>877</v>
      </c>
      <c r="G32" s="183">
        <f t="shared" si="2"/>
        <v>1632</v>
      </c>
      <c r="H32" s="195">
        <f t="shared" si="3"/>
        <v>0.9831325301</v>
      </c>
      <c r="I32" s="201">
        <f>ENG!I21</f>
        <v>40</v>
      </c>
      <c r="J32" s="199">
        <f>ENG!J21</f>
        <v>38</v>
      </c>
      <c r="K32" s="199">
        <f>ENG!K21</f>
        <v>8</v>
      </c>
      <c r="L32" s="197">
        <f>ENG!L21</f>
        <v>26.94</v>
      </c>
      <c r="M32" s="197">
        <f>ENG!M21</f>
        <v>67.35</v>
      </c>
      <c r="N32" s="197">
        <f>ENG!N21</f>
        <v>8.94</v>
      </c>
      <c r="O32" s="196">
        <f>ENG!O21</f>
        <v>34</v>
      </c>
      <c r="P32" s="196">
        <f>ENG!P21</f>
        <v>21</v>
      </c>
      <c r="Q32" s="196">
        <f>ENG!Q21</f>
        <v>23</v>
      </c>
      <c r="R32" s="196">
        <f>ENG!R21</f>
        <v>34</v>
      </c>
      <c r="S32" s="196">
        <f>ENG!S21</f>
        <v>36</v>
      </c>
    </row>
    <row r="33" ht="15.75" customHeight="1">
      <c r="A33" s="179" t="s">
        <v>69</v>
      </c>
      <c r="B33" s="180">
        <v>769.0</v>
      </c>
      <c r="C33" s="180">
        <v>891.0</v>
      </c>
      <c r="D33" s="181">
        <f t="shared" si="1"/>
        <v>1660</v>
      </c>
      <c r="E33" s="84">
        <f>MATH!E19</f>
        <v>767</v>
      </c>
      <c r="F33" s="84">
        <f>MATH!F19</f>
        <v>888</v>
      </c>
      <c r="G33" s="183">
        <f t="shared" si="2"/>
        <v>1655</v>
      </c>
      <c r="H33" s="195">
        <f t="shared" si="3"/>
        <v>0.9969879518</v>
      </c>
      <c r="I33" s="199">
        <f>MATH!I19</f>
        <v>40</v>
      </c>
      <c r="J33" s="199">
        <f>MATH!J19</f>
        <v>38</v>
      </c>
      <c r="K33" s="199">
        <f>MATH!K19</f>
        <v>5</v>
      </c>
      <c r="L33" s="197">
        <f>MATH!L19</f>
        <v>19.31</v>
      </c>
      <c r="M33" s="197">
        <f>MATH!M19</f>
        <v>48.275</v>
      </c>
      <c r="N33" s="197">
        <f>MATH!N19</f>
        <v>5.25</v>
      </c>
      <c r="O33" s="196">
        <f>MATH!O19</f>
        <v>12</v>
      </c>
      <c r="P33" s="196">
        <f>MATH!P19</f>
        <v>2</v>
      </c>
      <c r="Q33" s="196">
        <f>MATH!Q19</f>
        <v>39</v>
      </c>
      <c r="R33" s="196">
        <f>MATH!R19</f>
        <v>22</v>
      </c>
      <c r="S33" s="196">
        <f>MATH!S19</f>
        <v>8</v>
      </c>
    </row>
    <row r="34" ht="15.75" customHeight="1">
      <c r="A34" s="179" t="s">
        <v>70</v>
      </c>
      <c r="B34" s="180">
        <v>721.0</v>
      </c>
      <c r="C34" s="180">
        <v>621.0</v>
      </c>
      <c r="D34" s="181">
        <f t="shared" si="1"/>
        <v>1342</v>
      </c>
      <c r="E34" s="84">
        <f>HumSS!E20</f>
        <v>712</v>
      </c>
      <c r="F34" s="84">
        <f>HumSS!F20</f>
        <v>578</v>
      </c>
      <c r="G34" s="183">
        <f t="shared" si="2"/>
        <v>1290</v>
      </c>
      <c r="H34" s="195">
        <f t="shared" si="3"/>
        <v>0.9612518629</v>
      </c>
      <c r="I34" s="199">
        <f>HumSS!I20</f>
        <v>40</v>
      </c>
      <c r="J34" s="199">
        <f>HumSS!J20</f>
        <v>37</v>
      </c>
      <c r="K34" s="199">
        <f>HumSS!K20</f>
        <v>5</v>
      </c>
      <c r="L34" s="197">
        <f>HumSS!L20</f>
        <v>16.47</v>
      </c>
      <c r="M34" s="197">
        <f>HumSS!M20</f>
        <v>41.175</v>
      </c>
      <c r="N34" s="197">
        <f>HumSS!N20</f>
        <v>4.23</v>
      </c>
      <c r="O34" s="199">
        <f>HumSS!O20</f>
        <v>8</v>
      </c>
      <c r="P34" s="199">
        <f>HumSS!P20</f>
        <v>19</v>
      </c>
      <c r="Q34" s="199">
        <f>HumSS!Q20</f>
        <v>33</v>
      </c>
      <c r="R34" s="199">
        <f>HumSS!R20</f>
        <v>4</v>
      </c>
      <c r="S34" s="199">
        <f>HumSS!S20</f>
        <v>21</v>
      </c>
    </row>
    <row r="35" ht="15.75" customHeight="1">
      <c r="A35" s="38" t="s">
        <v>40</v>
      </c>
      <c r="B35" s="101">
        <f t="shared" ref="B35:G35" si="4">SUM(B17:B34)</f>
        <v>12604</v>
      </c>
      <c r="C35" s="101">
        <f t="shared" si="4"/>
        <v>12993</v>
      </c>
      <c r="D35" s="101">
        <f t="shared" si="4"/>
        <v>25597</v>
      </c>
      <c r="E35" s="101">
        <f t="shared" si="4"/>
        <v>11026</v>
      </c>
      <c r="F35" s="101">
        <f t="shared" si="4"/>
        <v>11056</v>
      </c>
      <c r="G35" s="101">
        <f t="shared" si="4"/>
        <v>22082</v>
      </c>
      <c r="H35" s="202">
        <f>IFERROR((AVERAGE(H17:H34)),"")</f>
        <v>1.190009544</v>
      </c>
      <c r="I35" s="102">
        <f t="shared" ref="I35:N35" si="5">IFERROR(AVERAGE(I17:I34)," ")</f>
        <v>40</v>
      </c>
      <c r="J35" s="103">
        <f t="shared" si="5"/>
        <v>37.875</v>
      </c>
      <c r="K35" s="103">
        <f t="shared" si="5"/>
        <v>6.6875</v>
      </c>
      <c r="L35" s="103">
        <f t="shared" si="5"/>
        <v>22.625</v>
      </c>
      <c r="M35" s="103">
        <f t="shared" si="5"/>
        <v>50.27777778</v>
      </c>
      <c r="N35" s="103">
        <f t="shared" si="5"/>
        <v>6.259375</v>
      </c>
      <c r="O35" s="203"/>
      <c r="P35" s="203"/>
      <c r="Q35" s="203"/>
      <c r="R35" s="203"/>
      <c r="S35" s="203"/>
    </row>
    <row r="36" ht="15.75" customHeight="1">
      <c r="A36" s="19"/>
      <c r="B36" s="204"/>
      <c r="C36" s="204"/>
      <c r="D36" s="204"/>
      <c r="E36" s="204"/>
      <c r="F36" s="204"/>
      <c r="G36" s="204"/>
      <c r="H36" s="205"/>
      <c r="I36" s="19"/>
      <c r="J36" s="19"/>
      <c r="K36" s="19"/>
      <c r="L36" s="206"/>
      <c r="M36" s="206"/>
      <c r="N36" s="206"/>
      <c r="O36" s="207"/>
      <c r="P36" s="208"/>
      <c r="Q36" s="207"/>
      <c r="R36" s="207"/>
      <c r="S36" s="207"/>
    </row>
    <row r="37" ht="15.75" customHeight="1">
      <c r="A37" s="39" t="s">
        <v>28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2"/>
    </row>
    <row r="38" ht="15.75" customHeight="1">
      <c r="A38" s="209" t="s">
        <v>9</v>
      </c>
      <c r="B38" s="24" t="s">
        <v>10</v>
      </c>
      <c r="C38" s="25"/>
      <c r="D38" s="26"/>
      <c r="E38" s="24" t="s">
        <v>11</v>
      </c>
      <c r="F38" s="25"/>
      <c r="G38" s="26"/>
      <c r="H38" s="27" t="s">
        <v>12</v>
      </c>
      <c r="I38" s="28" t="s">
        <v>13</v>
      </c>
      <c r="J38" s="28" t="s">
        <v>14</v>
      </c>
      <c r="K38" s="28" t="s">
        <v>15</v>
      </c>
      <c r="L38" s="23" t="s">
        <v>16</v>
      </c>
      <c r="M38" s="28" t="s">
        <v>17</v>
      </c>
      <c r="N38" s="28" t="s">
        <v>18</v>
      </c>
      <c r="O38" s="29" t="s">
        <v>19</v>
      </c>
      <c r="P38" s="25"/>
      <c r="Q38" s="25"/>
      <c r="R38" s="25"/>
      <c r="S38" s="26"/>
    </row>
    <row r="39" ht="15.75" customHeight="1">
      <c r="A39" s="30"/>
      <c r="B39" s="31"/>
      <c r="C39" s="32"/>
      <c r="D39" s="33"/>
      <c r="E39" s="31"/>
      <c r="F39" s="32"/>
      <c r="G39" s="33"/>
      <c r="H39" s="30"/>
      <c r="I39" s="30"/>
      <c r="J39" s="30"/>
      <c r="K39" s="30"/>
      <c r="L39" s="30"/>
      <c r="M39" s="30"/>
      <c r="N39" s="30"/>
      <c r="O39" s="34"/>
      <c r="S39" s="35"/>
    </row>
    <row r="40" ht="15.75" customHeight="1">
      <c r="A40" s="30"/>
      <c r="B40" s="36" t="s">
        <v>20</v>
      </c>
      <c r="C40" s="36" t="s">
        <v>21</v>
      </c>
      <c r="D40" s="36" t="s">
        <v>22</v>
      </c>
      <c r="E40" s="36" t="s">
        <v>20</v>
      </c>
      <c r="F40" s="36" t="s">
        <v>21</v>
      </c>
      <c r="G40" s="36" t="s">
        <v>22</v>
      </c>
      <c r="H40" s="30"/>
      <c r="I40" s="30"/>
      <c r="J40" s="30"/>
      <c r="K40" s="30"/>
      <c r="L40" s="30"/>
      <c r="M40" s="30"/>
      <c r="N40" s="30"/>
      <c r="O40" s="31"/>
      <c r="P40" s="32"/>
      <c r="Q40" s="32"/>
      <c r="R40" s="32"/>
      <c r="S40" s="33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8" t="s">
        <v>23</v>
      </c>
      <c r="P41" s="38" t="s">
        <v>24</v>
      </c>
      <c r="Q41" s="38" t="s">
        <v>25</v>
      </c>
      <c r="R41" s="38" t="s">
        <v>26</v>
      </c>
      <c r="S41" s="38" t="s">
        <v>27</v>
      </c>
    </row>
    <row r="42" ht="15.75" customHeight="1">
      <c r="A42" s="179" t="s">
        <v>71</v>
      </c>
      <c r="B42" s="180">
        <v>861.0</v>
      </c>
      <c r="C42" s="180">
        <v>718.0</v>
      </c>
      <c r="D42" s="181">
        <f t="shared" ref="D42:D47" si="6">SUM(B42:C42)</f>
        <v>1579</v>
      </c>
      <c r="E42" s="84">
        <f>TVL!E18</f>
        <v>825</v>
      </c>
      <c r="F42" s="84">
        <f>TVL!F18</f>
        <v>690</v>
      </c>
      <c r="G42" s="183">
        <f t="shared" ref="G42:G47" si="7">SUM(E42:F42)</f>
        <v>1515</v>
      </c>
      <c r="H42" s="195">
        <f t="shared" ref="H42:H47" si="8">IFERROR((G42/D42),"")</f>
        <v>0.9594680177</v>
      </c>
      <c r="I42" s="84">
        <f>TVL!I18</f>
        <v>40</v>
      </c>
      <c r="J42" s="84">
        <f>TVL!J18</f>
        <v>39</v>
      </c>
      <c r="K42" s="84">
        <f>TVL!K18</f>
        <v>6</v>
      </c>
      <c r="L42" s="210">
        <f>TVL!L18</f>
        <v>22.53</v>
      </c>
      <c r="M42" s="210">
        <f>TVL!M18</f>
        <v>56.325</v>
      </c>
      <c r="N42" s="210">
        <f>TVL!N18</f>
        <v>5.74</v>
      </c>
      <c r="O42" s="84">
        <f>TVL!O18</f>
        <v>27</v>
      </c>
      <c r="P42" s="84">
        <f>TVL!P18</f>
        <v>17</v>
      </c>
      <c r="Q42" s="84">
        <f>TVL!Q18</f>
        <v>29</v>
      </c>
      <c r="R42" s="84">
        <f>TVL!R18</f>
        <v>23</v>
      </c>
      <c r="S42" s="84">
        <f>TVL!S18</f>
        <v>15</v>
      </c>
    </row>
    <row r="43" ht="15.75" customHeight="1">
      <c r="A43" s="179" t="s">
        <v>47</v>
      </c>
      <c r="B43" s="180">
        <v>721.0</v>
      </c>
      <c r="C43" s="180">
        <v>621.0</v>
      </c>
      <c r="D43" s="181">
        <f t="shared" si="6"/>
        <v>1342</v>
      </c>
      <c r="E43" s="84">
        <f>ENG!E23</f>
        <v>674</v>
      </c>
      <c r="F43" s="84">
        <f>ENG!F23</f>
        <v>594</v>
      </c>
      <c r="G43" s="183">
        <f t="shared" si="7"/>
        <v>1268</v>
      </c>
      <c r="H43" s="195">
        <f t="shared" si="8"/>
        <v>0.9448584203</v>
      </c>
      <c r="I43" s="201">
        <f>ENG!I23</f>
        <v>40</v>
      </c>
      <c r="J43" s="201">
        <f>ENG!J23</f>
        <v>34</v>
      </c>
      <c r="K43" s="201">
        <f>ENG!K23</f>
        <v>13</v>
      </c>
      <c r="L43" s="211">
        <f>ENG!L23</f>
        <v>23.5</v>
      </c>
      <c r="M43" s="211">
        <f>ENG!M23</f>
        <v>58.75</v>
      </c>
      <c r="N43" s="211">
        <f>ENG!N23</f>
        <v>3.5</v>
      </c>
      <c r="O43" s="201">
        <f>ENG!O23</f>
        <v>36</v>
      </c>
      <c r="P43" s="201">
        <f>ENG!P23</f>
        <v>9</v>
      </c>
      <c r="Q43" s="201">
        <f>ENG!Q23</f>
        <v>6</v>
      </c>
      <c r="R43" s="201">
        <f>ENG!R23</f>
        <v>11</v>
      </c>
      <c r="S43" s="201">
        <f>ENG!S23</f>
        <v>3</v>
      </c>
    </row>
    <row r="44" ht="15.75" customHeight="1">
      <c r="A44" s="179" t="s">
        <v>29</v>
      </c>
      <c r="B44" s="180">
        <v>1709.0</v>
      </c>
      <c r="C44" s="180">
        <v>1684.0</v>
      </c>
      <c r="D44" s="181">
        <f t="shared" si="6"/>
        <v>3393</v>
      </c>
      <c r="E44" s="84">
        <f>ABM!E18</f>
        <v>1661</v>
      </c>
      <c r="F44" s="84">
        <f>ABM!F18</f>
        <v>1579</v>
      </c>
      <c r="G44" s="183">
        <f t="shared" si="7"/>
        <v>3240</v>
      </c>
      <c r="H44" s="195">
        <f t="shared" si="8"/>
        <v>0.9549071618</v>
      </c>
      <c r="I44" s="184">
        <v>40.0</v>
      </c>
      <c r="J44" s="199">
        <f>ABM!J18</f>
        <v>39</v>
      </c>
      <c r="K44" s="199">
        <f>ABM!K18</f>
        <v>3</v>
      </c>
      <c r="L44" s="211">
        <f>ABM!L18</f>
        <v>28.96</v>
      </c>
      <c r="M44" s="211">
        <f>ABM!M18</f>
        <v>72.4</v>
      </c>
      <c r="N44" s="211">
        <f>ABM!N18</f>
        <v>6.21</v>
      </c>
      <c r="O44" s="196">
        <f>ABM!O18</f>
        <v>16</v>
      </c>
      <c r="P44" s="196">
        <f>ABM!P18</f>
        <v>24</v>
      </c>
      <c r="Q44" s="196">
        <f>ABM!Q18</f>
        <v>17</v>
      </c>
      <c r="R44" s="196">
        <f>ABM!R18</f>
        <v>18</v>
      </c>
      <c r="S44" s="196">
        <f>ABM!S18</f>
        <v>28</v>
      </c>
    </row>
    <row r="45" ht="15.75" customHeight="1">
      <c r="A45" s="179" t="s">
        <v>72</v>
      </c>
      <c r="B45" s="180">
        <v>848.0</v>
      </c>
      <c r="C45" s="180">
        <v>966.0</v>
      </c>
      <c r="D45" s="181">
        <f t="shared" si="6"/>
        <v>1814</v>
      </c>
      <c r="E45" s="84">
        <f>FIL!E21</f>
        <v>730</v>
      </c>
      <c r="F45" s="84">
        <f>FIL!F21</f>
        <v>915</v>
      </c>
      <c r="G45" s="183">
        <f t="shared" si="7"/>
        <v>1645</v>
      </c>
      <c r="H45" s="195">
        <f t="shared" si="8"/>
        <v>0.9068357222</v>
      </c>
      <c r="I45" s="84">
        <f>FIL!I21</f>
        <v>40</v>
      </c>
      <c r="J45" s="84">
        <f>FIL!J21</f>
        <v>36</v>
      </c>
      <c r="K45" s="84">
        <f>FIL!K21</f>
        <v>10</v>
      </c>
      <c r="L45" s="210">
        <f>FIL!L21</f>
        <v>23.51</v>
      </c>
      <c r="M45" s="210">
        <f>FIL!M21</f>
        <v>58.775</v>
      </c>
      <c r="N45" s="210">
        <f>FIL!N21</f>
        <v>5.53</v>
      </c>
      <c r="O45" s="84">
        <f>FIL!O21</f>
        <v>40</v>
      </c>
      <c r="P45" s="84">
        <f>FIL!P21</f>
        <v>30</v>
      </c>
      <c r="Q45" s="84">
        <f>FIL!Q21</f>
        <v>26</v>
      </c>
      <c r="R45" s="84">
        <f>FIL!R21</f>
        <v>22</v>
      </c>
      <c r="S45" s="84">
        <f>FIL!S21</f>
        <v>24</v>
      </c>
    </row>
    <row r="46" ht="15.75" customHeight="1">
      <c r="A46" s="179" t="s">
        <v>49</v>
      </c>
      <c r="B46" s="180">
        <v>769.0</v>
      </c>
      <c r="C46" s="180">
        <v>891.0</v>
      </c>
      <c r="D46" s="181">
        <f t="shared" si="6"/>
        <v>1660</v>
      </c>
      <c r="E46" s="84">
        <f>ENG!E25</f>
        <v>747</v>
      </c>
      <c r="F46" s="84">
        <f>ENG!F25</f>
        <v>871</v>
      </c>
      <c r="G46" s="183">
        <f t="shared" si="7"/>
        <v>1618</v>
      </c>
      <c r="H46" s="195">
        <f t="shared" si="8"/>
        <v>0.9746987952</v>
      </c>
      <c r="I46" s="84">
        <f>ENG!I25</f>
        <v>40</v>
      </c>
      <c r="J46" s="84">
        <f>ENG!J25</f>
        <v>40</v>
      </c>
      <c r="K46" s="84">
        <f>ENG!K25</f>
        <v>9</v>
      </c>
      <c r="L46" s="210">
        <f>ENG!L25</f>
        <v>27.56</v>
      </c>
      <c r="M46" s="210">
        <f>ENG!M25</f>
        <v>68.9</v>
      </c>
      <c r="N46" s="210">
        <f>ENG!N25</f>
        <v>6.57</v>
      </c>
      <c r="O46" s="84">
        <f>ENG!O25</f>
        <v>11</v>
      </c>
      <c r="P46" s="84">
        <f>ENG!P25</f>
        <v>2</v>
      </c>
      <c r="Q46" s="84">
        <f>ENG!Q25</f>
        <v>21</v>
      </c>
      <c r="R46" s="84">
        <f>ENG!R25</f>
        <v>26</v>
      </c>
      <c r="S46" s="84">
        <f>ENG!S25</f>
        <v>10</v>
      </c>
    </row>
    <row r="47" ht="15.75" customHeight="1">
      <c r="A47" s="179" t="s">
        <v>50</v>
      </c>
      <c r="B47" s="180">
        <v>1709.0</v>
      </c>
      <c r="C47" s="180">
        <v>1684.0</v>
      </c>
      <c r="D47" s="181">
        <f t="shared" si="6"/>
        <v>3393</v>
      </c>
      <c r="E47" s="84">
        <f>SUM(ENG!E26,SCI!E23)</f>
        <v>1585</v>
      </c>
      <c r="F47" s="84">
        <f>SUM(ENG!F26,SCI!F23)</f>
        <v>1616</v>
      </c>
      <c r="G47" s="183">
        <f t="shared" si="7"/>
        <v>3201</v>
      </c>
      <c r="H47" s="195">
        <f t="shared" si="8"/>
        <v>0.9434129089</v>
      </c>
      <c r="I47" s="196">
        <v>40.0</v>
      </c>
      <c r="J47" s="196">
        <f>IFERROR((AVERAGE(ENG!J26,SCI!J23)),"")</f>
        <v>40</v>
      </c>
      <c r="K47" s="196">
        <f>IFERROR((AVERAGE(ENG!K26,SCI!K23)),"")</f>
        <v>8.5</v>
      </c>
      <c r="L47" s="211">
        <f>IFERROR((AVERAGE(ENG!L26,SCI!L23)),"")</f>
        <v>27.04</v>
      </c>
      <c r="M47" s="47">
        <f>IFERROR(((L47/I47)*100)," ")</f>
        <v>67.6</v>
      </c>
      <c r="N47" s="211">
        <f>IFERROR((AVERAGE(ENG!N26,SCI!N23)),"")</f>
        <v>6.265</v>
      </c>
      <c r="O47" s="196">
        <f>IFERROR((AVERAGE(ENG!O26,SCI!O23)),"")</f>
        <v>9.5</v>
      </c>
      <c r="P47" s="196">
        <f>IFERROR((AVERAGE(ENG!P26,SCI!P23)),"")</f>
        <v>10.5</v>
      </c>
      <c r="Q47" s="196">
        <f>IFERROR((AVERAGE(ENG!Q26,SCI!Q23)),"")</f>
        <v>25</v>
      </c>
      <c r="R47" s="196">
        <f>IFERROR((AVERAGE(ENG!R26,SCI!R23)),"")</f>
        <v>16.5</v>
      </c>
      <c r="S47" s="196">
        <f>IFERROR((AVERAGE(ENG!S26,SCI!S23)),"")</f>
        <v>34</v>
      </c>
    </row>
    <row r="48" ht="15.75" customHeight="1">
      <c r="A48" s="38" t="s">
        <v>40</v>
      </c>
      <c r="B48" s="101">
        <f t="shared" ref="B48:G48" si="9">SUM(B42:B47)</f>
        <v>6617</v>
      </c>
      <c r="C48" s="101">
        <f t="shared" si="9"/>
        <v>6564</v>
      </c>
      <c r="D48" s="101">
        <f t="shared" si="9"/>
        <v>13181</v>
      </c>
      <c r="E48" s="101">
        <f t="shared" si="9"/>
        <v>6222</v>
      </c>
      <c r="F48" s="101">
        <f t="shared" si="9"/>
        <v>6265</v>
      </c>
      <c r="G48" s="101">
        <f t="shared" si="9"/>
        <v>12487</v>
      </c>
      <c r="H48" s="202">
        <f>IFERROR((AVERAGE(H42:H47)),"")</f>
        <v>0.9473635043</v>
      </c>
      <c r="I48" s="203">
        <f t="shared" ref="I48:N48" si="10">IFERROR((AVERAGE(I42:I47))," ")</f>
        <v>40</v>
      </c>
      <c r="J48" s="103">
        <f t="shared" si="10"/>
        <v>38</v>
      </c>
      <c r="K48" s="103">
        <f t="shared" si="10"/>
        <v>8.25</v>
      </c>
      <c r="L48" s="103">
        <f t="shared" si="10"/>
        <v>25.51666667</v>
      </c>
      <c r="M48" s="103">
        <f t="shared" si="10"/>
        <v>63.79166667</v>
      </c>
      <c r="N48" s="103">
        <f t="shared" si="10"/>
        <v>5.635833333</v>
      </c>
      <c r="O48" s="203"/>
      <c r="P48" s="203"/>
      <c r="Q48" s="203"/>
      <c r="R48" s="203"/>
      <c r="S48" s="203"/>
    </row>
    <row r="49" ht="15.75" customHeight="1">
      <c r="A49" s="212"/>
      <c r="B49" s="18"/>
      <c r="C49" s="18"/>
      <c r="D49" s="18"/>
      <c r="E49" s="18"/>
      <c r="F49" s="18"/>
      <c r="G49" s="18"/>
      <c r="H49" s="18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</row>
    <row r="50" ht="15.75" customHeight="1">
      <c r="A50" s="50" t="s">
        <v>31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2"/>
    </row>
    <row r="51" ht="15.75" customHeight="1">
      <c r="A51" s="209" t="s">
        <v>9</v>
      </c>
      <c r="B51" s="24" t="s">
        <v>10</v>
      </c>
      <c r="C51" s="25"/>
      <c r="D51" s="26"/>
      <c r="E51" s="24" t="s">
        <v>11</v>
      </c>
      <c r="F51" s="25"/>
      <c r="G51" s="26"/>
      <c r="H51" s="27" t="s">
        <v>12</v>
      </c>
      <c r="I51" s="28" t="s">
        <v>13</v>
      </c>
      <c r="J51" s="28" t="s">
        <v>14</v>
      </c>
      <c r="K51" s="28" t="s">
        <v>15</v>
      </c>
      <c r="L51" s="23" t="s">
        <v>16</v>
      </c>
      <c r="M51" s="28" t="s">
        <v>17</v>
      </c>
      <c r="N51" s="28" t="s">
        <v>18</v>
      </c>
      <c r="O51" s="29" t="s">
        <v>19</v>
      </c>
      <c r="P51" s="25"/>
      <c r="Q51" s="25"/>
      <c r="R51" s="25"/>
      <c r="S51" s="26"/>
    </row>
    <row r="52" ht="15.75" customHeight="1">
      <c r="A52" s="30"/>
      <c r="B52" s="31"/>
      <c r="C52" s="32"/>
      <c r="D52" s="33"/>
      <c r="E52" s="31"/>
      <c r="F52" s="32"/>
      <c r="G52" s="33"/>
      <c r="H52" s="30"/>
      <c r="I52" s="30"/>
      <c r="J52" s="30"/>
      <c r="K52" s="30"/>
      <c r="L52" s="30"/>
      <c r="M52" s="30"/>
      <c r="N52" s="30"/>
      <c r="O52" s="34"/>
      <c r="S52" s="35"/>
    </row>
    <row r="53" ht="15.75" customHeight="1">
      <c r="A53" s="30"/>
      <c r="B53" s="36" t="s">
        <v>20</v>
      </c>
      <c r="C53" s="36" t="s">
        <v>21</v>
      </c>
      <c r="D53" s="36" t="s">
        <v>22</v>
      </c>
      <c r="E53" s="36" t="s">
        <v>20</v>
      </c>
      <c r="F53" s="36" t="s">
        <v>21</v>
      </c>
      <c r="G53" s="36" t="s">
        <v>22</v>
      </c>
      <c r="H53" s="30"/>
      <c r="I53" s="30"/>
      <c r="J53" s="30"/>
      <c r="K53" s="30"/>
      <c r="L53" s="30"/>
      <c r="M53" s="30"/>
      <c r="N53" s="30"/>
      <c r="O53" s="31"/>
      <c r="P53" s="32"/>
      <c r="Q53" s="32"/>
      <c r="R53" s="32"/>
      <c r="S53" s="33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8" t="s">
        <v>23</v>
      </c>
      <c r="P54" s="38" t="s">
        <v>24</v>
      </c>
      <c r="Q54" s="38" t="s">
        <v>25</v>
      </c>
      <c r="R54" s="38" t="s">
        <v>26</v>
      </c>
      <c r="S54" s="38" t="s">
        <v>27</v>
      </c>
    </row>
    <row r="55" ht="15.75" customHeight="1">
      <c r="A55" s="213" t="s">
        <v>8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2"/>
    </row>
    <row r="56" ht="15.75" hidden="1" customHeight="1">
      <c r="A56" s="214" t="s">
        <v>32</v>
      </c>
      <c r="B56" s="180" t="s">
        <v>30</v>
      </c>
      <c r="C56" s="180" t="s">
        <v>30</v>
      </c>
      <c r="D56" s="215">
        <f t="shared" ref="D56:D63" si="11">SUM(B56:C56)</f>
        <v>0</v>
      </c>
      <c r="E56" s="84"/>
      <c r="F56" s="216"/>
      <c r="G56" s="217">
        <f t="shared" ref="G56:G63" si="12">SUM(E56:F56)</f>
        <v>0</v>
      </c>
      <c r="H56" s="218" t="str">
        <f t="shared" ref="H56:H63" si="13">IFERROR((G56/D56),"")</f>
        <v/>
      </c>
      <c r="I56" s="196"/>
      <c r="J56" s="196"/>
      <c r="K56" s="196"/>
      <c r="L56" s="219"/>
      <c r="M56" s="47" t="str">
        <f t="shared" ref="M56:M57" si="14">IFERROR(((L56/I56)*100)," ")</f>
        <v> </v>
      </c>
      <c r="N56" s="220"/>
      <c r="O56" s="56"/>
      <c r="P56" s="56"/>
      <c r="Q56" s="56"/>
      <c r="R56" s="56"/>
      <c r="S56" s="56"/>
    </row>
    <row r="57" ht="15.75" hidden="1" customHeight="1">
      <c r="A57" s="214" t="s">
        <v>33</v>
      </c>
      <c r="B57" s="180" t="s">
        <v>30</v>
      </c>
      <c r="C57" s="180" t="s">
        <v>30</v>
      </c>
      <c r="D57" s="215">
        <f t="shared" si="11"/>
        <v>0</v>
      </c>
      <c r="E57" s="84"/>
      <c r="F57" s="216"/>
      <c r="G57" s="217">
        <f t="shared" si="12"/>
        <v>0</v>
      </c>
      <c r="H57" s="218" t="str">
        <f t="shared" si="13"/>
        <v/>
      </c>
      <c r="I57" s="196"/>
      <c r="J57" s="196"/>
      <c r="K57" s="196"/>
      <c r="L57" s="219"/>
      <c r="M57" s="47" t="str">
        <f t="shared" si="14"/>
        <v> </v>
      </c>
      <c r="N57" s="220"/>
      <c r="O57" s="56"/>
      <c r="P57" s="56"/>
      <c r="Q57" s="56"/>
      <c r="R57" s="56"/>
      <c r="S57" s="56"/>
    </row>
    <row r="58" ht="15.75" customHeight="1">
      <c r="A58" s="179" t="s">
        <v>34</v>
      </c>
      <c r="B58" s="180">
        <v>254.0</v>
      </c>
      <c r="C58" s="180">
        <v>414.0</v>
      </c>
      <c r="D58" s="181">
        <f t="shared" si="11"/>
        <v>668</v>
      </c>
      <c r="E58" s="84">
        <f>ABM!E22</f>
        <v>251</v>
      </c>
      <c r="F58" s="84">
        <f>ABM!F22</f>
        <v>402</v>
      </c>
      <c r="G58" s="183">
        <f t="shared" si="12"/>
        <v>653</v>
      </c>
      <c r="H58" s="195">
        <f t="shared" si="13"/>
        <v>0.9775449102</v>
      </c>
      <c r="I58" s="84">
        <f>ABM!I22</f>
        <v>40</v>
      </c>
      <c r="J58" s="84">
        <f>ABM!J22</f>
        <v>35</v>
      </c>
      <c r="K58" s="84">
        <f>ABM!K22</f>
        <v>4</v>
      </c>
      <c r="L58" s="210">
        <f>ABM!L22</f>
        <v>18.83</v>
      </c>
      <c r="M58" s="210">
        <f>ABM!M22</f>
        <v>47.075</v>
      </c>
      <c r="N58" s="210">
        <f>ABM!N22</f>
        <v>5.51</v>
      </c>
      <c r="O58" s="84">
        <f>ABM!O22</f>
        <v>13</v>
      </c>
      <c r="P58" s="84">
        <f>ABM!P22</f>
        <v>17</v>
      </c>
      <c r="Q58" s="84">
        <f>ABM!Q22</f>
        <v>24</v>
      </c>
      <c r="R58" s="84">
        <f>ABM!R22</f>
        <v>19</v>
      </c>
      <c r="S58" s="84">
        <f>ABM!S22</f>
        <v>23</v>
      </c>
    </row>
    <row r="59" ht="15.75" customHeight="1">
      <c r="A59" s="179" t="s">
        <v>35</v>
      </c>
      <c r="B59" s="180">
        <v>260.0</v>
      </c>
      <c r="C59" s="180">
        <v>401.0</v>
      </c>
      <c r="D59" s="181">
        <f t="shared" si="11"/>
        <v>661</v>
      </c>
      <c r="E59" s="84">
        <f>ABM!E23</f>
        <v>258</v>
      </c>
      <c r="F59" s="84">
        <f>ABM!F23</f>
        <v>396</v>
      </c>
      <c r="G59" s="183">
        <f t="shared" si="12"/>
        <v>654</v>
      </c>
      <c r="H59" s="195">
        <f t="shared" si="13"/>
        <v>0.9894099849</v>
      </c>
      <c r="I59" s="84">
        <f>ABM!I23</f>
        <v>40</v>
      </c>
      <c r="J59" s="84">
        <f>ABM!J23</f>
        <v>36</v>
      </c>
      <c r="K59" s="84">
        <f>ABM!K23</f>
        <v>5</v>
      </c>
      <c r="L59" s="210">
        <f>ABM!L23</f>
        <v>18.3</v>
      </c>
      <c r="M59" s="210">
        <f>ABM!M23</f>
        <v>45.75</v>
      </c>
      <c r="N59" s="210">
        <f>ABM!N23</f>
        <v>6.7</v>
      </c>
      <c r="O59" s="84">
        <f>ABM!O23</f>
        <v>6</v>
      </c>
      <c r="P59" s="84">
        <f>ABM!P23</f>
        <v>31</v>
      </c>
      <c r="Q59" s="84">
        <f>ABM!Q23</f>
        <v>15</v>
      </c>
      <c r="R59" s="84">
        <f>ABM!R23</f>
        <v>32</v>
      </c>
      <c r="S59" s="84">
        <f>ABM!S23</f>
        <v>3</v>
      </c>
    </row>
    <row r="60" ht="15.75" hidden="1" customHeight="1">
      <c r="A60" s="179" t="s">
        <v>73</v>
      </c>
      <c r="B60" s="180">
        <v>0.0</v>
      </c>
      <c r="C60" s="180">
        <v>0.0</v>
      </c>
      <c r="D60" s="181">
        <f t="shared" si="11"/>
        <v>0</v>
      </c>
      <c r="E60" s="84"/>
      <c r="F60" s="216"/>
      <c r="G60" s="183">
        <f t="shared" si="12"/>
        <v>0</v>
      </c>
      <c r="H60" s="195" t="str">
        <f t="shared" si="13"/>
        <v/>
      </c>
      <c r="I60" s="184">
        <v>40.0</v>
      </c>
      <c r="J60" s="196"/>
      <c r="K60" s="196"/>
      <c r="L60" s="221"/>
      <c r="M60" s="210"/>
      <c r="N60" s="222"/>
      <c r="O60" s="56"/>
      <c r="P60" s="56"/>
      <c r="Q60" s="56"/>
      <c r="R60" s="56"/>
      <c r="S60" s="56"/>
    </row>
    <row r="61" ht="15.75" customHeight="1">
      <c r="A61" s="179" t="s">
        <v>74</v>
      </c>
      <c r="B61" s="180">
        <v>254.0</v>
      </c>
      <c r="C61" s="180">
        <v>414.0</v>
      </c>
      <c r="D61" s="181">
        <f t="shared" si="11"/>
        <v>668</v>
      </c>
      <c r="E61" s="84">
        <f>ABM!E25</f>
        <v>251</v>
      </c>
      <c r="F61" s="84">
        <f>ABM!F25</f>
        <v>402</v>
      </c>
      <c r="G61" s="183">
        <f t="shared" si="12"/>
        <v>653</v>
      </c>
      <c r="H61" s="195">
        <f t="shared" si="13"/>
        <v>0.9775449102</v>
      </c>
      <c r="I61" s="84">
        <f>ABM!I25</f>
        <v>40</v>
      </c>
      <c r="J61" s="84">
        <f>ABM!J25</f>
        <v>35</v>
      </c>
      <c r="K61" s="84">
        <f>ABM!K25</f>
        <v>5</v>
      </c>
      <c r="L61" s="210">
        <f>ABM!L25</f>
        <v>17.9</v>
      </c>
      <c r="M61" s="210">
        <f>ABM!M25</f>
        <v>44.75</v>
      </c>
      <c r="N61" s="210">
        <f>ABM!N25</f>
        <v>5.9</v>
      </c>
      <c r="O61" s="84">
        <f>ABM!O25</f>
        <v>12</v>
      </c>
      <c r="P61" s="84">
        <f>ABM!P25</f>
        <v>15</v>
      </c>
      <c r="Q61" s="84">
        <f>ABM!Q25</f>
        <v>39</v>
      </c>
      <c r="R61" s="84">
        <f>ABM!R25</f>
        <v>40</v>
      </c>
      <c r="S61" s="84">
        <f>ABM!S25</f>
        <v>18</v>
      </c>
    </row>
    <row r="62" ht="15.75" customHeight="1">
      <c r="A62" s="179" t="s">
        <v>38</v>
      </c>
      <c r="B62" s="180">
        <v>260.0</v>
      </c>
      <c r="C62" s="180">
        <v>401.0</v>
      </c>
      <c r="D62" s="181">
        <f t="shared" si="11"/>
        <v>661</v>
      </c>
      <c r="E62" s="84">
        <f>ABM!E26</f>
        <v>260</v>
      </c>
      <c r="F62" s="84">
        <f>ABM!F26</f>
        <v>400</v>
      </c>
      <c r="G62" s="183">
        <f t="shared" si="12"/>
        <v>660</v>
      </c>
      <c r="H62" s="195">
        <f t="shared" si="13"/>
        <v>0.9984871407</v>
      </c>
      <c r="I62" s="84">
        <f>ABM!I26</f>
        <v>40</v>
      </c>
      <c r="J62" s="84">
        <f>ABM!J26</f>
        <v>37</v>
      </c>
      <c r="K62" s="84">
        <f>ABM!K26</f>
        <v>5</v>
      </c>
      <c r="L62" s="210">
        <f>ABM!L26</f>
        <v>21.87</v>
      </c>
      <c r="M62" s="210">
        <f>ABM!M26</f>
        <v>54.675</v>
      </c>
      <c r="N62" s="210">
        <f>ABM!N26</f>
        <v>5.9</v>
      </c>
      <c r="O62" s="84">
        <f>ABM!O26</f>
        <v>38</v>
      </c>
      <c r="P62" s="84">
        <f>ABM!P26</f>
        <v>9</v>
      </c>
      <c r="Q62" s="84">
        <f>ABM!Q26</f>
        <v>18</v>
      </c>
      <c r="R62" s="84">
        <f>ABM!R26</f>
        <v>4</v>
      </c>
      <c r="S62" s="84">
        <f>ABM!S26</f>
        <v>8</v>
      </c>
    </row>
    <row r="63" ht="15.75" hidden="1" customHeight="1">
      <c r="A63" s="214" t="s">
        <v>39</v>
      </c>
      <c r="B63" s="223">
        <f>'SHS-NUMBER'!H62</f>
        <v>0</v>
      </c>
      <c r="C63" s="223">
        <f>'SHS-NUMBER'!I62</f>
        <v>0</v>
      </c>
      <c r="D63" s="181">
        <f t="shared" si="11"/>
        <v>0</v>
      </c>
      <c r="E63" s="84"/>
      <c r="F63" s="216"/>
      <c r="G63" s="183">
        <f t="shared" si="12"/>
        <v>0</v>
      </c>
      <c r="H63" s="218" t="str">
        <f t="shared" si="13"/>
        <v/>
      </c>
      <c r="I63" s="196"/>
      <c r="J63" s="196"/>
      <c r="K63" s="196"/>
      <c r="L63" s="219"/>
      <c r="M63" s="47" t="str">
        <f>IFERROR(((L63/I63)*100)," ")</f>
        <v> </v>
      </c>
      <c r="N63" s="220"/>
      <c r="O63" s="56"/>
      <c r="P63" s="56"/>
      <c r="Q63" s="56"/>
      <c r="R63" s="56"/>
      <c r="S63" s="56"/>
    </row>
    <row r="64" ht="15.75" customHeight="1">
      <c r="A64" s="38" t="s">
        <v>40</v>
      </c>
      <c r="B64" s="101">
        <f t="shared" ref="B64:C64" si="15">SUM(B56:B63)</f>
        <v>1028</v>
      </c>
      <c r="C64" s="101">
        <f t="shared" si="15"/>
        <v>1630</v>
      </c>
      <c r="D64" s="101">
        <f>IFERROR((SUM(D56:D63)),"")</f>
        <v>2658</v>
      </c>
      <c r="E64" s="101">
        <f t="shared" ref="E64:G64" si="16">SUM(E56:E63)</f>
        <v>1020</v>
      </c>
      <c r="F64" s="101">
        <f t="shared" si="16"/>
        <v>1600</v>
      </c>
      <c r="G64" s="101">
        <f t="shared" si="16"/>
        <v>2620</v>
      </c>
      <c r="H64" s="202">
        <f>IFERROR((AVERAGE(H56:H63)),"")</f>
        <v>0.9857467365</v>
      </c>
      <c r="I64" s="203">
        <f t="shared" ref="I64:N64" si="17">IFERROR((AVERAGE(I56:I63))," ")</f>
        <v>40</v>
      </c>
      <c r="J64" s="103">
        <f t="shared" si="17"/>
        <v>35.75</v>
      </c>
      <c r="K64" s="103">
        <f t="shared" si="17"/>
        <v>4.75</v>
      </c>
      <c r="L64" s="103">
        <f t="shared" si="17"/>
        <v>19.225</v>
      </c>
      <c r="M64" s="103">
        <f t="shared" si="17"/>
        <v>48.0625</v>
      </c>
      <c r="N64" s="103">
        <f t="shared" si="17"/>
        <v>6.0025</v>
      </c>
      <c r="O64" s="203"/>
      <c r="P64" s="203"/>
      <c r="Q64" s="203"/>
      <c r="R64" s="203"/>
      <c r="S64" s="203"/>
    </row>
    <row r="65" ht="15.75" customHeight="1">
      <c r="A65" s="213" t="s">
        <v>75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2"/>
    </row>
    <row r="66" ht="15.75" hidden="1" customHeight="1">
      <c r="A66" s="214" t="s">
        <v>76</v>
      </c>
      <c r="B66" s="180" t="s">
        <v>30</v>
      </c>
      <c r="C66" s="180" t="s">
        <v>30</v>
      </c>
      <c r="D66" s="215">
        <f t="shared" ref="D66:D73" si="18">SUM(B66:C66)</f>
        <v>0</v>
      </c>
      <c r="E66" s="84"/>
      <c r="F66" s="216"/>
      <c r="G66" s="217">
        <f t="shared" ref="G66:G73" si="19">SUM(E66:F66)</f>
        <v>0</v>
      </c>
      <c r="H66" s="218" t="str">
        <f t="shared" ref="H66:H73" si="20">IFERROR((G66/D66),"")</f>
        <v/>
      </c>
      <c r="I66" s="196"/>
      <c r="J66" s="196"/>
      <c r="K66" s="196"/>
      <c r="L66" s="219"/>
      <c r="M66" s="47" t="str">
        <f>IFERROR(((L66/I66)*100)," ")</f>
        <v> </v>
      </c>
      <c r="N66" s="220"/>
      <c r="O66" s="56"/>
      <c r="P66" s="56"/>
      <c r="Q66" s="56"/>
      <c r="R66" s="56"/>
      <c r="S66" s="56"/>
    </row>
    <row r="67" ht="15.75" customHeight="1">
      <c r="A67" s="179" t="s">
        <v>51</v>
      </c>
      <c r="B67" s="180">
        <v>140.0</v>
      </c>
      <c r="C67" s="180">
        <v>183.0</v>
      </c>
      <c r="D67" s="181">
        <f t="shared" si="18"/>
        <v>323</v>
      </c>
      <c r="E67" s="80">
        <f>ENG!E28</f>
        <v>134</v>
      </c>
      <c r="F67" s="80">
        <f>ENG!F28</f>
        <v>175</v>
      </c>
      <c r="G67" s="183">
        <f t="shared" si="19"/>
        <v>309</v>
      </c>
      <c r="H67" s="195">
        <f t="shared" si="20"/>
        <v>0.9566563467</v>
      </c>
      <c r="I67" s="80">
        <f>ENG!I28</f>
        <v>40</v>
      </c>
      <c r="J67" s="80">
        <f>ENG!J28</f>
        <v>38</v>
      </c>
      <c r="K67" s="80">
        <f>ENG!K28</f>
        <v>7</v>
      </c>
      <c r="L67" s="224">
        <f>ENG!L28</f>
        <v>21.5</v>
      </c>
      <c r="M67" s="224">
        <f>ENG!M28</f>
        <v>53.75</v>
      </c>
      <c r="N67" s="224">
        <f>ENG!N28</f>
        <v>6.33</v>
      </c>
      <c r="O67" s="80">
        <f>ENG!O28</f>
        <v>40</v>
      </c>
      <c r="P67" s="80">
        <f>ENG!P28</f>
        <v>11</v>
      </c>
      <c r="Q67" s="80">
        <f>ENG!Q28</f>
        <v>13</v>
      </c>
      <c r="R67" s="80">
        <f>ENG!R28</f>
        <v>35</v>
      </c>
      <c r="S67" s="80">
        <f>ENG!S28</f>
        <v>4</v>
      </c>
    </row>
    <row r="68" ht="15.75" hidden="1" customHeight="1">
      <c r="A68" s="179" t="s">
        <v>52</v>
      </c>
      <c r="B68" s="180">
        <v>0.0</v>
      </c>
      <c r="C68" s="180">
        <v>0.0</v>
      </c>
      <c r="D68" s="181">
        <f t="shared" si="18"/>
        <v>0</v>
      </c>
      <c r="E68" s="84"/>
      <c r="F68" s="216"/>
      <c r="G68" s="183">
        <f t="shared" si="19"/>
        <v>0</v>
      </c>
      <c r="H68" s="195" t="str">
        <f t="shared" si="20"/>
        <v/>
      </c>
      <c r="I68" s="196"/>
      <c r="J68" s="196"/>
      <c r="K68" s="196"/>
      <c r="L68" s="221"/>
      <c r="M68" s="210"/>
      <c r="N68" s="222"/>
      <c r="O68" s="56"/>
      <c r="P68" s="56"/>
      <c r="Q68" s="56"/>
      <c r="R68" s="56"/>
      <c r="S68" s="56"/>
    </row>
    <row r="69" ht="15.75" customHeight="1">
      <c r="A69" s="179" t="s">
        <v>77</v>
      </c>
      <c r="B69" s="180">
        <v>384.0</v>
      </c>
      <c r="C69" s="180">
        <v>481.0</v>
      </c>
      <c r="D69" s="181">
        <f t="shared" si="18"/>
        <v>865</v>
      </c>
      <c r="E69" s="84">
        <f>HumSS!E23</f>
        <v>375</v>
      </c>
      <c r="F69" s="84">
        <f>HumSS!F23</f>
        <v>455</v>
      </c>
      <c r="G69" s="183">
        <f t="shared" si="19"/>
        <v>830</v>
      </c>
      <c r="H69" s="195">
        <f t="shared" si="20"/>
        <v>0.9595375723</v>
      </c>
      <c r="I69" s="84">
        <f>HumSS!I23</f>
        <v>40</v>
      </c>
      <c r="J69" s="84">
        <f>HumSS!J23</f>
        <v>33</v>
      </c>
      <c r="K69" s="84">
        <f>HumSS!K23</f>
        <v>11</v>
      </c>
      <c r="L69" s="210">
        <f>HumSS!L23</f>
        <v>19</v>
      </c>
      <c r="M69" s="210">
        <f>HumSS!M23</f>
        <v>47.5</v>
      </c>
      <c r="N69" s="210">
        <f>HumSS!N23</f>
        <v>6.3</v>
      </c>
      <c r="O69" s="84">
        <f>HumSS!O23</f>
        <v>7</v>
      </c>
      <c r="P69" s="84">
        <f>HumSS!P23</f>
        <v>8</v>
      </c>
      <c r="Q69" s="84">
        <f>HumSS!Q23</f>
        <v>33</v>
      </c>
      <c r="R69" s="84">
        <f>HumSS!R23</f>
        <v>34</v>
      </c>
      <c r="S69" s="84">
        <f>HumSS!S23</f>
        <v>23</v>
      </c>
    </row>
    <row r="70" ht="15.75" customHeight="1">
      <c r="A70" s="179" t="s">
        <v>78</v>
      </c>
      <c r="B70" s="180">
        <v>88.0</v>
      </c>
      <c r="C70" s="180">
        <v>135.0</v>
      </c>
      <c r="D70" s="181">
        <f t="shared" si="18"/>
        <v>223</v>
      </c>
      <c r="E70" s="84">
        <f>HumSS!E24</f>
        <v>87</v>
      </c>
      <c r="F70" s="84">
        <f>HumSS!F24</f>
        <v>130</v>
      </c>
      <c r="G70" s="183">
        <f t="shared" si="19"/>
        <v>217</v>
      </c>
      <c r="H70" s="195">
        <f t="shared" si="20"/>
        <v>0.9730941704</v>
      </c>
      <c r="I70" s="84">
        <f>HumSS!I24</f>
        <v>40</v>
      </c>
      <c r="J70" s="84">
        <f>HumSS!J24</f>
        <v>37</v>
      </c>
      <c r="K70" s="84">
        <f>HumSS!K24</f>
        <v>6</v>
      </c>
      <c r="L70" s="210">
        <f>HumSS!L24</f>
        <v>20.35</v>
      </c>
      <c r="M70" s="210">
        <f>HumSS!M24</f>
        <v>50.875</v>
      </c>
      <c r="N70" s="210">
        <f>HumSS!N24</f>
        <v>6.5</v>
      </c>
      <c r="O70" s="84">
        <f>HumSS!O24</f>
        <v>33</v>
      </c>
      <c r="P70" s="84">
        <f>HumSS!P24</f>
        <v>35</v>
      </c>
      <c r="Q70" s="84">
        <f>HumSS!Q24</f>
        <v>20</v>
      </c>
      <c r="R70" s="84">
        <f>HumSS!R24</f>
        <v>37</v>
      </c>
      <c r="S70" s="84">
        <f>HumSS!S24</f>
        <v>7</v>
      </c>
    </row>
    <row r="71" ht="15.75" customHeight="1">
      <c r="A71" s="179" t="s">
        <v>79</v>
      </c>
      <c r="B71" s="180">
        <v>171.0</v>
      </c>
      <c r="C71" s="180">
        <v>256.0</v>
      </c>
      <c r="D71" s="181">
        <f t="shared" si="18"/>
        <v>427</v>
      </c>
      <c r="E71" s="84">
        <f>HumSS!E25</f>
        <v>168</v>
      </c>
      <c r="F71" s="84">
        <f>HumSS!F25</f>
        <v>253</v>
      </c>
      <c r="G71" s="183">
        <f t="shared" si="19"/>
        <v>421</v>
      </c>
      <c r="H71" s="195">
        <f t="shared" si="20"/>
        <v>0.9859484778</v>
      </c>
      <c r="I71" s="84">
        <f>HumSS!I25</f>
        <v>40</v>
      </c>
      <c r="J71" s="84">
        <f>HumSS!J25</f>
        <v>34</v>
      </c>
      <c r="K71" s="84">
        <f>HumSS!K25</f>
        <v>8</v>
      </c>
      <c r="L71" s="210">
        <f>HumSS!L25</f>
        <v>21</v>
      </c>
      <c r="M71" s="210">
        <f>HumSS!M25</f>
        <v>52.5</v>
      </c>
      <c r="N71" s="210">
        <f>HumSS!N25</f>
        <v>6.5</v>
      </c>
      <c r="O71" s="84">
        <f>HumSS!O25</f>
        <v>14</v>
      </c>
      <c r="P71" s="84">
        <f>HumSS!P25</f>
        <v>22</v>
      </c>
      <c r="Q71" s="84">
        <f>HumSS!Q25</f>
        <v>33</v>
      </c>
      <c r="R71" s="84">
        <f>HumSS!R25</f>
        <v>12</v>
      </c>
      <c r="S71" s="84">
        <f>HumSS!S25</f>
        <v>9</v>
      </c>
    </row>
    <row r="72" ht="15.75" customHeight="1">
      <c r="A72" s="179" t="s">
        <v>80</v>
      </c>
      <c r="B72" s="180">
        <v>384.0</v>
      </c>
      <c r="C72" s="180">
        <v>481.0</v>
      </c>
      <c r="D72" s="181">
        <f t="shared" si="18"/>
        <v>865</v>
      </c>
      <c r="E72" s="84">
        <f>HumSS!E26</f>
        <v>360</v>
      </c>
      <c r="F72" s="84">
        <f>HumSS!F26</f>
        <v>464</v>
      </c>
      <c r="G72" s="183">
        <f t="shared" si="19"/>
        <v>824</v>
      </c>
      <c r="H72" s="195">
        <f t="shared" si="20"/>
        <v>0.9526011561</v>
      </c>
      <c r="I72" s="84">
        <f>HumSS!I26</f>
        <v>40</v>
      </c>
      <c r="J72" s="84">
        <f>HumSS!J26</f>
        <v>38</v>
      </c>
      <c r="K72" s="84">
        <f>HumSS!K26</f>
        <v>4</v>
      </c>
      <c r="L72" s="210">
        <f>HumSS!L26</f>
        <v>18</v>
      </c>
      <c r="M72" s="210">
        <f>HumSS!M26</f>
        <v>45</v>
      </c>
      <c r="N72" s="210">
        <f>HumSS!N26</f>
        <v>6.7</v>
      </c>
      <c r="O72" s="84">
        <f>HumSS!O26</f>
        <v>14</v>
      </c>
      <c r="P72" s="84">
        <f>HumSS!P26</f>
        <v>20</v>
      </c>
      <c r="Q72" s="84">
        <f>HumSS!Q26</f>
        <v>23</v>
      </c>
      <c r="R72" s="84">
        <f>HumSS!R26</f>
        <v>35</v>
      </c>
      <c r="S72" s="84">
        <f>HumSS!S26</f>
        <v>4</v>
      </c>
    </row>
    <row r="73" ht="15.75" hidden="1" customHeight="1">
      <c r="A73" s="214" t="s">
        <v>81</v>
      </c>
      <c r="B73" s="180" t="s">
        <v>30</v>
      </c>
      <c r="C73" s="180" t="s">
        <v>30</v>
      </c>
      <c r="D73" s="181">
        <f t="shared" si="18"/>
        <v>0</v>
      </c>
      <c r="E73" s="84"/>
      <c r="F73" s="216"/>
      <c r="G73" s="183">
        <f t="shared" si="19"/>
        <v>0</v>
      </c>
      <c r="H73" s="218" t="str">
        <f t="shared" si="20"/>
        <v/>
      </c>
      <c r="I73" s="196"/>
      <c r="J73" s="196"/>
      <c r="K73" s="196"/>
      <c r="L73" s="219"/>
      <c r="M73" s="47" t="str">
        <f>IFERROR(((L73/I73)*100)," ")</f>
        <v> </v>
      </c>
      <c r="N73" s="220"/>
      <c r="O73" s="56"/>
      <c r="P73" s="56"/>
      <c r="Q73" s="56"/>
      <c r="R73" s="56"/>
      <c r="S73" s="56"/>
    </row>
    <row r="74" ht="15.75" customHeight="1">
      <c r="A74" s="38" t="s">
        <v>40</v>
      </c>
      <c r="B74" s="101">
        <f t="shared" ref="B74:G74" si="21">SUM(B66:B73)</f>
        <v>1167</v>
      </c>
      <c r="C74" s="101">
        <f t="shared" si="21"/>
        <v>1536</v>
      </c>
      <c r="D74" s="101">
        <f t="shared" si="21"/>
        <v>2703</v>
      </c>
      <c r="E74" s="101">
        <f t="shared" si="21"/>
        <v>1124</v>
      </c>
      <c r="F74" s="101">
        <f t="shared" si="21"/>
        <v>1477</v>
      </c>
      <c r="G74" s="101">
        <f t="shared" si="21"/>
        <v>2601</v>
      </c>
      <c r="H74" s="202">
        <f>IFERROR((AVERAGE(H66:H73)),"")</f>
        <v>0.9655675446</v>
      </c>
      <c r="I74" s="203">
        <f t="shared" ref="I74:N74" si="22">IFERROR((AVERAGE(I66:I73))," ")</f>
        <v>40</v>
      </c>
      <c r="J74" s="103">
        <f t="shared" si="22"/>
        <v>36</v>
      </c>
      <c r="K74" s="103">
        <f t="shared" si="22"/>
        <v>7.2</v>
      </c>
      <c r="L74" s="103">
        <f t="shared" si="22"/>
        <v>19.97</v>
      </c>
      <c r="M74" s="103">
        <f t="shared" si="22"/>
        <v>49.925</v>
      </c>
      <c r="N74" s="103">
        <f t="shared" si="22"/>
        <v>6.466</v>
      </c>
      <c r="O74" s="225">
        <f t="shared" ref="O74:S74" si="23">MODE(O67:O72)</f>
        <v>14</v>
      </c>
      <c r="P74" s="225" t="str">
        <f t="shared" si="23"/>
        <v>#N/A</v>
      </c>
      <c r="Q74" s="225">
        <f t="shared" si="23"/>
        <v>33</v>
      </c>
      <c r="R74" s="225">
        <f t="shared" si="23"/>
        <v>35</v>
      </c>
      <c r="S74" s="225">
        <f t="shared" si="23"/>
        <v>4</v>
      </c>
    </row>
    <row r="75" ht="15.75" customHeight="1">
      <c r="A75" s="213" t="s">
        <v>82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2"/>
    </row>
    <row r="76" ht="15.75" hidden="1" customHeight="1">
      <c r="A76" s="179" t="s">
        <v>83</v>
      </c>
      <c r="B76" s="180" t="s">
        <v>30</v>
      </c>
      <c r="C76" s="180" t="s">
        <v>30</v>
      </c>
      <c r="D76" s="181">
        <f t="shared" ref="D76:D83" si="24">SUM(B76:C76)</f>
        <v>0</v>
      </c>
      <c r="E76" s="84"/>
      <c r="F76" s="216"/>
      <c r="G76" s="183">
        <f t="shared" ref="G76:G83" si="25">SUM(E76:F76)</f>
        <v>0</v>
      </c>
      <c r="H76" s="195" t="str">
        <f t="shared" ref="H76:H83" si="26">IFERROR((G76/D76),"")</f>
        <v/>
      </c>
      <c r="I76" s="184">
        <v>40.0</v>
      </c>
      <c r="J76" s="196"/>
      <c r="K76" s="196"/>
      <c r="L76" s="219"/>
      <c r="M76" s="86"/>
      <c r="N76" s="220"/>
      <c r="O76" s="56"/>
      <c r="P76" s="56"/>
      <c r="Q76" s="56"/>
      <c r="R76" s="56"/>
      <c r="S76" s="56"/>
    </row>
    <row r="77" ht="15.75" customHeight="1">
      <c r="A77" s="179" t="s">
        <v>84</v>
      </c>
      <c r="B77" s="180">
        <v>332.0</v>
      </c>
      <c r="C77" s="180">
        <v>337.0</v>
      </c>
      <c r="D77" s="181">
        <f t="shared" si="24"/>
        <v>669</v>
      </c>
      <c r="E77" s="84">
        <f>SCI!E25</f>
        <v>326</v>
      </c>
      <c r="F77" s="84">
        <f>SCI!F25</f>
        <v>333</v>
      </c>
      <c r="G77" s="183">
        <f t="shared" si="25"/>
        <v>659</v>
      </c>
      <c r="H77" s="195">
        <f t="shared" si="26"/>
        <v>0.9850523169</v>
      </c>
      <c r="I77" s="84">
        <f>SCI!I25</f>
        <v>40</v>
      </c>
      <c r="J77" s="80">
        <f>SCI!J25</f>
        <v>40</v>
      </c>
      <c r="K77" s="84">
        <f>SCI!K25</f>
        <v>6</v>
      </c>
      <c r="L77" s="210">
        <f>SCI!L25</f>
        <v>26.15</v>
      </c>
      <c r="M77" s="210">
        <f>SCI!M25</f>
        <v>65.375</v>
      </c>
      <c r="N77" s="210">
        <f>SCI!N25</f>
        <v>7.13</v>
      </c>
      <c r="O77" s="84">
        <f>SCI!O25</f>
        <v>15</v>
      </c>
      <c r="P77" s="84">
        <f>SCI!P25</f>
        <v>20</v>
      </c>
      <c r="Q77" s="84">
        <f>SCI!Q25</f>
        <v>19</v>
      </c>
      <c r="R77" s="84">
        <f>SCI!R25</f>
        <v>30</v>
      </c>
      <c r="S77" s="84">
        <f>SCI!S25</f>
        <v>25</v>
      </c>
    </row>
    <row r="78" ht="15.75" hidden="1" customHeight="1">
      <c r="A78" s="179" t="s">
        <v>85</v>
      </c>
      <c r="B78" s="180">
        <v>0.0</v>
      </c>
      <c r="C78" s="180">
        <v>0.0</v>
      </c>
      <c r="D78" s="181">
        <f t="shared" si="24"/>
        <v>0</v>
      </c>
      <c r="E78" s="84"/>
      <c r="F78" s="216"/>
      <c r="G78" s="183">
        <f t="shared" si="25"/>
        <v>0</v>
      </c>
      <c r="H78" s="195" t="str">
        <f t="shared" si="26"/>
        <v/>
      </c>
      <c r="I78" s="184">
        <v>40.0</v>
      </c>
      <c r="J78" s="196"/>
      <c r="K78" s="196"/>
      <c r="L78" s="221"/>
      <c r="M78" s="210"/>
      <c r="N78" s="222"/>
      <c r="O78" s="56"/>
      <c r="P78" s="56"/>
      <c r="Q78" s="56"/>
      <c r="R78" s="56"/>
      <c r="S78" s="56"/>
    </row>
    <row r="79" ht="15.75" customHeight="1">
      <c r="A79" s="179" t="s">
        <v>86</v>
      </c>
      <c r="B79" s="180">
        <v>256.0</v>
      </c>
      <c r="C79" s="180">
        <v>246.0</v>
      </c>
      <c r="D79" s="181">
        <f t="shared" si="24"/>
        <v>502</v>
      </c>
      <c r="E79" s="84">
        <f>SCI!E27</f>
        <v>256</v>
      </c>
      <c r="F79" s="84">
        <f>SCI!F27</f>
        <v>250</v>
      </c>
      <c r="G79" s="183">
        <f t="shared" si="25"/>
        <v>506</v>
      </c>
      <c r="H79" s="195">
        <f t="shared" si="26"/>
        <v>1.007968127</v>
      </c>
      <c r="I79" s="84">
        <f>SCI!I27</f>
        <v>40</v>
      </c>
      <c r="J79" s="80">
        <f>SCI!J27</f>
        <v>40</v>
      </c>
      <c r="K79" s="84">
        <f>SCI!K27</f>
        <v>7</v>
      </c>
      <c r="L79" s="210">
        <f>SCI!L27</f>
        <v>19.28</v>
      </c>
      <c r="M79" s="210">
        <f>SCI!M27</f>
        <v>48.2</v>
      </c>
      <c r="N79" s="210">
        <f>SCI!N27</f>
        <v>4.87</v>
      </c>
      <c r="O79" s="84">
        <f>SCI!O27</f>
        <v>3</v>
      </c>
      <c r="P79" s="84">
        <f>SCI!P27</f>
        <v>10</v>
      </c>
      <c r="Q79" s="84">
        <f>SCI!Q27</f>
        <v>32</v>
      </c>
      <c r="R79" s="84">
        <f>SCI!R27</f>
        <v>12</v>
      </c>
      <c r="S79" s="84">
        <f>SCI!S27</f>
        <v>35</v>
      </c>
    </row>
    <row r="80" ht="15.75" hidden="1" customHeight="1">
      <c r="A80" s="179" t="s">
        <v>87</v>
      </c>
      <c r="B80" s="180">
        <v>0.0</v>
      </c>
      <c r="C80" s="180">
        <v>0.0</v>
      </c>
      <c r="D80" s="181">
        <f t="shared" si="24"/>
        <v>0</v>
      </c>
      <c r="E80" s="84"/>
      <c r="F80" s="216"/>
      <c r="G80" s="183">
        <f t="shared" si="25"/>
        <v>0</v>
      </c>
      <c r="H80" s="195" t="str">
        <f t="shared" si="26"/>
        <v/>
      </c>
      <c r="I80" s="184">
        <v>40.0</v>
      </c>
      <c r="J80" s="196"/>
      <c r="K80" s="196"/>
      <c r="L80" s="221"/>
      <c r="M80" s="210"/>
      <c r="N80" s="222"/>
      <c r="O80" s="56"/>
      <c r="P80" s="56"/>
      <c r="Q80" s="56"/>
      <c r="R80" s="56"/>
      <c r="S80" s="56"/>
    </row>
    <row r="81" ht="15.75" customHeight="1">
      <c r="A81" s="179" t="s">
        <v>88</v>
      </c>
      <c r="B81" s="180">
        <v>332.0</v>
      </c>
      <c r="C81" s="180">
        <v>337.0</v>
      </c>
      <c r="D81" s="181">
        <f t="shared" si="24"/>
        <v>669</v>
      </c>
      <c r="E81" s="84">
        <f>SCI!E29</f>
        <v>332</v>
      </c>
      <c r="F81" s="84">
        <f>SCI!F29</f>
        <v>337</v>
      </c>
      <c r="G81" s="183">
        <f t="shared" si="25"/>
        <v>669</v>
      </c>
      <c r="H81" s="195">
        <f t="shared" si="26"/>
        <v>1</v>
      </c>
      <c r="I81" s="84">
        <f>SCI!I29</f>
        <v>40</v>
      </c>
      <c r="J81" s="80">
        <f>SCI!J29</f>
        <v>39</v>
      </c>
      <c r="K81" s="84">
        <f>SCI!K29</f>
        <v>7</v>
      </c>
      <c r="L81" s="210">
        <f>SCI!L29</f>
        <v>24.9</v>
      </c>
      <c r="M81" s="210">
        <f>SCI!M29</f>
        <v>62.25</v>
      </c>
      <c r="N81" s="210">
        <f>SCI!N29</f>
        <v>6.28</v>
      </c>
      <c r="O81" s="84">
        <f>SCI!O29</f>
        <v>26</v>
      </c>
      <c r="P81" s="84">
        <f>SCI!P29</f>
        <v>16</v>
      </c>
      <c r="Q81" s="84">
        <f>SCI!Q29</f>
        <v>29</v>
      </c>
      <c r="R81" s="84">
        <f>SCI!R29</f>
        <v>35</v>
      </c>
      <c r="S81" s="84">
        <f>SCI!S29</f>
        <v>11</v>
      </c>
    </row>
    <row r="82" ht="15.75" hidden="1" customHeight="1">
      <c r="A82" s="179" t="s">
        <v>89</v>
      </c>
      <c r="B82" s="180">
        <v>0.0</v>
      </c>
      <c r="C82" s="180">
        <v>0.0</v>
      </c>
      <c r="D82" s="181">
        <f t="shared" si="24"/>
        <v>0</v>
      </c>
      <c r="E82" s="84"/>
      <c r="F82" s="216"/>
      <c r="G82" s="183">
        <f t="shared" si="25"/>
        <v>0</v>
      </c>
      <c r="H82" s="195" t="str">
        <f t="shared" si="26"/>
        <v/>
      </c>
      <c r="I82" s="184"/>
      <c r="J82" s="196"/>
      <c r="K82" s="196"/>
      <c r="L82" s="221"/>
      <c r="M82" s="210"/>
      <c r="N82" s="222"/>
      <c r="O82" s="56"/>
      <c r="P82" s="56"/>
      <c r="Q82" s="56"/>
      <c r="R82" s="56"/>
      <c r="S82" s="56"/>
    </row>
    <row r="83" ht="15.75" customHeight="1">
      <c r="A83" s="179" t="s">
        <v>90</v>
      </c>
      <c r="B83" s="180">
        <v>256.0</v>
      </c>
      <c r="C83" s="180">
        <v>246.0</v>
      </c>
      <c r="D83" s="181">
        <f t="shared" si="24"/>
        <v>502</v>
      </c>
      <c r="E83" s="84">
        <f>MATH!E22</f>
        <v>256</v>
      </c>
      <c r="F83" s="84">
        <f>MATH!F22</f>
        <v>241</v>
      </c>
      <c r="G83" s="183">
        <f t="shared" si="25"/>
        <v>497</v>
      </c>
      <c r="H83" s="195">
        <f t="shared" si="26"/>
        <v>0.9900398406</v>
      </c>
      <c r="I83" s="84">
        <f>MATH!I22</f>
        <v>40</v>
      </c>
      <c r="J83" s="80">
        <f>MATH!J22</f>
        <v>32</v>
      </c>
      <c r="K83" s="84">
        <f>MATH!K22</f>
        <v>2</v>
      </c>
      <c r="L83" s="210">
        <f>MATH!L22</f>
        <v>19.13</v>
      </c>
      <c r="M83" s="210">
        <f>MATH!M22</f>
        <v>47.825</v>
      </c>
      <c r="N83" s="210">
        <f>MATH!N22</f>
        <v>4.83</v>
      </c>
      <c r="O83" s="84">
        <f>MATH!O22</f>
        <v>16</v>
      </c>
      <c r="P83" s="84">
        <f>MATH!P22</f>
        <v>17</v>
      </c>
      <c r="Q83" s="84">
        <f>MATH!Q22</f>
        <v>19</v>
      </c>
      <c r="R83" s="84">
        <f>MATH!R22</f>
        <v>33</v>
      </c>
      <c r="S83" s="84">
        <f>MATH!S22</f>
        <v>36</v>
      </c>
    </row>
    <row r="84" ht="15.75" customHeight="1">
      <c r="A84" s="38" t="s">
        <v>40</v>
      </c>
      <c r="B84" s="101">
        <f t="shared" ref="B84:G84" si="27">SUM(B76:B83)</f>
        <v>1176</v>
      </c>
      <c r="C84" s="101">
        <f t="shared" si="27"/>
        <v>1166</v>
      </c>
      <c r="D84" s="101">
        <f t="shared" si="27"/>
        <v>2342</v>
      </c>
      <c r="E84" s="101">
        <f t="shared" si="27"/>
        <v>1170</v>
      </c>
      <c r="F84" s="101">
        <f t="shared" si="27"/>
        <v>1161</v>
      </c>
      <c r="G84" s="101">
        <f t="shared" si="27"/>
        <v>2331</v>
      </c>
      <c r="H84" s="202">
        <f>IFERROR((AVERAGE(H76:H83)),"")</f>
        <v>0.9957650713</v>
      </c>
      <c r="I84" s="203">
        <f t="shared" ref="I84:N84" si="28">IFERROR((AVERAGE(I76:I83))," ")</f>
        <v>40</v>
      </c>
      <c r="J84" s="103">
        <f t="shared" si="28"/>
        <v>37.75</v>
      </c>
      <c r="K84" s="103">
        <f t="shared" si="28"/>
        <v>5.5</v>
      </c>
      <c r="L84" s="103">
        <f t="shared" si="28"/>
        <v>22.365</v>
      </c>
      <c r="M84" s="103">
        <f t="shared" si="28"/>
        <v>55.9125</v>
      </c>
      <c r="N84" s="103">
        <f t="shared" si="28"/>
        <v>5.7775</v>
      </c>
      <c r="O84" s="203"/>
      <c r="P84" s="203"/>
      <c r="Q84" s="203"/>
      <c r="R84" s="203"/>
      <c r="S84" s="203"/>
    </row>
    <row r="85" ht="15.75" customHeight="1">
      <c r="A85" s="213" t="s">
        <v>91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2"/>
    </row>
    <row r="86" ht="15.75" customHeight="1">
      <c r="A86" s="179" t="s">
        <v>92</v>
      </c>
      <c r="B86" s="180">
        <v>131.0</v>
      </c>
      <c r="C86" s="180">
        <v>6.0</v>
      </c>
      <c r="D86" s="181">
        <f t="shared" ref="D86:D89" si="29">SUM(B86:C86)</f>
        <v>137</v>
      </c>
      <c r="E86" s="84">
        <f>TVL!E20</f>
        <v>123</v>
      </c>
      <c r="F86" s="84">
        <f>TVL!F20</f>
        <v>4</v>
      </c>
      <c r="G86" s="183">
        <f t="shared" ref="G86:G89" si="30">SUM(E86:F86)</f>
        <v>127</v>
      </c>
      <c r="H86" s="195">
        <f t="shared" ref="H86:H89" si="31">IFERROR((G86/D86),"")</f>
        <v>0.9270072993</v>
      </c>
      <c r="I86" s="84">
        <f>TVL!I20</f>
        <v>40</v>
      </c>
      <c r="J86" s="84">
        <f>TVL!J20</f>
        <v>39</v>
      </c>
      <c r="K86" s="84">
        <f>TVL!K20</f>
        <v>7</v>
      </c>
      <c r="L86" s="210">
        <f>TVL!L20</f>
        <v>23.68</v>
      </c>
      <c r="M86" s="210">
        <f>TVL!M20</f>
        <v>59.2</v>
      </c>
      <c r="N86" s="210">
        <f>TVL!N20</f>
        <v>6.36</v>
      </c>
      <c r="O86" s="84">
        <f>TVL!O20</f>
        <v>8</v>
      </c>
      <c r="P86" s="84">
        <f>TVL!P20</f>
        <v>14</v>
      </c>
      <c r="Q86" s="84">
        <f>TVL!Q20</f>
        <v>40</v>
      </c>
      <c r="R86" s="84">
        <f>TVL!R20</f>
        <v>22</v>
      </c>
      <c r="S86" s="84">
        <f>TVL!S20</f>
        <v>23</v>
      </c>
    </row>
    <row r="87" ht="15.75" hidden="1" customHeight="1">
      <c r="A87" s="179" t="s">
        <v>93</v>
      </c>
      <c r="B87" s="180">
        <v>0.0</v>
      </c>
      <c r="C87" s="180">
        <v>0.0</v>
      </c>
      <c r="D87" s="181">
        <f t="shared" si="29"/>
        <v>0</v>
      </c>
      <c r="E87" s="84"/>
      <c r="F87" s="216"/>
      <c r="G87" s="183">
        <f t="shared" si="30"/>
        <v>0</v>
      </c>
      <c r="H87" s="195" t="str">
        <f t="shared" si="31"/>
        <v/>
      </c>
      <c r="I87" s="196">
        <v>40.0</v>
      </c>
      <c r="J87" s="196"/>
      <c r="K87" s="196"/>
      <c r="L87" s="221"/>
      <c r="M87" s="210"/>
      <c r="N87" s="222"/>
      <c r="O87" s="56"/>
      <c r="P87" s="56"/>
      <c r="Q87" s="56"/>
      <c r="R87" s="56"/>
      <c r="S87" s="56"/>
    </row>
    <row r="88" ht="15.75" customHeight="1">
      <c r="A88" s="179" t="s">
        <v>94</v>
      </c>
      <c r="B88" s="180">
        <v>194.0</v>
      </c>
      <c r="C88" s="180">
        <v>2.0</v>
      </c>
      <c r="D88" s="181">
        <f t="shared" si="29"/>
        <v>196</v>
      </c>
      <c r="E88" s="84">
        <f>TVL!E22</f>
        <v>182</v>
      </c>
      <c r="F88" s="84">
        <f>TVL!F22</f>
        <v>2</v>
      </c>
      <c r="G88" s="183">
        <f t="shared" si="30"/>
        <v>184</v>
      </c>
      <c r="H88" s="195">
        <f t="shared" si="31"/>
        <v>0.9387755102</v>
      </c>
      <c r="I88" s="84">
        <f>TVL!I22</f>
        <v>40</v>
      </c>
      <c r="J88" s="84">
        <f>TVL!J22</f>
        <v>36</v>
      </c>
      <c r="K88" s="84">
        <f>TVL!K22</f>
        <v>7</v>
      </c>
      <c r="L88" s="210">
        <f>TVL!L22</f>
        <v>23.89</v>
      </c>
      <c r="M88" s="210">
        <f>TVL!M22</f>
        <v>59.725</v>
      </c>
      <c r="N88" s="210">
        <f>TVL!N22</f>
        <v>4.86</v>
      </c>
      <c r="O88" s="84">
        <f>TVL!O22</f>
        <v>8</v>
      </c>
      <c r="P88" s="84">
        <f>TVL!P22</f>
        <v>21</v>
      </c>
      <c r="Q88" s="84">
        <f>TVL!Q22</f>
        <v>23</v>
      </c>
      <c r="R88" s="84">
        <f>TVL!R22</f>
        <v>24</v>
      </c>
      <c r="S88" s="84">
        <f>TVL!S22</f>
        <v>35</v>
      </c>
    </row>
    <row r="89" ht="15.75" hidden="1" customHeight="1">
      <c r="A89" s="179" t="s">
        <v>95</v>
      </c>
      <c r="B89" s="223">
        <f>'SHS-NUMBER'!H88</f>
        <v>0</v>
      </c>
      <c r="C89" s="223">
        <f>'SHS-NUMBER'!I88</f>
        <v>0</v>
      </c>
      <c r="D89" s="181">
        <f t="shared" si="29"/>
        <v>0</v>
      </c>
      <c r="E89" s="84"/>
      <c r="F89" s="216"/>
      <c r="G89" s="183">
        <f t="shared" si="30"/>
        <v>0</v>
      </c>
      <c r="H89" s="195" t="str">
        <f t="shared" si="31"/>
        <v/>
      </c>
      <c r="I89" s="196">
        <v>40.0</v>
      </c>
      <c r="J89" s="196"/>
      <c r="K89" s="196"/>
      <c r="L89" s="219"/>
      <c r="M89" s="47"/>
      <c r="N89" s="220"/>
      <c r="O89" s="56"/>
      <c r="P89" s="56"/>
      <c r="Q89" s="56"/>
      <c r="R89" s="56"/>
      <c r="S89" s="56"/>
    </row>
    <row r="90" ht="15.75" customHeight="1">
      <c r="A90" s="38" t="s">
        <v>40</v>
      </c>
      <c r="B90" s="101">
        <f t="shared" ref="B90:G90" si="32">SUM(B86:B89)</f>
        <v>325</v>
      </c>
      <c r="C90" s="101">
        <f t="shared" si="32"/>
        <v>8</v>
      </c>
      <c r="D90" s="101">
        <f t="shared" si="32"/>
        <v>333</v>
      </c>
      <c r="E90" s="101">
        <f t="shared" si="32"/>
        <v>305</v>
      </c>
      <c r="F90" s="101">
        <f t="shared" si="32"/>
        <v>6</v>
      </c>
      <c r="G90" s="101">
        <f t="shared" si="32"/>
        <v>311</v>
      </c>
      <c r="H90" s="226">
        <f>IFERROR((AVERAGE(H86:H89)),"")</f>
        <v>0.9328914047</v>
      </c>
      <c r="I90" s="203">
        <f t="shared" ref="I90:N90" si="33">IFERROR((AVERAGE(I86:I89))," ")</f>
        <v>40</v>
      </c>
      <c r="J90" s="103">
        <f t="shared" si="33"/>
        <v>37.5</v>
      </c>
      <c r="K90" s="103">
        <f t="shared" si="33"/>
        <v>7</v>
      </c>
      <c r="L90" s="103">
        <f t="shared" si="33"/>
        <v>23.785</v>
      </c>
      <c r="M90" s="103">
        <f t="shared" si="33"/>
        <v>59.4625</v>
      </c>
      <c r="N90" s="103">
        <f t="shared" si="33"/>
        <v>5.61</v>
      </c>
      <c r="O90" s="203"/>
      <c r="P90" s="203"/>
      <c r="Q90" s="203"/>
      <c r="R90" s="203"/>
      <c r="S90" s="203"/>
    </row>
    <row r="91" ht="15.75" customHeight="1">
      <c r="A91" s="213" t="s">
        <v>96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2"/>
    </row>
    <row r="92" ht="15.75" customHeight="1">
      <c r="A92" s="179" t="s">
        <v>136</v>
      </c>
      <c r="B92" s="180">
        <v>8.0</v>
      </c>
      <c r="C92" s="180">
        <v>48.0</v>
      </c>
      <c r="D92" s="181">
        <f t="shared" ref="D92:D95" si="34">SUM(B92:C92)</f>
        <v>56</v>
      </c>
      <c r="E92" s="84">
        <f>TVL!E24</f>
        <v>8</v>
      </c>
      <c r="F92" s="84">
        <f>TVL!F24</f>
        <v>38</v>
      </c>
      <c r="G92" s="183">
        <f t="shared" ref="G92:G95" si="35">SUM(E92:F92)</f>
        <v>46</v>
      </c>
      <c r="H92" s="195">
        <f t="shared" ref="H92:H95" si="36">IFERROR((G92/D92),"")</f>
        <v>0.8214285714</v>
      </c>
      <c r="I92" s="84">
        <f>TVL!I24</f>
        <v>40</v>
      </c>
      <c r="J92" s="84">
        <f>TVL!J24</f>
        <v>29</v>
      </c>
      <c r="K92" s="84">
        <f>TVL!K24</f>
        <v>10</v>
      </c>
      <c r="L92" s="210">
        <f>TVL!L24</f>
        <v>21</v>
      </c>
      <c r="M92" s="210">
        <f>TVL!M24</f>
        <v>52.5</v>
      </c>
      <c r="N92" s="210">
        <f>TVL!N24</f>
        <v>4.87</v>
      </c>
      <c r="O92" s="84">
        <f>TVL!O24</f>
        <v>5</v>
      </c>
      <c r="P92" s="84">
        <f>TVL!P24</f>
        <v>9</v>
      </c>
      <c r="Q92" s="84">
        <f>TVL!Q24</f>
        <v>20</v>
      </c>
      <c r="R92" s="84">
        <f>TVL!R24</f>
        <v>23</v>
      </c>
      <c r="S92" s="84">
        <f>TVL!S24</f>
        <v>39</v>
      </c>
    </row>
    <row r="93" ht="15.75" hidden="1" customHeight="1">
      <c r="A93" s="179" t="s">
        <v>137</v>
      </c>
      <c r="B93" s="180">
        <v>0.0</v>
      </c>
      <c r="C93" s="180">
        <v>0.0</v>
      </c>
      <c r="D93" s="181">
        <f t="shared" si="34"/>
        <v>0</v>
      </c>
      <c r="E93" s="84"/>
      <c r="F93" s="216"/>
      <c r="G93" s="183">
        <f t="shared" si="35"/>
        <v>0</v>
      </c>
      <c r="H93" s="195" t="str">
        <f t="shared" si="36"/>
        <v/>
      </c>
      <c r="I93" s="196">
        <v>40.0</v>
      </c>
      <c r="J93" s="196"/>
      <c r="K93" s="196"/>
      <c r="L93" s="221"/>
      <c r="M93" s="210"/>
      <c r="N93" s="222"/>
      <c r="O93" s="56"/>
      <c r="P93" s="56"/>
      <c r="Q93" s="56"/>
      <c r="R93" s="56"/>
      <c r="S93" s="56"/>
    </row>
    <row r="94" ht="15.75" customHeight="1">
      <c r="A94" s="179" t="s">
        <v>138</v>
      </c>
      <c r="B94" s="180">
        <v>8.0</v>
      </c>
      <c r="C94" s="180">
        <v>66.0</v>
      </c>
      <c r="D94" s="181">
        <f t="shared" si="34"/>
        <v>74</v>
      </c>
      <c r="E94" s="84">
        <f>TVL!E26</f>
        <v>7</v>
      </c>
      <c r="F94" s="84">
        <f>TVL!F26</f>
        <v>61</v>
      </c>
      <c r="G94" s="183">
        <f t="shared" si="35"/>
        <v>68</v>
      </c>
      <c r="H94" s="195">
        <f t="shared" si="36"/>
        <v>0.9189189189</v>
      </c>
      <c r="I94" s="84">
        <f>TVL!I26</f>
        <v>40</v>
      </c>
      <c r="J94" s="84">
        <f>TVL!J26</f>
        <v>28</v>
      </c>
      <c r="K94" s="84">
        <f>TVL!K26</f>
        <v>11</v>
      </c>
      <c r="L94" s="210">
        <f>TVL!L26</f>
        <v>21.8</v>
      </c>
      <c r="M94" s="210">
        <f>TVL!M26</f>
        <v>54.5</v>
      </c>
      <c r="N94" s="210">
        <f>TVL!N26</f>
        <v>3.8</v>
      </c>
      <c r="O94" s="84">
        <f>TVL!O26</f>
        <v>9</v>
      </c>
      <c r="P94" s="84">
        <f>TVL!P26</f>
        <v>15</v>
      </c>
      <c r="Q94" s="84">
        <f>TVL!Q26</f>
        <v>30</v>
      </c>
      <c r="R94" s="84">
        <f>TVL!R26</f>
        <v>32</v>
      </c>
      <c r="S94" s="84">
        <f>TVL!S26</f>
        <v>39</v>
      </c>
    </row>
    <row r="95" ht="15.75" hidden="1" customHeight="1">
      <c r="A95" s="179" t="s">
        <v>139</v>
      </c>
      <c r="B95" s="223">
        <f>'SHS-NUMBER'!H94</f>
        <v>0</v>
      </c>
      <c r="C95" s="223">
        <f>'SHS-NUMBER'!I94</f>
        <v>0</v>
      </c>
      <c r="D95" s="181">
        <f t="shared" si="34"/>
        <v>0</v>
      </c>
      <c r="E95" s="84"/>
      <c r="F95" s="216"/>
      <c r="G95" s="183">
        <f t="shared" si="35"/>
        <v>0</v>
      </c>
      <c r="H95" s="195" t="str">
        <f t="shared" si="36"/>
        <v/>
      </c>
      <c r="I95" s="196">
        <v>40.0</v>
      </c>
      <c r="J95" s="196"/>
      <c r="K95" s="196"/>
      <c r="L95" s="219"/>
      <c r="M95" s="47"/>
      <c r="N95" s="220"/>
      <c r="O95" s="56"/>
      <c r="P95" s="56"/>
      <c r="Q95" s="56"/>
      <c r="R95" s="56"/>
      <c r="S95" s="56"/>
    </row>
    <row r="96" ht="15.75" customHeight="1">
      <c r="A96" s="38" t="s">
        <v>40</v>
      </c>
      <c r="B96" s="101">
        <f t="shared" ref="B96:G96" si="37">SUM(B92:B95)</f>
        <v>16</v>
      </c>
      <c r="C96" s="101">
        <f t="shared" si="37"/>
        <v>114</v>
      </c>
      <c r="D96" s="101">
        <f t="shared" si="37"/>
        <v>130</v>
      </c>
      <c r="E96" s="101">
        <f t="shared" si="37"/>
        <v>15</v>
      </c>
      <c r="F96" s="101">
        <f t="shared" si="37"/>
        <v>99</v>
      </c>
      <c r="G96" s="101">
        <f t="shared" si="37"/>
        <v>114</v>
      </c>
      <c r="H96" s="226">
        <f>IFERROR((AVERAGE(H92:H95)),"")</f>
        <v>0.8701737452</v>
      </c>
      <c r="I96" s="203">
        <f t="shared" ref="I96:N96" si="38">IFERROR((AVERAGE(I92:I95))," ")</f>
        <v>40</v>
      </c>
      <c r="J96" s="103">
        <f t="shared" si="38"/>
        <v>28.5</v>
      </c>
      <c r="K96" s="103">
        <f t="shared" si="38"/>
        <v>10.5</v>
      </c>
      <c r="L96" s="103">
        <f t="shared" si="38"/>
        <v>21.4</v>
      </c>
      <c r="M96" s="103">
        <f t="shared" si="38"/>
        <v>53.5</v>
      </c>
      <c r="N96" s="103">
        <f t="shared" si="38"/>
        <v>4.335</v>
      </c>
      <c r="O96" s="203"/>
      <c r="P96" s="203"/>
      <c r="Q96" s="203"/>
      <c r="R96" s="203"/>
      <c r="S96" s="203"/>
    </row>
    <row r="97" ht="15.75" customHeight="1">
      <c r="A97" s="213" t="s">
        <v>101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2"/>
    </row>
    <row r="98" ht="15.75" customHeight="1">
      <c r="A98" s="179" t="s">
        <v>102</v>
      </c>
      <c r="B98" s="180">
        <v>226.0</v>
      </c>
      <c r="C98" s="180">
        <v>309.0</v>
      </c>
      <c r="D98" s="181">
        <f t="shared" ref="D98:D101" si="39">SUM(B98:C98)</f>
        <v>535</v>
      </c>
      <c r="E98" s="84">
        <f>TVL!E28</f>
        <v>211</v>
      </c>
      <c r="F98" s="84">
        <f>TVL!F28</f>
        <v>297</v>
      </c>
      <c r="G98" s="183">
        <f t="shared" ref="G98:G101" si="40">SUM(E98:F98)</f>
        <v>508</v>
      </c>
      <c r="H98" s="195">
        <f t="shared" ref="H98:H101" si="41">IFERROR((G98/D98),"")</f>
        <v>0.9495327103</v>
      </c>
      <c r="I98" s="84">
        <f>TVL!I28</f>
        <v>40</v>
      </c>
      <c r="J98" s="84">
        <f>TVL!J28</f>
        <v>39</v>
      </c>
      <c r="K98" s="84">
        <f>TVL!K28</f>
        <v>9</v>
      </c>
      <c r="L98" s="210">
        <f>TVL!L28</f>
        <v>18.67</v>
      </c>
      <c r="M98" s="210">
        <f>TVL!M28</f>
        <v>46.675</v>
      </c>
      <c r="N98" s="210">
        <f>TVL!N28</f>
        <v>7.17</v>
      </c>
      <c r="O98" s="84">
        <f>TVL!O28</f>
        <v>23</v>
      </c>
      <c r="P98" s="84">
        <f>TVL!P28</f>
        <v>14</v>
      </c>
      <c r="Q98" s="84">
        <f>TVL!Q28</f>
        <v>10</v>
      </c>
      <c r="R98" s="84">
        <f>TVL!R28</f>
        <v>33</v>
      </c>
      <c r="S98" s="84">
        <f>TVL!S28</f>
        <v>40</v>
      </c>
    </row>
    <row r="99" ht="15.75" hidden="1" customHeight="1">
      <c r="A99" s="179" t="s">
        <v>103</v>
      </c>
      <c r="B99" s="180">
        <v>0.0</v>
      </c>
      <c r="C99" s="180">
        <v>0.0</v>
      </c>
      <c r="D99" s="181">
        <f t="shared" si="39"/>
        <v>0</v>
      </c>
      <c r="E99" s="84"/>
      <c r="F99" s="216"/>
      <c r="G99" s="183">
        <f t="shared" si="40"/>
        <v>0</v>
      </c>
      <c r="H99" s="195" t="str">
        <f t="shared" si="41"/>
        <v/>
      </c>
      <c r="I99" s="196">
        <v>40.0</v>
      </c>
      <c r="J99" s="196"/>
      <c r="K99" s="196"/>
      <c r="L99" s="221"/>
      <c r="M99" s="210"/>
      <c r="N99" s="222"/>
      <c r="O99" s="56"/>
      <c r="P99" s="56"/>
      <c r="Q99" s="56"/>
      <c r="R99" s="56"/>
      <c r="S99" s="56"/>
    </row>
    <row r="100" ht="15.75" customHeight="1">
      <c r="A100" s="179" t="s">
        <v>140</v>
      </c>
      <c r="B100" s="180">
        <v>188.0</v>
      </c>
      <c r="C100" s="180">
        <v>266.0</v>
      </c>
      <c r="D100" s="181">
        <f t="shared" si="39"/>
        <v>454</v>
      </c>
      <c r="E100" s="84">
        <f>TVL!E30</f>
        <v>178</v>
      </c>
      <c r="F100" s="84">
        <f>TVL!F30</f>
        <v>257</v>
      </c>
      <c r="G100" s="183">
        <f t="shared" si="40"/>
        <v>435</v>
      </c>
      <c r="H100" s="195">
        <f t="shared" si="41"/>
        <v>0.9581497797</v>
      </c>
      <c r="I100" s="84">
        <f>TVL!I30</f>
        <v>40</v>
      </c>
      <c r="J100" s="84">
        <f>TVL!J30</f>
        <v>36</v>
      </c>
      <c r="K100" s="84">
        <f>TVL!K30</f>
        <v>12</v>
      </c>
      <c r="L100" s="210">
        <f>TVL!L30</f>
        <v>19.49</v>
      </c>
      <c r="M100" s="210">
        <f>TVL!M30</f>
        <v>48.725</v>
      </c>
      <c r="N100" s="210">
        <f>TVL!N30</f>
        <v>8.12</v>
      </c>
      <c r="O100" s="84">
        <f>TVL!O30</f>
        <v>11</v>
      </c>
      <c r="P100" s="84">
        <f>TVL!P30</f>
        <v>37</v>
      </c>
      <c r="Q100" s="84">
        <f>TVL!Q30</f>
        <v>4</v>
      </c>
      <c r="R100" s="84">
        <f>TVL!R30</f>
        <v>10</v>
      </c>
      <c r="S100" s="84">
        <f>TVL!S30</f>
        <v>5</v>
      </c>
    </row>
    <row r="101" ht="15.75" hidden="1" customHeight="1">
      <c r="A101" s="179" t="s">
        <v>141</v>
      </c>
      <c r="B101" s="180" t="s">
        <v>30</v>
      </c>
      <c r="C101" s="180" t="s">
        <v>30</v>
      </c>
      <c r="D101" s="181">
        <f t="shared" si="39"/>
        <v>0</v>
      </c>
      <c r="E101" s="84"/>
      <c r="F101" s="216"/>
      <c r="G101" s="183">
        <f t="shared" si="40"/>
        <v>0</v>
      </c>
      <c r="H101" s="195" t="str">
        <f t="shared" si="41"/>
        <v/>
      </c>
      <c r="I101" s="196">
        <v>40.0</v>
      </c>
      <c r="J101" s="196"/>
      <c r="K101" s="196"/>
      <c r="L101" s="219"/>
      <c r="M101" s="47"/>
      <c r="N101" s="220"/>
      <c r="O101" s="56"/>
      <c r="P101" s="56"/>
      <c r="Q101" s="56"/>
      <c r="R101" s="56"/>
      <c r="S101" s="56"/>
    </row>
    <row r="102" ht="15.75" customHeight="1">
      <c r="A102" s="38" t="s">
        <v>40</v>
      </c>
      <c r="B102" s="101">
        <f t="shared" ref="B102:G102" si="42">SUM(B98:B101)</f>
        <v>414</v>
      </c>
      <c r="C102" s="101">
        <f t="shared" si="42"/>
        <v>575</v>
      </c>
      <c r="D102" s="101">
        <f t="shared" si="42"/>
        <v>989</v>
      </c>
      <c r="E102" s="101">
        <f t="shared" si="42"/>
        <v>389</v>
      </c>
      <c r="F102" s="101">
        <f t="shared" si="42"/>
        <v>554</v>
      </c>
      <c r="G102" s="101">
        <f t="shared" si="42"/>
        <v>943</v>
      </c>
      <c r="H102" s="226">
        <f>IFERROR((AVERAGE(H98:H101)),"")</f>
        <v>0.953841245</v>
      </c>
      <c r="I102" s="203">
        <f t="shared" ref="I102:N102" si="43">IFERROR((AVERAGE(I98:I101))," ")</f>
        <v>40</v>
      </c>
      <c r="J102" s="103">
        <f t="shared" si="43"/>
        <v>37.5</v>
      </c>
      <c r="K102" s="103">
        <f t="shared" si="43"/>
        <v>10.5</v>
      </c>
      <c r="L102" s="103">
        <f t="shared" si="43"/>
        <v>19.08</v>
      </c>
      <c r="M102" s="103">
        <f t="shared" si="43"/>
        <v>47.7</v>
      </c>
      <c r="N102" s="103">
        <f t="shared" si="43"/>
        <v>7.645</v>
      </c>
      <c r="O102" s="203"/>
      <c r="P102" s="203"/>
      <c r="Q102" s="203"/>
      <c r="R102" s="203"/>
      <c r="S102" s="203"/>
    </row>
    <row r="103" ht="15.75" customHeight="1">
      <c r="A103" s="213" t="s">
        <v>106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2"/>
    </row>
    <row r="104" ht="15.75" customHeight="1">
      <c r="A104" s="179" t="s">
        <v>107</v>
      </c>
      <c r="B104" s="180">
        <v>7.0</v>
      </c>
      <c r="C104" s="180">
        <v>27.0</v>
      </c>
      <c r="D104" s="181">
        <f t="shared" ref="D104:D107" si="44">SUM(B104:C104)</f>
        <v>34</v>
      </c>
      <c r="E104" s="84">
        <f>TVL!E32</f>
        <v>7</v>
      </c>
      <c r="F104" s="84">
        <f>TVL!F32</f>
        <v>23</v>
      </c>
      <c r="G104" s="183">
        <f t="shared" ref="G104:G107" si="45">SUM(E104:F104)</f>
        <v>30</v>
      </c>
      <c r="H104" s="195">
        <f t="shared" ref="H104:H107" si="46">IFERROR((G104/D104),"")</f>
        <v>0.8823529412</v>
      </c>
      <c r="I104" s="84">
        <f>TVL!I32</f>
        <v>40</v>
      </c>
      <c r="J104" s="84">
        <f>TVL!J32</f>
        <v>33</v>
      </c>
      <c r="K104" s="84">
        <f>TVL!K32</f>
        <v>6</v>
      </c>
      <c r="L104" s="210">
        <f>TVL!L32</f>
        <v>18.5</v>
      </c>
      <c r="M104" s="210">
        <f>TVL!M32</f>
        <v>46.25</v>
      </c>
      <c r="N104" s="210">
        <f>TVL!N32</f>
        <v>6.8</v>
      </c>
      <c r="O104" s="84">
        <f>TVL!O32</f>
        <v>11</v>
      </c>
      <c r="P104" s="84">
        <f>TVL!P32</f>
        <v>12</v>
      </c>
      <c r="Q104" s="84">
        <f>TVL!Q32</f>
        <v>17</v>
      </c>
      <c r="R104" s="84">
        <f>TVL!R32</f>
        <v>34</v>
      </c>
      <c r="S104" s="84">
        <f>TVL!S32</f>
        <v>35</v>
      </c>
    </row>
    <row r="105" ht="15.75" hidden="1" customHeight="1">
      <c r="A105" s="179" t="s">
        <v>108</v>
      </c>
      <c r="B105" s="180">
        <v>0.0</v>
      </c>
      <c r="C105" s="180">
        <v>0.0</v>
      </c>
      <c r="D105" s="181">
        <f t="shared" si="44"/>
        <v>0</v>
      </c>
      <c r="E105" s="84"/>
      <c r="F105" s="216"/>
      <c r="G105" s="183">
        <f t="shared" si="45"/>
        <v>0</v>
      </c>
      <c r="H105" s="195" t="str">
        <f t="shared" si="46"/>
        <v/>
      </c>
      <c r="I105" s="196"/>
      <c r="J105" s="196"/>
      <c r="K105" s="196"/>
      <c r="L105" s="221"/>
      <c r="M105" s="210"/>
      <c r="N105" s="222"/>
      <c r="O105" s="56"/>
      <c r="P105" s="56"/>
      <c r="Q105" s="56"/>
      <c r="R105" s="56"/>
      <c r="S105" s="56"/>
    </row>
    <row r="106" ht="15.75" customHeight="1">
      <c r="A106" s="179" t="s">
        <v>109</v>
      </c>
      <c r="B106" s="180">
        <v>8.0</v>
      </c>
      <c r="C106" s="180">
        <v>10.0</v>
      </c>
      <c r="D106" s="181">
        <f t="shared" si="44"/>
        <v>18</v>
      </c>
      <c r="E106" s="84">
        <f>TVL!E34</f>
        <v>8</v>
      </c>
      <c r="F106" s="84">
        <f>TVL!F34</f>
        <v>10</v>
      </c>
      <c r="G106" s="183">
        <f t="shared" si="45"/>
        <v>18</v>
      </c>
      <c r="H106" s="195">
        <f t="shared" si="46"/>
        <v>1</v>
      </c>
      <c r="I106" s="84">
        <f>TVL!I34</f>
        <v>40</v>
      </c>
      <c r="J106" s="84">
        <f>TVL!J34</f>
        <v>33</v>
      </c>
      <c r="K106" s="84">
        <f>TVL!K34</f>
        <v>11</v>
      </c>
      <c r="L106" s="210">
        <f>TVL!L34</f>
        <v>21.8</v>
      </c>
      <c r="M106" s="210">
        <f>TVL!M34</f>
        <v>54.5</v>
      </c>
      <c r="N106" s="210">
        <f>TVL!N34</f>
        <v>7.8</v>
      </c>
      <c r="O106" s="84">
        <f>TVL!O34</f>
        <v>3</v>
      </c>
      <c r="P106" s="84">
        <f>TVL!P34</f>
        <v>19</v>
      </c>
      <c r="Q106" s="84">
        <f>TVL!Q34</f>
        <v>21</v>
      </c>
      <c r="R106" s="84">
        <f>TVL!R34</f>
        <v>4</v>
      </c>
      <c r="S106" s="84">
        <f>TVL!S34</f>
        <v>22</v>
      </c>
    </row>
    <row r="107" ht="15.75" hidden="1" customHeight="1">
      <c r="A107" s="214" t="s">
        <v>110</v>
      </c>
      <c r="B107" s="223">
        <f>'SHS-NUMBER'!H106</f>
        <v>0</v>
      </c>
      <c r="C107" s="223">
        <f>'SHS-NUMBER'!I106</f>
        <v>0</v>
      </c>
      <c r="D107" s="215">
        <f t="shared" si="44"/>
        <v>0</v>
      </c>
      <c r="E107" s="84"/>
      <c r="F107" s="216"/>
      <c r="G107" s="183">
        <f t="shared" si="45"/>
        <v>0</v>
      </c>
      <c r="H107" s="195" t="str">
        <f t="shared" si="46"/>
        <v/>
      </c>
      <c r="I107" s="196"/>
      <c r="J107" s="196"/>
      <c r="K107" s="196"/>
      <c r="L107" s="219"/>
      <c r="M107" s="47" t="str">
        <f>IFERROR(((L107/I107)*100)," ")</f>
        <v> </v>
      </c>
      <c r="N107" s="220"/>
      <c r="O107" s="56"/>
      <c r="P107" s="56"/>
      <c r="Q107" s="56"/>
      <c r="R107" s="56"/>
      <c r="S107" s="56"/>
    </row>
    <row r="108" ht="15.75" customHeight="1">
      <c r="A108" s="38" t="s">
        <v>40</v>
      </c>
      <c r="B108" s="101">
        <f t="shared" ref="B108:G108" si="47">SUM(B104:B107)</f>
        <v>15</v>
      </c>
      <c r="C108" s="101">
        <f t="shared" si="47"/>
        <v>37</v>
      </c>
      <c r="D108" s="101">
        <f t="shared" si="47"/>
        <v>52</v>
      </c>
      <c r="E108" s="101">
        <f t="shared" si="47"/>
        <v>15</v>
      </c>
      <c r="F108" s="101">
        <f t="shared" si="47"/>
        <v>33</v>
      </c>
      <c r="G108" s="101">
        <f t="shared" si="47"/>
        <v>48</v>
      </c>
      <c r="H108" s="226">
        <f>IFERROR((AVERAGE(H104:H107)),"")</f>
        <v>0.9411764706</v>
      </c>
      <c r="I108" s="203">
        <f t="shared" ref="I108:N108" si="48">IFERROR((AVERAGE(I104:I107))," ")</f>
        <v>40</v>
      </c>
      <c r="J108" s="103">
        <f t="shared" si="48"/>
        <v>33</v>
      </c>
      <c r="K108" s="103">
        <f t="shared" si="48"/>
        <v>8.5</v>
      </c>
      <c r="L108" s="103">
        <f t="shared" si="48"/>
        <v>20.15</v>
      </c>
      <c r="M108" s="103">
        <f t="shared" si="48"/>
        <v>50.375</v>
      </c>
      <c r="N108" s="103">
        <f t="shared" si="48"/>
        <v>7.3</v>
      </c>
      <c r="O108" s="203"/>
      <c r="P108" s="203"/>
      <c r="Q108" s="203"/>
      <c r="R108" s="203"/>
      <c r="S108" s="203"/>
    </row>
    <row r="109" ht="15.75" customHeight="1">
      <c r="A109" s="213" t="s">
        <v>111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2"/>
    </row>
    <row r="110" ht="15.75" customHeight="1">
      <c r="A110" s="179" t="s">
        <v>142</v>
      </c>
      <c r="B110" s="180">
        <v>53.0</v>
      </c>
      <c r="C110" s="180">
        <v>4.0</v>
      </c>
      <c r="D110" s="181">
        <f t="shared" ref="D110:D113" si="49">SUM(B110:C110)</f>
        <v>57</v>
      </c>
      <c r="E110" s="84">
        <f>TVL!E36</f>
        <v>53</v>
      </c>
      <c r="F110" s="84">
        <f>TVL!F36</f>
        <v>4</v>
      </c>
      <c r="G110" s="183">
        <f t="shared" ref="G110:G113" si="50">SUM(E110:F110)</f>
        <v>57</v>
      </c>
      <c r="H110" s="195">
        <f t="shared" ref="H110:H113" si="51">IFERROR((G110/D110),"")</f>
        <v>1</v>
      </c>
      <c r="I110" s="84">
        <f>TVL!I36</f>
        <v>40</v>
      </c>
      <c r="J110" s="84">
        <f>TVL!J36</f>
        <v>32</v>
      </c>
      <c r="K110" s="84">
        <f>TVL!K36</f>
        <v>9</v>
      </c>
      <c r="L110" s="210">
        <f>TVL!L36</f>
        <v>20.7</v>
      </c>
      <c r="M110" s="210">
        <f>TVL!M36</f>
        <v>51.75</v>
      </c>
      <c r="N110" s="210">
        <f>TVL!N36</f>
        <v>7.47</v>
      </c>
      <c r="O110" s="84">
        <f>TVL!O36</f>
        <v>39</v>
      </c>
      <c r="P110" s="84">
        <f>TVL!P36</f>
        <v>37</v>
      </c>
      <c r="Q110" s="84">
        <f>TVL!Q36</f>
        <v>21</v>
      </c>
      <c r="R110" s="84">
        <f>TVL!R36</f>
        <v>24</v>
      </c>
      <c r="S110" s="84">
        <f>TVL!S36</f>
        <v>9</v>
      </c>
    </row>
    <row r="111" ht="15.75" hidden="1" customHeight="1">
      <c r="A111" s="179" t="s">
        <v>143</v>
      </c>
      <c r="B111" s="180">
        <v>0.0</v>
      </c>
      <c r="C111" s="180">
        <v>0.0</v>
      </c>
      <c r="D111" s="181">
        <f t="shared" si="49"/>
        <v>0</v>
      </c>
      <c r="E111" s="84"/>
      <c r="F111" s="216"/>
      <c r="G111" s="183">
        <f t="shared" si="50"/>
        <v>0</v>
      </c>
      <c r="H111" s="195" t="str">
        <f t="shared" si="51"/>
        <v/>
      </c>
      <c r="I111" s="196"/>
      <c r="J111" s="196"/>
      <c r="K111" s="196"/>
      <c r="L111" s="221"/>
      <c r="M111" s="210"/>
      <c r="N111" s="222"/>
      <c r="O111" s="56"/>
      <c r="P111" s="56"/>
      <c r="Q111" s="56"/>
      <c r="R111" s="56"/>
      <c r="S111" s="56"/>
    </row>
    <row r="112" ht="15.75" customHeight="1">
      <c r="A112" s="179" t="s">
        <v>144</v>
      </c>
      <c r="B112" s="180">
        <v>74.0</v>
      </c>
      <c r="C112" s="180">
        <v>9.0</v>
      </c>
      <c r="D112" s="181">
        <f t="shared" si="49"/>
        <v>83</v>
      </c>
      <c r="E112" s="84">
        <f>TVL!E38</f>
        <v>72</v>
      </c>
      <c r="F112" s="84">
        <f>TVL!F38</f>
        <v>5</v>
      </c>
      <c r="G112" s="183">
        <f t="shared" si="50"/>
        <v>77</v>
      </c>
      <c r="H112" s="195">
        <f t="shared" si="51"/>
        <v>0.9277108434</v>
      </c>
      <c r="I112" s="84">
        <f>TVL!I38</f>
        <v>40</v>
      </c>
      <c r="J112" s="84">
        <f>TVL!J38</f>
        <v>31</v>
      </c>
      <c r="K112" s="84">
        <f>TVL!K38</f>
        <v>12</v>
      </c>
      <c r="L112" s="210">
        <f>TVL!L38</f>
        <v>19.3</v>
      </c>
      <c r="M112" s="210">
        <f>TVL!M38</f>
        <v>48.25</v>
      </c>
      <c r="N112" s="210">
        <f>TVL!N38</f>
        <v>4.69</v>
      </c>
      <c r="O112" s="84">
        <f>TVL!O38</f>
        <v>40</v>
      </c>
      <c r="P112" s="84">
        <f>TVL!P38</f>
        <v>5</v>
      </c>
      <c r="Q112" s="84">
        <f>TVL!Q38</f>
        <v>8</v>
      </c>
      <c r="R112" s="84">
        <f>TVL!R38</f>
        <v>30</v>
      </c>
      <c r="S112" s="84">
        <f>TVL!S38</f>
        <v>25</v>
      </c>
    </row>
    <row r="113" ht="15.75" hidden="1" customHeight="1">
      <c r="A113" s="214" t="s">
        <v>145</v>
      </c>
      <c r="B113" s="223">
        <f>'SHS-NUMBER'!H112</f>
        <v>0</v>
      </c>
      <c r="C113" s="223">
        <f>'SHS-NUMBER'!I112</f>
        <v>0</v>
      </c>
      <c r="D113" s="215">
        <f t="shared" si="49"/>
        <v>0</v>
      </c>
      <c r="E113" s="84"/>
      <c r="F113" s="216"/>
      <c r="G113" s="183">
        <f t="shared" si="50"/>
        <v>0</v>
      </c>
      <c r="H113" s="195" t="str">
        <f t="shared" si="51"/>
        <v/>
      </c>
      <c r="I113" s="196"/>
      <c r="J113" s="196"/>
      <c r="K113" s="196"/>
      <c r="L113" s="219"/>
      <c r="M113" s="47" t="str">
        <f>IFERROR(((L113/I113)*100)," ")</f>
        <v> </v>
      </c>
      <c r="N113" s="220"/>
      <c r="O113" s="56"/>
      <c r="P113" s="56"/>
      <c r="Q113" s="56"/>
      <c r="R113" s="56"/>
      <c r="S113" s="56"/>
    </row>
    <row r="114" ht="15.75" customHeight="1">
      <c r="A114" s="38" t="s">
        <v>40</v>
      </c>
      <c r="B114" s="101">
        <f t="shared" ref="B114:G114" si="52">SUM(B110:B113)</f>
        <v>127</v>
      </c>
      <c r="C114" s="101">
        <f t="shared" si="52"/>
        <v>13</v>
      </c>
      <c r="D114" s="101">
        <f t="shared" si="52"/>
        <v>140</v>
      </c>
      <c r="E114" s="101">
        <f t="shared" si="52"/>
        <v>125</v>
      </c>
      <c r="F114" s="101">
        <f t="shared" si="52"/>
        <v>9</v>
      </c>
      <c r="G114" s="101">
        <f t="shared" si="52"/>
        <v>134</v>
      </c>
      <c r="H114" s="226">
        <f>IFERROR((AVERAGE(H110:H113)),"")</f>
        <v>0.9638554217</v>
      </c>
      <c r="I114" s="203">
        <f t="shared" ref="I114:N114" si="53">IFERROR((AVERAGE(I110:I113))," ")</f>
        <v>40</v>
      </c>
      <c r="J114" s="103">
        <f t="shared" si="53"/>
        <v>31.5</v>
      </c>
      <c r="K114" s="103">
        <f t="shared" si="53"/>
        <v>10.5</v>
      </c>
      <c r="L114" s="103">
        <f t="shared" si="53"/>
        <v>20</v>
      </c>
      <c r="M114" s="103">
        <f t="shared" si="53"/>
        <v>50</v>
      </c>
      <c r="N114" s="103">
        <f t="shared" si="53"/>
        <v>6.08</v>
      </c>
      <c r="O114" s="203"/>
      <c r="P114" s="203"/>
      <c r="Q114" s="203"/>
      <c r="R114" s="203"/>
      <c r="S114" s="203"/>
    </row>
    <row r="115" ht="15.75" customHeight="1">
      <c r="A115" s="213" t="s">
        <v>116</v>
      </c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2"/>
    </row>
    <row r="116" ht="15.75" customHeight="1">
      <c r="A116" s="179" t="s">
        <v>146</v>
      </c>
      <c r="B116" s="180">
        <v>51.0</v>
      </c>
      <c r="C116" s="180">
        <v>0.0</v>
      </c>
      <c r="D116" s="181">
        <f t="shared" ref="D116:D119" si="54">SUM(B116:C116)</f>
        <v>51</v>
      </c>
      <c r="E116" s="84">
        <f>TVL!E40</f>
        <v>42</v>
      </c>
      <c r="F116" s="84">
        <f>TVL!F40</f>
        <v>0</v>
      </c>
      <c r="G116" s="183">
        <f t="shared" ref="G116:G119" si="55">SUM(E116:F116)</f>
        <v>42</v>
      </c>
      <c r="H116" s="195">
        <f t="shared" ref="H116:H119" si="56">IFERROR((G116/D116),"")</f>
        <v>0.8235294118</v>
      </c>
      <c r="I116" s="84">
        <f>TVL!I40</f>
        <v>40</v>
      </c>
      <c r="J116" s="84">
        <f>TVL!J40</f>
        <v>23</v>
      </c>
      <c r="K116" s="84">
        <f>TVL!K40</f>
        <v>5</v>
      </c>
      <c r="L116" s="210">
        <f>TVL!L40</f>
        <v>14.4</v>
      </c>
      <c r="M116" s="210">
        <f>TVL!M40</f>
        <v>36</v>
      </c>
      <c r="N116" s="210">
        <f>TVL!N40</f>
        <v>4.1</v>
      </c>
      <c r="O116" s="84">
        <f>TVL!O40</f>
        <v>20</v>
      </c>
      <c r="P116" s="84">
        <f>TVL!P40</f>
        <v>24</v>
      </c>
      <c r="Q116" s="84">
        <f>TVL!Q40</f>
        <v>13</v>
      </c>
      <c r="R116" s="84">
        <f>TVL!R40</f>
        <v>27</v>
      </c>
      <c r="S116" s="84">
        <f>TVL!S40</f>
        <v>10</v>
      </c>
    </row>
    <row r="117" ht="15.75" hidden="1" customHeight="1">
      <c r="A117" s="179" t="s">
        <v>147</v>
      </c>
      <c r="B117" s="180">
        <v>0.0</v>
      </c>
      <c r="C117" s="180">
        <v>0.0</v>
      </c>
      <c r="D117" s="181">
        <f t="shared" si="54"/>
        <v>0</v>
      </c>
      <c r="E117" s="84"/>
      <c r="F117" s="216"/>
      <c r="G117" s="183">
        <f t="shared" si="55"/>
        <v>0</v>
      </c>
      <c r="H117" s="195" t="str">
        <f t="shared" si="56"/>
        <v/>
      </c>
      <c r="I117" s="196"/>
      <c r="J117" s="196"/>
      <c r="K117" s="196"/>
      <c r="L117" s="221"/>
      <c r="M117" s="210"/>
      <c r="N117" s="222"/>
      <c r="O117" s="56"/>
      <c r="P117" s="56"/>
      <c r="Q117" s="56"/>
      <c r="R117" s="56"/>
      <c r="S117" s="56"/>
    </row>
    <row r="118" ht="15.75" customHeight="1">
      <c r="A118" s="179" t="s">
        <v>148</v>
      </c>
      <c r="B118" s="180">
        <v>34.0</v>
      </c>
      <c r="C118" s="180">
        <v>5.0</v>
      </c>
      <c r="D118" s="181">
        <f t="shared" si="54"/>
        <v>39</v>
      </c>
      <c r="E118" s="84">
        <f>TVL!E42</f>
        <v>33</v>
      </c>
      <c r="F118" s="84">
        <f>TVL!F42</f>
        <v>4</v>
      </c>
      <c r="G118" s="183">
        <f t="shared" si="55"/>
        <v>37</v>
      </c>
      <c r="H118" s="195">
        <f t="shared" si="56"/>
        <v>0.9487179487</v>
      </c>
      <c r="I118" s="84">
        <f>TVL!I42</f>
        <v>40</v>
      </c>
      <c r="J118" s="84">
        <f>TVL!J42</f>
        <v>27</v>
      </c>
      <c r="K118" s="84">
        <f>TVL!K42</f>
        <v>14</v>
      </c>
      <c r="L118" s="210">
        <f>TVL!L42</f>
        <v>19.9</v>
      </c>
      <c r="M118" s="210">
        <f>TVL!M42</f>
        <v>49.75</v>
      </c>
      <c r="N118" s="210">
        <f>TVL!N42</f>
        <v>7.47</v>
      </c>
      <c r="O118" s="84">
        <f>TVL!O42</f>
        <v>34</v>
      </c>
      <c r="P118" s="84">
        <f>TVL!P42</f>
        <v>23</v>
      </c>
      <c r="Q118" s="84">
        <f>TVL!Q42</f>
        <v>6</v>
      </c>
      <c r="R118" s="84">
        <f>TVL!R42</f>
        <v>38</v>
      </c>
      <c r="S118" s="84">
        <f>TVL!S42</f>
        <v>33</v>
      </c>
    </row>
    <row r="119" ht="15.75" hidden="1" customHeight="1">
      <c r="A119" s="214" t="s">
        <v>149</v>
      </c>
      <c r="B119" s="223">
        <f>'SHS-NUMBER'!H118</f>
        <v>0</v>
      </c>
      <c r="C119" s="223">
        <f>'SHS-NUMBER'!I118</f>
        <v>0</v>
      </c>
      <c r="D119" s="215">
        <f t="shared" si="54"/>
        <v>0</v>
      </c>
      <c r="E119" s="84"/>
      <c r="F119" s="216"/>
      <c r="G119" s="183">
        <f t="shared" si="55"/>
        <v>0</v>
      </c>
      <c r="H119" s="195" t="str">
        <f t="shared" si="56"/>
        <v/>
      </c>
      <c r="I119" s="196"/>
      <c r="J119" s="196"/>
      <c r="K119" s="196"/>
      <c r="L119" s="219"/>
      <c r="M119" s="47" t="str">
        <f>IFERROR(((L119/I119)*100)," ")</f>
        <v> </v>
      </c>
      <c r="N119" s="220"/>
      <c r="O119" s="56"/>
      <c r="P119" s="56"/>
      <c r="Q119" s="56"/>
      <c r="R119" s="56"/>
      <c r="S119" s="56"/>
    </row>
    <row r="120" ht="15.75" customHeight="1">
      <c r="A120" s="38" t="s">
        <v>40</v>
      </c>
      <c r="B120" s="101">
        <f t="shared" ref="B120:G120" si="57">SUM(B116:B119)</f>
        <v>85</v>
      </c>
      <c r="C120" s="101">
        <f t="shared" si="57"/>
        <v>5</v>
      </c>
      <c r="D120" s="101">
        <f t="shared" si="57"/>
        <v>90</v>
      </c>
      <c r="E120" s="101">
        <f t="shared" si="57"/>
        <v>75</v>
      </c>
      <c r="F120" s="101">
        <f t="shared" si="57"/>
        <v>4</v>
      </c>
      <c r="G120" s="101">
        <f t="shared" si="57"/>
        <v>79</v>
      </c>
      <c r="H120" s="226">
        <f>IFERROR((AVERAGE(H116:H119)),"")</f>
        <v>0.8861236802</v>
      </c>
      <c r="I120" s="203">
        <f t="shared" ref="I120:N120" si="58">IFERROR((AVERAGE(I116:I119))," ")</f>
        <v>40</v>
      </c>
      <c r="J120" s="103">
        <f t="shared" si="58"/>
        <v>25</v>
      </c>
      <c r="K120" s="103">
        <f t="shared" si="58"/>
        <v>9.5</v>
      </c>
      <c r="L120" s="103">
        <f t="shared" si="58"/>
        <v>17.15</v>
      </c>
      <c r="M120" s="103">
        <f t="shared" si="58"/>
        <v>42.875</v>
      </c>
      <c r="N120" s="103">
        <f t="shared" si="58"/>
        <v>5.785</v>
      </c>
      <c r="O120" s="203"/>
      <c r="P120" s="203"/>
      <c r="Q120" s="203"/>
      <c r="R120" s="203"/>
      <c r="S120" s="203"/>
    </row>
    <row r="121" ht="15.75" customHeight="1">
      <c r="A121" s="213" t="s">
        <v>121</v>
      </c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2"/>
    </row>
    <row r="122" ht="15.75" customHeight="1">
      <c r="A122" s="173" t="s">
        <v>150</v>
      </c>
      <c r="B122" s="180">
        <v>239.0</v>
      </c>
      <c r="C122" s="180">
        <v>80.0</v>
      </c>
      <c r="D122" s="181">
        <f t="shared" ref="D122:D125" si="59">SUM(B122:C122)</f>
        <v>319</v>
      </c>
      <c r="E122" s="84">
        <f>TVL!E44</f>
        <v>237</v>
      </c>
      <c r="F122" s="84">
        <f>TVL!F44</f>
        <v>78</v>
      </c>
      <c r="G122" s="183">
        <f t="shared" ref="G122:G125" si="60">SUM(E122:F122)</f>
        <v>315</v>
      </c>
      <c r="H122" s="195">
        <f t="shared" ref="H122:H125" si="61">IFERROR((G122/D122),"")</f>
        <v>0.987460815</v>
      </c>
      <c r="I122" s="84">
        <f>TVL!I44</f>
        <v>40</v>
      </c>
      <c r="J122" s="84">
        <f>TVL!J44</f>
        <v>34</v>
      </c>
      <c r="K122" s="84">
        <f>TVL!K44</f>
        <v>8</v>
      </c>
      <c r="L122" s="210">
        <f>TVL!L44</f>
        <v>19.53</v>
      </c>
      <c r="M122" s="210">
        <f>TVL!M44</f>
        <v>48.825</v>
      </c>
      <c r="N122" s="210">
        <f>TVL!N44</f>
        <v>5.44</v>
      </c>
      <c r="O122" s="84">
        <f>TVL!O44</f>
        <v>27</v>
      </c>
      <c r="P122" s="84">
        <f>TVL!P44</f>
        <v>32</v>
      </c>
      <c r="Q122" s="84">
        <f>TVL!Q44</f>
        <v>36</v>
      </c>
      <c r="R122" s="84">
        <f>TVL!R44</f>
        <v>19</v>
      </c>
      <c r="S122" s="84">
        <f>TVL!S44</f>
        <v>16</v>
      </c>
    </row>
    <row r="123" ht="15.75" hidden="1" customHeight="1">
      <c r="A123" s="179" t="s">
        <v>151</v>
      </c>
      <c r="B123" s="180">
        <v>0.0</v>
      </c>
      <c r="C123" s="180">
        <v>0.0</v>
      </c>
      <c r="D123" s="181">
        <f t="shared" si="59"/>
        <v>0</v>
      </c>
      <c r="E123" s="84"/>
      <c r="F123" s="216"/>
      <c r="G123" s="183">
        <f t="shared" si="60"/>
        <v>0</v>
      </c>
      <c r="H123" s="195" t="str">
        <f t="shared" si="61"/>
        <v/>
      </c>
      <c r="I123" s="196"/>
      <c r="J123" s="196"/>
      <c r="K123" s="196"/>
      <c r="L123" s="221"/>
      <c r="M123" s="210"/>
      <c r="N123" s="222"/>
      <c r="O123" s="56"/>
      <c r="P123" s="56"/>
      <c r="Q123" s="56"/>
      <c r="R123" s="56"/>
      <c r="S123" s="56"/>
    </row>
    <row r="124" ht="15.75" customHeight="1">
      <c r="A124" s="173" t="s">
        <v>152</v>
      </c>
      <c r="B124" s="180">
        <v>233.0</v>
      </c>
      <c r="C124" s="180">
        <v>94.0</v>
      </c>
      <c r="D124" s="181">
        <f t="shared" si="59"/>
        <v>327</v>
      </c>
      <c r="E124" s="84">
        <f>TVL!E46</f>
        <v>229</v>
      </c>
      <c r="F124" s="84">
        <f>TVL!F46</f>
        <v>92</v>
      </c>
      <c r="G124" s="183">
        <f t="shared" si="60"/>
        <v>321</v>
      </c>
      <c r="H124" s="195">
        <f t="shared" si="61"/>
        <v>0.9816513761</v>
      </c>
      <c r="I124" s="84">
        <f>TVL!I46</f>
        <v>40</v>
      </c>
      <c r="J124" s="84">
        <f>TVL!J46</f>
        <v>37</v>
      </c>
      <c r="K124" s="84">
        <f>TVL!K46</f>
        <v>5</v>
      </c>
      <c r="L124" s="210">
        <f>TVL!L46</f>
        <v>18.57</v>
      </c>
      <c r="M124" s="210">
        <f>TVL!M46</f>
        <v>46.425</v>
      </c>
      <c r="N124" s="210">
        <f>TVL!N46</f>
        <v>7.98</v>
      </c>
      <c r="O124" s="84">
        <f>TVL!O46</f>
        <v>3</v>
      </c>
      <c r="P124" s="84">
        <f>TVL!P46</f>
        <v>33</v>
      </c>
      <c r="Q124" s="84">
        <f>TVL!Q46</f>
        <v>26</v>
      </c>
      <c r="R124" s="84">
        <f>TVL!R46</f>
        <v>31</v>
      </c>
      <c r="S124" s="84">
        <f>TVL!S46</f>
        <v>24</v>
      </c>
    </row>
    <row r="125" ht="15.75" hidden="1" customHeight="1">
      <c r="A125" s="214" t="s">
        <v>153</v>
      </c>
      <c r="B125" s="223">
        <f>'SHS-NUMBER'!H124</f>
        <v>0</v>
      </c>
      <c r="C125" s="223">
        <f>'SHS-NUMBER'!I124</f>
        <v>0</v>
      </c>
      <c r="D125" s="215">
        <f t="shared" si="59"/>
        <v>0</v>
      </c>
      <c r="E125" s="84"/>
      <c r="F125" s="216"/>
      <c r="G125" s="217">
        <f t="shared" si="60"/>
        <v>0</v>
      </c>
      <c r="H125" s="195" t="str">
        <f t="shared" si="61"/>
        <v/>
      </c>
      <c r="I125" s="196"/>
      <c r="J125" s="196"/>
      <c r="K125" s="196"/>
      <c r="L125" s="219"/>
      <c r="M125" s="47" t="str">
        <f>IFERROR(((L125/I125)*100)," ")</f>
        <v> </v>
      </c>
      <c r="N125" s="220"/>
      <c r="O125" s="56"/>
      <c r="P125" s="56"/>
      <c r="Q125" s="56"/>
      <c r="R125" s="56"/>
      <c r="S125" s="56"/>
    </row>
    <row r="126" ht="15.75" customHeight="1">
      <c r="A126" s="38" t="s">
        <v>40</v>
      </c>
      <c r="B126" s="227">
        <f t="shared" ref="B126:G126" si="62">SUM(B122:B125)</f>
        <v>472</v>
      </c>
      <c r="C126" s="227">
        <f t="shared" si="62"/>
        <v>174</v>
      </c>
      <c r="D126" s="227">
        <f t="shared" si="62"/>
        <v>646</v>
      </c>
      <c r="E126" s="227">
        <f t="shared" si="62"/>
        <v>466</v>
      </c>
      <c r="F126" s="227">
        <f t="shared" si="62"/>
        <v>170</v>
      </c>
      <c r="G126" s="227">
        <f t="shared" si="62"/>
        <v>636</v>
      </c>
      <c r="H126" s="226">
        <f>IFERROR((AVERAGE(H122:H125)),"")</f>
        <v>0.9845560956</v>
      </c>
      <c r="I126" s="38">
        <f t="shared" ref="I126:N126" si="63">IFERROR((AVERAGE(I122:I125))," ")</f>
        <v>40</v>
      </c>
      <c r="J126" s="228">
        <f t="shared" si="63"/>
        <v>35.5</v>
      </c>
      <c r="K126" s="228">
        <f t="shared" si="63"/>
        <v>6.5</v>
      </c>
      <c r="L126" s="228">
        <f t="shared" si="63"/>
        <v>19.05</v>
      </c>
      <c r="M126" s="228">
        <f t="shared" si="63"/>
        <v>47.625</v>
      </c>
      <c r="N126" s="228">
        <f t="shared" si="63"/>
        <v>6.71</v>
      </c>
      <c r="O126" s="38"/>
      <c r="P126" s="38"/>
      <c r="Q126" s="38"/>
      <c r="R126" s="38"/>
      <c r="S126" s="38"/>
    </row>
    <row r="127" ht="15.75" customHeight="1">
      <c r="A127" s="38" t="s">
        <v>155</v>
      </c>
      <c r="B127" s="227">
        <f t="shared" ref="B127:D127" si="64">SUM(B86,B88,B92,B94,B98,B100,B104,B110,B112,B116,B118,B122,B124)</f>
        <v>1446</v>
      </c>
      <c r="C127" s="227">
        <f t="shared" si="64"/>
        <v>916</v>
      </c>
      <c r="D127" s="227">
        <f t="shared" si="64"/>
        <v>2362</v>
      </c>
      <c r="E127" s="227">
        <f t="shared" ref="E127:G127" si="65">SUM(E90,E96,E102,E108,E114,E120,E126)</f>
        <v>1390</v>
      </c>
      <c r="F127" s="227">
        <f t="shared" si="65"/>
        <v>875</v>
      </c>
      <c r="G127" s="227">
        <f t="shared" si="65"/>
        <v>2265</v>
      </c>
      <c r="H127" s="226">
        <f>IFERROR((AVERAGE(H90,H96,H102,H108,H114,H120,H126)),"")</f>
        <v>0.9332311519</v>
      </c>
      <c r="I127" s="227">
        <f>AVERAGE(I90,I96,I102,I108,I114,I120,I126)</f>
        <v>40</v>
      </c>
      <c r="J127" s="229">
        <f t="shared" ref="J127:M127" si="66">IFERROR((AVERAGE(J90,J96,J102,J108,J114,J120,J126)),"")</f>
        <v>32.64285714</v>
      </c>
      <c r="K127" s="229">
        <f t="shared" si="66"/>
        <v>9</v>
      </c>
      <c r="L127" s="229">
        <f t="shared" si="66"/>
        <v>20.08785714</v>
      </c>
      <c r="M127" s="229">
        <f t="shared" si="66"/>
        <v>50.21964286</v>
      </c>
      <c r="N127" s="229">
        <f>IFERROR((AVERAGE(N90,N96,N102,N108,N114,N120,N126)),)</f>
        <v>6.209285714</v>
      </c>
      <c r="O127" s="38"/>
      <c r="P127" s="38"/>
      <c r="Q127" s="38"/>
      <c r="R127" s="38"/>
      <c r="S127" s="38"/>
    </row>
    <row r="128" ht="15.75" hidden="1" customHeight="1">
      <c r="A128" s="19"/>
      <c r="B128" s="204"/>
      <c r="C128" s="204"/>
      <c r="D128" s="204"/>
      <c r="E128" s="204"/>
      <c r="F128" s="204"/>
      <c r="G128" s="204"/>
      <c r="H128" s="205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 ht="15.75" hidden="1" customHeight="1">
      <c r="A129" s="19"/>
      <c r="B129" s="204"/>
      <c r="C129" s="204"/>
      <c r="D129" s="204"/>
      <c r="E129" s="204"/>
      <c r="F129" s="204"/>
      <c r="G129" s="204"/>
      <c r="H129" s="205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 ht="15.75" hidden="1" customHeight="1">
      <c r="A130" s="230" t="s">
        <v>156</v>
      </c>
      <c r="B130" s="231" t="s">
        <v>157</v>
      </c>
      <c r="C130" s="232"/>
      <c r="D130" s="232"/>
      <c r="F130" s="232"/>
      <c r="G130" s="232"/>
      <c r="H130" s="232" t="s">
        <v>158</v>
      </c>
      <c r="J130" s="233"/>
      <c r="K130" s="234"/>
      <c r="L130" s="206"/>
      <c r="M130" s="19"/>
      <c r="N130" s="235" t="s">
        <v>159</v>
      </c>
      <c r="O130" s="233"/>
      <c r="P130" s="19"/>
      <c r="Q130" s="19"/>
      <c r="R130" s="19"/>
      <c r="S130" s="19"/>
    </row>
    <row r="131" ht="15.75" hidden="1" customHeight="1">
      <c r="A131" s="230"/>
      <c r="B131" s="232"/>
      <c r="C131" s="232"/>
      <c r="D131" s="232"/>
      <c r="F131" s="232"/>
      <c r="G131" s="232"/>
      <c r="H131" s="232"/>
      <c r="J131" s="233"/>
      <c r="K131" s="233"/>
      <c r="L131" s="206"/>
      <c r="M131" s="19"/>
      <c r="N131" s="235"/>
      <c r="O131" s="233"/>
      <c r="P131" s="19"/>
      <c r="Q131" s="19"/>
      <c r="R131" s="19"/>
      <c r="S131" s="19"/>
    </row>
    <row r="132" ht="15.75" hidden="1" customHeight="1">
      <c r="A132" s="236" t="s">
        <v>160</v>
      </c>
      <c r="B132" s="237" t="s">
        <v>161</v>
      </c>
      <c r="C132" s="232"/>
      <c r="D132" s="232"/>
      <c r="F132" s="232"/>
      <c r="G132" s="232"/>
      <c r="H132" s="238" t="s">
        <v>162</v>
      </c>
      <c r="J132" s="233"/>
      <c r="K132" s="233"/>
      <c r="L132" s="19"/>
      <c r="M132" s="19"/>
      <c r="N132" s="239" t="s">
        <v>163</v>
      </c>
      <c r="O132" s="233"/>
      <c r="P132" s="19"/>
      <c r="Q132" s="19"/>
      <c r="R132" s="19"/>
      <c r="S132" s="19"/>
    </row>
    <row r="133" ht="15.75" hidden="1" customHeight="1">
      <c r="A133" s="240" t="s">
        <v>164</v>
      </c>
      <c r="B133" s="241" t="s">
        <v>165</v>
      </c>
      <c r="C133" s="240"/>
      <c r="D133" s="240"/>
      <c r="E133" s="242"/>
      <c r="F133" s="240"/>
      <c r="G133" s="240"/>
      <c r="H133" s="240" t="s">
        <v>166</v>
      </c>
      <c r="I133" s="242"/>
      <c r="J133" s="243"/>
      <c r="K133" s="243"/>
      <c r="L133" s="242"/>
      <c r="M133" s="242"/>
      <c r="N133" s="243" t="s">
        <v>167</v>
      </c>
      <c r="O133" s="243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242"/>
    </row>
    <row r="134" ht="15.75" hidden="1" customHeight="1">
      <c r="A134" s="174"/>
      <c r="B134" s="174"/>
      <c r="C134" s="174"/>
      <c r="D134" s="174"/>
      <c r="F134" s="174"/>
      <c r="G134" s="174"/>
      <c r="I134" s="174"/>
      <c r="J134" s="174"/>
      <c r="K134" s="174"/>
    </row>
    <row r="135" ht="15.75" hidden="1" customHeight="1">
      <c r="A135" s="174"/>
      <c r="B135" s="174"/>
      <c r="C135" s="174"/>
      <c r="D135" s="174"/>
      <c r="F135" s="174"/>
      <c r="G135" s="174"/>
      <c r="H135" s="244" t="s">
        <v>168</v>
      </c>
      <c r="I135" s="174"/>
      <c r="J135" s="174"/>
      <c r="K135" s="174"/>
    </row>
    <row r="136" ht="15.75" hidden="1" customHeight="1">
      <c r="A136" s="174"/>
      <c r="B136" s="174"/>
      <c r="C136" s="174"/>
      <c r="D136" s="174"/>
      <c r="F136" s="174"/>
      <c r="G136" s="174"/>
      <c r="H136" s="240" t="s">
        <v>169</v>
      </c>
      <c r="I136" s="174"/>
      <c r="J136" s="174"/>
      <c r="K136" s="174"/>
    </row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</sheetData>
  <mergeCells count="70">
    <mergeCell ref="M38:M41"/>
    <mergeCell ref="N38:N41"/>
    <mergeCell ref="B40:B41"/>
    <mergeCell ref="C40:C41"/>
    <mergeCell ref="D40:D41"/>
    <mergeCell ref="E40:E41"/>
    <mergeCell ref="F40:F41"/>
    <mergeCell ref="G40:G41"/>
    <mergeCell ref="B38:D39"/>
    <mergeCell ref="E38:G39"/>
    <mergeCell ref="H38:H41"/>
    <mergeCell ref="I38:I41"/>
    <mergeCell ref="J38:J41"/>
    <mergeCell ref="K38:K41"/>
    <mergeCell ref="L38:L41"/>
    <mergeCell ref="K51:K54"/>
    <mergeCell ref="L51:L54"/>
    <mergeCell ref="M51:M54"/>
    <mergeCell ref="N51:N54"/>
    <mergeCell ref="B51:D52"/>
    <mergeCell ref="B53:B54"/>
    <mergeCell ref="C53:C54"/>
    <mergeCell ref="D53:D54"/>
    <mergeCell ref="E53:E54"/>
    <mergeCell ref="F53:F54"/>
    <mergeCell ref="O38:S40"/>
    <mergeCell ref="A50:S50"/>
    <mergeCell ref="E51:G52"/>
    <mergeCell ref="H51:H54"/>
    <mergeCell ref="I51:I54"/>
    <mergeCell ref="J51:J54"/>
    <mergeCell ref="O51:S53"/>
    <mergeCell ref="G53:G54"/>
    <mergeCell ref="A109:S109"/>
    <mergeCell ref="A115:S115"/>
    <mergeCell ref="A121:S121"/>
    <mergeCell ref="A55:S55"/>
    <mergeCell ref="A65:S65"/>
    <mergeCell ref="A75:S75"/>
    <mergeCell ref="A85:S85"/>
    <mergeCell ref="A91:S91"/>
    <mergeCell ref="A97:S97"/>
    <mergeCell ref="A103:S103"/>
    <mergeCell ref="A4:S4"/>
    <mergeCell ref="A5:S5"/>
    <mergeCell ref="A6:S6"/>
    <mergeCell ref="A7:S7"/>
    <mergeCell ref="A8:S8"/>
    <mergeCell ref="B10:S10"/>
    <mergeCell ref="A12:S12"/>
    <mergeCell ref="L13:L16"/>
    <mergeCell ref="M13:M16"/>
    <mergeCell ref="N13:N16"/>
    <mergeCell ref="O13:S15"/>
    <mergeCell ref="B15:B16"/>
    <mergeCell ref="C15:C16"/>
    <mergeCell ref="D15:D16"/>
    <mergeCell ref="E15:E16"/>
    <mergeCell ref="F15:F16"/>
    <mergeCell ref="G15:G16"/>
    <mergeCell ref="A13:A16"/>
    <mergeCell ref="A38:A41"/>
    <mergeCell ref="A51:A54"/>
    <mergeCell ref="B13:D14"/>
    <mergeCell ref="E13:G14"/>
    <mergeCell ref="H13:H16"/>
    <mergeCell ref="I13:I16"/>
    <mergeCell ref="J13:J16"/>
    <mergeCell ref="K13:K16"/>
    <mergeCell ref="A37:S37"/>
  </mergeCells>
  <conditionalFormatting sqref="B17:C34 E17:F34 I17:S34 B42:C47 E42:F47 I42:S47 B56:C63 E56:F63 I56:S63 B66:C73 E66:F73 I66:S73 D69 G69 B76:C83 E76:F83 I76:S83 B86:C89 E86:F89 I86:S89 B92:C95 E92:F95 I92:S95 B98:C101 E98:F101 I98:S101 B104:C107 E104:F107 I104:S107 B110:C113 E110:F113 I110:S113 B116:C119 E116:F119 I116:S119 B122:C125 E122:F125 I122:S125">
    <cfRule type="containsBlanks" dxfId="0" priority="1">
      <formula>LEN(TRIM(B17))=0</formula>
    </cfRule>
  </conditionalFormatting>
  <printOptions/>
  <pageMargins bottom="0.3" footer="0.0" header="0.0" left="0.3" right="0.3" top="0.3"/>
  <pageSetup paperSize="14" orientation="portrait"/>
  <drawing r:id="rId1"/>
</worksheet>
</file>