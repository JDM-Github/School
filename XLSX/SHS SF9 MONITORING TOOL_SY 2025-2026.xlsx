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G11" sheetId="2" r:id="rId5"/>
    <sheet state="visible" name="G12" sheetId="3" r:id="rId6"/>
  </sheets>
  <definedNames/>
  <calcPr/>
</workbook>
</file>

<file path=xl/sharedStrings.xml><?xml version="1.0" encoding="utf-8"?>
<sst xmlns="http://schemas.openxmlformats.org/spreadsheetml/2006/main" count="1591" uniqueCount="372">
  <si>
    <t>SCHOOLS DIVISION OF PARAÑAQUE CITY</t>
  </si>
  <si>
    <t>PARAÑAQUE NATIONAL HIGH SCHOOL - MAIN</t>
  </si>
  <si>
    <t xml:space="preserve">SENIOR HIGH SCHOOL PROGRAM </t>
  </si>
  <si>
    <t>SCHOOL FORM (SF) 9 MONITORING TOOL</t>
  </si>
  <si>
    <t>SY 2025-2026</t>
  </si>
  <si>
    <t>GRADE LEVEL</t>
  </si>
  <si>
    <t>SECTION</t>
  </si>
  <si>
    <t>PROGRAM</t>
  </si>
  <si>
    <t>ADVISER</t>
  </si>
  <si>
    <t>GROUP</t>
  </si>
  <si>
    <t>FIRST SEMESTER MASTERLIST</t>
  </si>
  <si>
    <t>TOTAL NO. OF SUBJECTS</t>
  </si>
  <si>
    <t>COMPLETED SUBJECTS</t>
  </si>
  <si>
    <t>INCOMPLETE SUBJECTS</t>
  </si>
  <si>
    <t>NOT ENCODED ENTRIES</t>
  </si>
  <si>
    <t>STATUS OF COMPLETION</t>
  </si>
  <si>
    <t>MALE</t>
  </si>
  <si>
    <t>FEMALE</t>
  </si>
  <si>
    <t>TOTAL</t>
  </si>
  <si>
    <t>GRADE 11</t>
  </si>
  <si>
    <t>ARANETA</t>
  </si>
  <si>
    <t>ABM</t>
  </si>
  <si>
    <t>EVANGELINA O. FUENTES</t>
  </si>
  <si>
    <t>AYALA</t>
  </si>
  <si>
    <t>REY G. MELGAR</t>
  </si>
  <si>
    <t>CONCEPCION</t>
  </si>
  <si>
    <t>CLEZA JOY E. CADUNGOG</t>
  </si>
  <si>
    <t>ENGLISH</t>
  </si>
  <si>
    <t>GAISANO</t>
  </si>
  <si>
    <t>CLARISSA T. CASTILLO</t>
  </si>
  <si>
    <t>FILIPINO</t>
  </si>
  <si>
    <t>GOKONGWEI</t>
  </si>
  <si>
    <t>GEMMA O. MINGAY</t>
  </si>
  <si>
    <t>GOZON</t>
  </si>
  <si>
    <t>KERSEY D. DULAY</t>
  </si>
  <si>
    <t>LHUILLIER</t>
  </si>
  <si>
    <t>GRACE A. VIRAY</t>
  </si>
  <si>
    <t>ONGPAUCO</t>
  </si>
  <si>
    <t>REGINE R. CABIL</t>
  </si>
  <si>
    <t>ORTIGAS</t>
  </si>
  <si>
    <t>ROSELLE R. FUNTENILLA</t>
  </si>
  <si>
    <t>PANGILINAN</t>
  </si>
  <si>
    <t>CHERYL S. SEMBRAN</t>
  </si>
  <si>
    <t>SCIENCE</t>
  </si>
  <si>
    <t>PATERNO</t>
  </si>
  <si>
    <t>SHERA MAE M. ROSAGAS</t>
  </si>
  <si>
    <t>RAZON</t>
  </si>
  <si>
    <t>JENILYN C. FRIAS</t>
  </si>
  <si>
    <t>SYCIP</t>
  </si>
  <si>
    <t>JOSEPH L. CASANDIG</t>
  </si>
  <si>
    <t>YUCHENGCO</t>
  </si>
  <si>
    <t>JUSTINE JOHN S. CERUMA</t>
  </si>
  <si>
    <t>ZOBEL</t>
  </si>
  <si>
    <t>LORENCE B. ABEJUELA</t>
  </si>
  <si>
    <t>AGONCILLO</t>
  </si>
  <si>
    <t>HUMSS</t>
  </si>
  <si>
    <t>NIÑA AHDIELYN MONROY</t>
  </si>
  <si>
    <t>AMORSOLO</t>
  </si>
  <si>
    <t>FERDINAND B. FABIAN</t>
  </si>
  <si>
    <t>BROCKA</t>
  </si>
  <si>
    <t>MARY GRACE A. BANTA</t>
  </si>
  <si>
    <t>ESP</t>
  </si>
  <si>
    <t>CELERIO</t>
  </si>
  <si>
    <t>ROCHELLE ANN J. CAYETANO</t>
  </si>
  <si>
    <t>DELA RAMA</t>
  </si>
  <si>
    <t>AUBREY MHAE V. ROXAS</t>
  </si>
  <si>
    <t>ENCARNACION</t>
  </si>
  <si>
    <t>JOHN HAROLD B. GOSIM</t>
  </si>
  <si>
    <t>JOCANO</t>
  </si>
  <si>
    <t>MILDRED P. SALLAO</t>
  </si>
  <si>
    <t>LICUANAN</t>
  </si>
  <si>
    <t>KRISTINE CLAUDETTE D. FERRER</t>
  </si>
  <si>
    <t>MATH</t>
  </si>
  <si>
    <t>MACEDA</t>
  </si>
  <si>
    <t>ANDREW L. QUILANGIT</t>
  </si>
  <si>
    <t>QUITO</t>
  </si>
  <si>
    <t>ANN MIRACHELLE Q. OCAMPO</t>
  </si>
  <si>
    <t>RESSA</t>
  </si>
  <si>
    <t>MARIMAR T. ABRIGO</t>
  </si>
  <si>
    <t>SALAZAR</t>
  </si>
  <si>
    <t>RONALD D. RECTO</t>
  </si>
  <si>
    <t>TIEMPO</t>
  </si>
  <si>
    <t>FAITH A. BUNYI</t>
  </si>
  <si>
    <t>VITUG</t>
  </si>
  <si>
    <t>ALEJO JANN C. PARAOAN</t>
  </si>
  <si>
    <t>ZAIDE</t>
  </si>
  <si>
    <t>MARY ROSE B. BAITA</t>
  </si>
  <si>
    <t>ALCALA</t>
  </si>
  <si>
    <t>STEM</t>
  </si>
  <si>
    <t>CRISANTO A. DE VERA</t>
  </si>
  <si>
    <t>BARBA</t>
  </si>
  <si>
    <t>MARIEL F. BUENA</t>
  </si>
  <si>
    <t>BIYO</t>
  </si>
  <si>
    <t>LIZA R. BAUTISTA</t>
  </si>
  <si>
    <t>CONSUNJI</t>
  </si>
  <si>
    <t>KYLE NICOLE ARELLANO</t>
  </si>
  <si>
    <t>DEL MUNDO</t>
  </si>
  <si>
    <t>EFREN E. SARMIENTO JR.</t>
  </si>
  <si>
    <t>FLAVIER</t>
  </si>
  <si>
    <t>MARVIN C. SANTOS</t>
  </si>
  <si>
    <t>JUINIO</t>
  </si>
  <si>
    <t>ABIGAIL O. ALAMIS</t>
  </si>
  <si>
    <t>KASILAG</t>
  </si>
  <si>
    <t>ELLEN A. ORBITA</t>
  </si>
  <si>
    <t>MIJENO</t>
  </si>
  <si>
    <t>GELYN S. CARREON</t>
  </si>
  <si>
    <t>NEBRES</t>
  </si>
  <si>
    <t>SHIELA MAE H. PAMA</t>
  </si>
  <si>
    <t>QUISUMBING</t>
  </si>
  <si>
    <t>HAZEL B. MORALLOS</t>
  </si>
  <si>
    <t>SOLIDUM</t>
  </si>
  <si>
    <t>TRISHIA ANNE D. DEMORIN</t>
  </si>
  <si>
    <t>TABUJARA</t>
  </si>
  <si>
    <t>ANALYN M. MANSALAY</t>
  </si>
  <si>
    <t>VIOLAGO</t>
  </si>
  <si>
    <t>MARK JUN O. MALABAG</t>
  </si>
  <si>
    <t>ZARA</t>
  </si>
  <si>
    <t>JOANE A. MAGLANGIT</t>
  </si>
  <si>
    <t>BORROMEO</t>
  </si>
  <si>
    <t>COOKERY</t>
  </si>
  <si>
    <t>ANGELIE FRANDO</t>
  </si>
  <si>
    <t>COMSTI</t>
  </si>
  <si>
    <t>RICHELLE P. GUIRALDO</t>
  </si>
  <si>
    <t>DAZA</t>
  </si>
  <si>
    <t>ANJANETTE D. RODRIGUEZ</t>
  </si>
  <si>
    <t>FORES</t>
  </si>
  <si>
    <t>ADRIAN NATHANIEL D. CASTILLO</t>
  </si>
  <si>
    <t>GUEVARRA</t>
  </si>
  <si>
    <t>GEROME VILLANUEVA</t>
  </si>
  <si>
    <t>LAUS</t>
  </si>
  <si>
    <t>ARYAN E. RUIZ</t>
  </si>
  <si>
    <t>MANABAT</t>
  </si>
  <si>
    <t>LEA JANE G. BALDIDOMAR</t>
  </si>
  <si>
    <t>RALLOS</t>
  </si>
  <si>
    <t>NOEL O. ONGKIATCO</t>
  </si>
  <si>
    <t>SUATENGCO</t>
  </si>
  <si>
    <t>JOHN BENEDICT FRANCO</t>
  </si>
  <si>
    <t>SARTE</t>
  </si>
  <si>
    <t>BEAUTY CARE</t>
  </si>
  <si>
    <t>ELISEA P. LAJO</t>
  </si>
  <si>
    <t>AZURIN</t>
  </si>
  <si>
    <t>ICT-CSS</t>
  </si>
  <si>
    <t>LIZZETTE A. BELTRAN</t>
  </si>
  <si>
    <t>BOHOL</t>
  </si>
  <si>
    <t>JIMROSE D. LACUESTA</t>
  </si>
  <si>
    <t>DEL CARMEN</t>
  </si>
  <si>
    <t>RAIN S. VIBAL</t>
  </si>
  <si>
    <t>DIMARUCOT</t>
  </si>
  <si>
    <t>JUDITH ANN D. LABANON</t>
  </si>
  <si>
    <t>FLORES</t>
  </si>
  <si>
    <t>CAMILLE C. DALISAY</t>
  </si>
  <si>
    <t>IBRAHIM</t>
  </si>
  <si>
    <t>ROSENDO JR. O. ABULOG</t>
  </si>
  <si>
    <t>MAGSIPOC</t>
  </si>
  <si>
    <t>ELMERITO JR. B. MELINDO</t>
  </si>
  <si>
    <t>MATUTINA</t>
  </si>
  <si>
    <t>HURRY B. PAUNER</t>
  </si>
  <si>
    <t>REGALADO</t>
  </si>
  <si>
    <t>MARLON LEWIS S. MONROY</t>
  </si>
  <si>
    <t>SIEH</t>
  </si>
  <si>
    <t>EPAS</t>
  </si>
  <si>
    <t>ANGELICA Z. SALVIDAR</t>
  </si>
  <si>
    <t>AGUDO</t>
  </si>
  <si>
    <t>AUTOMOTIVE</t>
  </si>
  <si>
    <t>JOHN CASIANO C. MAYUGA</t>
  </si>
  <si>
    <t>SARAO</t>
  </si>
  <si>
    <t>DANICA ROSE T. OCDE</t>
  </si>
  <si>
    <t>SERRANO</t>
  </si>
  <si>
    <t>EIM</t>
  </si>
  <si>
    <t>JANICE SALANATIN</t>
  </si>
  <si>
    <t>CINCO</t>
  </si>
  <si>
    <t>DRESSMAKING</t>
  </si>
  <si>
    <t>NOEL D. LIPA</t>
  </si>
  <si>
    <t>ALS / OHSP - A</t>
  </si>
  <si>
    <t>JHUN ANTHONY L. ORONAN</t>
  </si>
  <si>
    <t>ALS / OHSP - B</t>
  </si>
  <si>
    <t>DAISY B. SORIANO</t>
  </si>
  <si>
    <t>TOTAL G11</t>
  </si>
  <si>
    <t>GRADE 12</t>
  </si>
  <si>
    <t>ADELSON</t>
  </si>
  <si>
    <t>JOHN NORMAN A. BALISTOY</t>
  </si>
  <si>
    <t>BERKELEY</t>
  </si>
  <si>
    <t>ROSALIE T. LUMANDAS</t>
  </si>
  <si>
    <t>CARNEGIE</t>
  </si>
  <si>
    <t>DENNIS T. VILLAMOR</t>
  </si>
  <si>
    <t>DISNEY</t>
  </si>
  <si>
    <t>KRIZYL L. NAVALES</t>
  </si>
  <si>
    <t>HERSHEY</t>
  </si>
  <si>
    <t>JOANNE R. ABETO</t>
  </si>
  <si>
    <t>JONES</t>
  </si>
  <si>
    <t>JANDROLEM N. DAMAS</t>
  </si>
  <si>
    <t>LAUDER</t>
  </si>
  <si>
    <t>MARIE ANTONETTE L. LERUM</t>
  </si>
  <si>
    <t>MORGAN</t>
  </si>
  <si>
    <t>CHRISTIAN JOY G. CALAZAN</t>
  </si>
  <si>
    <t>NIXON</t>
  </si>
  <si>
    <t>EMMANUEL B. ELPIDES</t>
  </si>
  <si>
    <t>ROCKEFELLER</t>
  </si>
  <si>
    <t>CHARISSA D. MENDOZA</t>
  </si>
  <si>
    <t>TURNER</t>
  </si>
  <si>
    <t>MA. CRISTINA B. SILVANO</t>
  </si>
  <si>
    <t>VANDERBILT</t>
  </si>
  <si>
    <t>CRISLYN A. DEL CASTILLO</t>
  </si>
  <si>
    <t>WARNER</t>
  </si>
  <si>
    <t>RHEA A. LUPOS</t>
  </si>
  <si>
    <t>YANAI</t>
  </si>
  <si>
    <t>ARGIE A. NAVARRO</t>
  </si>
  <si>
    <t>ARISTOTLE</t>
  </si>
  <si>
    <t>DIVINA D. BARROS</t>
  </si>
  <si>
    <t>BASSI</t>
  </si>
  <si>
    <t>RONNEL O. ABULOG</t>
  </si>
  <si>
    <t>CHOMSKY</t>
  </si>
  <si>
    <t>ALLAN C. CABALTERA</t>
  </si>
  <si>
    <t>DESCARTES</t>
  </si>
  <si>
    <t>AMYTHEL A. FRANCISCO</t>
  </si>
  <si>
    <t>ERIKSON</t>
  </si>
  <si>
    <t>MA. CHRISTINA V. GENANDA</t>
  </si>
  <si>
    <t>FREUD</t>
  </si>
  <si>
    <t>JOREM L. POMOY</t>
  </si>
  <si>
    <t>HERODOTUS</t>
  </si>
  <si>
    <t>IL YUNG V. HAN</t>
  </si>
  <si>
    <t>KHALDUN</t>
  </si>
  <si>
    <t>EDEN R. DE JESUS</t>
  </si>
  <si>
    <t>LOCKE</t>
  </si>
  <si>
    <t>MARIA LEILA S. BALLARAN</t>
  </si>
  <si>
    <t>MARX</t>
  </si>
  <si>
    <t>MARLON L. BERZALDO</t>
  </si>
  <si>
    <t>OSTROM</t>
  </si>
  <si>
    <t>JENNY A. VILLANUEVA</t>
  </si>
  <si>
    <t>PLATO</t>
  </si>
  <si>
    <t>PAT A. YALONG</t>
  </si>
  <si>
    <t>ROUSSEAU</t>
  </si>
  <si>
    <t>JHOHANAH R. BEDIONES</t>
  </si>
  <si>
    <t>RUMI</t>
  </si>
  <si>
    <t>MARICAR B. ALVAREZ</t>
  </si>
  <si>
    <t>SOCRATES</t>
  </si>
  <si>
    <t>ALBERT M. GASIC</t>
  </si>
  <si>
    <t>VOLTAIRE</t>
  </si>
  <si>
    <t>CRISTINA A. LAGTAPON</t>
  </si>
  <si>
    <t>ARMSTRONG</t>
  </si>
  <si>
    <t>JOYMEN O. MENDOZA</t>
  </si>
  <si>
    <t>CURIE</t>
  </si>
  <si>
    <t>MARK ROMMELD D. SANTOS</t>
  </si>
  <si>
    <t>DARWIN</t>
  </si>
  <si>
    <t>FERDINAND C. SALVACION</t>
  </si>
  <si>
    <t>EINSTEIN</t>
  </si>
  <si>
    <t>MENARD M. IRAC</t>
  </si>
  <si>
    <t>FLEMING</t>
  </si>
  <si>
    <t>MENO SEBASTIANO A. AGUSTIN</t>
  </si>
  <si>
    <t>GALILEO</t>
  </si>
  <si>
    <t>JAYSON L. LUMAGAS</t>
  </si>
  <si>
    <t>HAWKING</t>
  </si>
  <si>
    <t>CARISSA G. BALAGBAG</t>
  </si>
  <si>
    <t>JOULE</t>
  </si>
  <si>
    <t>MARINELLE E. NANAS</t>
  </si>
  <si>
    <t>KEPLER</t>
  </si>
  <si>
    <t>JAAZIEL C. SORIANO</t>
  </si>
  <si>
    <t>MENDELEEV</t>
  </si>
  <si>
    <t>RBRYAN Q. ALVAREZ</t>
  </si>
  <si>
    <t>NEWTON</t>
  </si>
  <si>
    <t>CATHERINE D. SORIANO</t>
  </si>
  <si>
    <t>PASTEUR</t>
  </si>
  <si>
    <t>GEMMA D. MAGSALAY</t>
  </si>
  <si>
    <t>ROENTGEN</t>
  </si>
  <si>
    <t>MAE GIZELLE Y. LAYUG</t>
  </si>
  <si>
    <t>TESLA</t>
  </si>
  <si>
    <t>KENNETH C. SIN</t>
  </si>
  <si>
    <t>WEBER</t>
  </si>
  <si>
    <t>EMMANUEL ADRIAN C. MANUEL</t>
  </si>
  <si>
    <t>FORD</t>
  </si>
  <si>
    <t>RONAMEL BAÑAREZ</t>
  </si>
  <si>
    <t>MUSK</t>
  </si>
  <si>
    <t>BLISELDA L. GASPAR</t>
  </si>
  <si>
    <t>ROYCE</t>
  </si>
  <si>
    <t>JONAS SAMUEL S. BUSITO</t>
  </si>
  <si>
    <t>SHELBY</t>
  </si>
  <si>
    <t>CHARLYMAGNE P. ALVAREZ</t>
  </si>
  <si>
    <t>ATALA</t>
  </si>
  <si>
    <t>ALVIN C. GONZALES</t>
  </si>
  <si>
    <t>BOURDAIN</t>
  </si>
  <si>
    <t>MARK ANTHONY Y. PANLILIO</t>
  </si>
  <si>
    <t>COMERFORD</t>
  </si>
  <si>
    <t>EMILIE L. LATINA</t>
  </si>
  <si>
    <t>TVL - ICT</t>
  </si>
  <si>
    <t>DUCASSE</t>
  </si>
  <si>
    <t>AUREA M. ZARAGOZA</t>
  </si>
  <si>
    <t>KELLER</t>
  </si>
  <si>
    <t>KIMBERLY ANN P. UGERIO</t>
  </si>
  <si>
    <t>MATSUHISA</t>
  </si>
  <si>
    <t>MARISSA D. GARBIN</t>
  </si>
  <si>
    <t>RAMSAY</t>
  </si>
  <si>
    <t>CHRISTIAN T. BASILAN</t>
  </si>
  <si>
    <t>WOLFGANG</t>
  </si>
  <si>
    <t>WELOOWIE JOYCE P. INFANTE</t>
  </si>
  <si>
    <t>YAMAMOTO</t>
  </si>
  <si>
    <t>JERELYN D. ERMINO</t>
  </si>
  <si>
    <t>BABBAGE</t>
  </si>
  <si>
    <t>ROSEMARIE V. VILLACORTA</t>
  </si>
  <si>
    <t>DELL</t>
  </si>
  <si>
    <t>MAHONRI N. GENANDA</t>
  </si>
  <si>
    <t>GATES</t>
  </si>
  <si>
    <t>WENALYN L. DARIO</t>
  </si>
  <si>
    <t>HOPPER</t>
  </si>
  <si>
    <t>KARLOZ ROMIO E. COLOMA</t>
  </si>
  <si>
    <t>JOBS</t>
  </si>
  <si>
    <t>MARC LIEL L. DELA PEÑA</t>
  </si>
  <si>
    <t>NEUMANN</t>
  </si>
  <si>
    <t>FRANK C. DUCA</t>
  </si>
  <si>
    <t>TURING</t>
  </si>
  <si>
    <t>EDDIE JR. A. RUBI</t>
  </si>
  <si>
    <t>ARDEN</t>
  </si>
  <si>
    <t>GINALYN A. SILVA</t>
  </si>
  <si>
    <t>POMPADOUR</t>
  </si>
  <si>
    <t>WELMA C. LIPATA</t>
  </si>
  <si>
    <t>PRADA</t>
  </si>
  <si>
    <t>JANEL R. RABINO</t>
  </si>
  <si>
    <t>EDISON</t>
  </si>
  <si>
    <t>ARMAND JOSEPH MATIAS</t>
  </si>
  <si>
    <t>AMPERE</t>
  </si>
  <si>
    <t>VICTOR JOSHUA D. BALAGAN</t>
  </si>
  <si>
    <t>BERNADETTE C. BERNAL</t>
  </si>
  <si>
    <t>CHAREDEL E. BATALUNA</t>
  </si>
  <si>
    <t>ALS / OHSP - C</t>
  </si>
  <si>
    <t>IRISH DANIELLE I. HALLEGADO</t>
  </si>
  <si>
    <t>TOTAL G12</t>
  </si>
  <si>
    <t>TOTAL SHS</t>
  </si>
  <si>
    <t>NO. OF ADVISERS</t>
  </si>
  <si>
    <t>1ST SEMESTER MASTERLIST</t>
  </si>
  <si>
    <t>NO. OF ADVISERS                                                     BY STATUS OF COMPLETION</t>
  </si>
  <si>
    <t>COMPLETE</t>
  </si>
  <si>
    <t>INCOMPLETE</t>
  </si>
  <si>
    <t>NO INPUT</t>
  </si>
  <si>
    <t xml:space="preserve">Prepared by: </t>
  </si>
  <si>
    <t>Noted by:</t>
  </si>
  <si>
    <t>Approved by:</t>
  </si>
  <si>
    <t>EDGARDO JR. VIADOR</t>
  </si>
  <si>
    <t>Dr. ZENAIDA N. REGODON</t>
  </si>
  <si>
    <t>GERRY A. LUMABAN</t>
  </si>
  <si>
    <t>SHS LIS/BEIS Coordinator</t>
  </si>
  <si>
    <t>Assistant School Principal II</t>
  </si>
  <si>
    <t>School Principal IV</t>
  </si>
  <si>
    <t>RODEL H. VALLEJOS</t>
  </si>
  <si>
    <t>Assistant to the Principal- SHS</t>
  </si>
  <si>
    <t>Note: This Monitoring Tool is linked to the official school SF9  from the Records Office. Update of status of compliance from class SF9 is real-time.</t>
  </si>
  <si>
    <t>COR</t>
  </si>
  <si>
    <t>APP</t>
  </si>
  <si>
    <t>SPE</t>
  </si>
  <si>
    <t>NOT ENCODED INSTANCES</t>
  </si>
  <si>
    <t>READ</t>
  </si>
  <si>
    <t>BASA</t>
  </si>
  <si>
    <t>STAT</t>
  </si>
  <si>
    <t>PHYS</t>
  </si>
  <si>
    <t>PERD</t>
  </si>
  <si>
    <t>PE1/2</t>
  </si>
  <si>
    <t>21ST</t>
  </si>
  <si>
    <t>RES1</t>
  </si>
  <si>
    <t>ORAL</t>
  </si>
  <si>
    <t>KOM</t>
  </si>
  <si>
    <t>EARTH</t>
  </si>
  <si>
    <t>UCSP</t>
  </si>
  <si>
    <t>EAPP</t>
  </si>
  <si>
    <t>1ST</t>
  </si>
  <si>
    <t>2ND</t>
  </si>
  <si>
    <t>PHILO</t>
  </si>
  <si>
    <t>MIL</t>
  </si>
  <si>
    <t>PE 3/4</t>
  </si>
  <si>
    <t>ENTR</t>
  </si>
  <si>
    <t>RES2</t>
  </si>
  <si>
    <t>PAGSULAT</t>
  </si>
  <si>
    <t>CONT</t>
  </si>
  <si>
    <t>ETEC</t>
  </si>
  <si>
    <t>3RD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</si>
</sst>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color rgb="FFFFFFFF"/>
      <name val="Arial"/>
    </font>
    <font>
      <b/>
      <sz val="13.0"/>
      <color rgb="FFFFFFFF"/>
      <name val="Arial"/>
    </font>
    <font>
      <color theme="1"/>
      <name val="Arial"/>
    </font>
    <font/>
    <font>
      <b/>
      <sz val="11.0"/>
      <color rgb="FFFFFFFF"/>
      <name val="Arial"/>
    </font>
    <font>
      <b/>
      <sz val="11.0"/>
      <color rgb="FF000000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b/>
      <sz val="14.0"/>
      <color rgb="FFFFFFFF"/>
      <name val="Arial"/>
    </font>
    <font>
      <sz val="11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b/>
      <sz val="15.0"/>
      <color rgb="FFFFFFFF"/>
      <name val="Arial"/>
    </font>
    <font>
      <b/>
      <sz val="15.0"/>
      <color rgb="FF000000"/>
      <name val="Arial"/>
    </font>
    <font>
      <b/>
      <sz val="14.0"/>
      <color rgb="FF073763"/>
      <name val="Arial"/>
    </font>
    <font>
      <sz val="12.0"/>
      <color rgb="FF000000"/>
      <name val="Arial"/>
    </font>
    <font>
      <b/>
      <sz val="12.0"/>
      <color theme="1"/>
      <name val="Arial"/>
    </font>
    <font>
      <b/>
      <color theme="1"/>
      <name val="Arial"/>
    </font>
    <font>
      <i/>
      <color theme="1"/>
      <name val="Arial"/>
    </font>
    <font>
      <b/>
      <sz val="13.0"/>
      <color rgb="FF000000"/>
      <name val="Arial"/>
    </font>
    <font>
      <i/>
      <color theme="1"/>
      <name val="Arial"/>
      <scheme val="minor"/>
    </font>
    <font>
      <b/>
      <color rgb="FF000000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274E13"/>
        <bgColor rgb="FF274E1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1C4587"/>
        <bgColor rgb="FF1C4587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DEFFFC"/>
        <bgColor rgb="FFDEFFFC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theme="8"/>
        <bgColor theme="8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20124D"/>
        <bgColor rgb="FF20124D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horizontal="center" vertical="center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1" fillId="4" fontId="5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8" fontId="8" numFmtId="0" xfId="0" applyAlignment="1" applyBorder="1" applyFill="1" applyFont="1">
      <alignment horizontal="center" readingOrder="0" vertical="center"/>
    </xf>
    <xf borderId="10" fillId="8" fontId="1" numFmtId="0" xfId="0" applyAlignment="1" applyBorder="1" applyFont="1">
      <alignment horizontal="center" readingOrder="0"/>
    </xf>
    <xf borderId="4" fillId="8" fontId="9" numFmtId="0" xfId="0" applyAlignment="1" applyBorder="1" applyFont="1">
      <alignment horizontal="center" readingOrder="0"/>
    </xf>
    <xf borderId="5" fillId="8" fontId="7" numFmtId="0" xfId="0" applyAlignment="1" applyBorder="1" applyFont="1">
      <alignment horizontal="left" readingOrder="0"/>
    </xf>
    <xf borderId="6" fillId="8" fontId="7" numFmtId="0" xfId="0" applyAlignment="1" applyBorder="1" applyFont="1">
      <alignment horizontal="left" readingOrder="0"/>
    </xf>
    <xf borderId="10" fillId="9" fontId="3" numFmtId="0" xfId="0" applyAlignment="1" applyBorder="1" applyFill="1" applyFont="1">
      <alignment readingOrder="0"/>
    </xf>
    <xf borderId="10" fillId="10" fontId="10" numFmtId="0" xfId="0" applyAlignment="1" applyBorder="1" applyFill="1" applyFont="1">
      <alignment horizontal="center" readingOrder="0" vertical="bottom"/>
    </xf>
    <xf borderId="10" fillId="10" fontId="10" numFmtId="0" xfId="0" applyAlignment="1" applyBorder="1" applyFont="1">
      <alignment readingOrder="0" vertical="bottom"/>
    </xf>
    <xf borderId="10" fillId="11" fontId="10" numFmtId="0" xfId="0" applyAlignment="1" applyBorder="1" applyFill="1" applyFont="1">
      <alignment vertical="bottom"/>
    </xf>
    <xf borderId="10" fillId="3" fontId="10" numFmtId="0" xfId="0" applyAlignment="1" applyBorder="1" applyFont="1">
      <alignment readingOrder="0" vertical="bottom"/>
    </xf>
    <xf borderId="10" fillId="3" fontId="10" numFmtId="0" xfId="0" applyAlignment="1" applyBorder="1" applyFont="1">
      <alignment vertical="bottom"/>
    </xf>
    <xf borderId="10" fillId="12" fontId="11" numFmtId="0" xfId="0" applyAlignment="1" applyBorder="1" applyFill="1" applyFont="1">
      <alignment horizontal="center" shrinkToFit="0" vertical="bottom" wrapText="1"/>
    </xf>
    <xf borderId="10" fillId="2" fontId="7" numFmtId="0" xfId="0" applyAlignment="1" applyBorder="1" applyFont="1">
      <alignment horizontal="center" readingOrder="0" vertical="center"/>
    </xf>
    <xf borderId="10" fillId="13" fontId="12" numFmtId="0" xfId="0" applyAlignment="1" applyBorder="1" applyFill="1" applyFont="1">
      <alignment horizontal="center" readingOrder="0" vertical="center"/>
    </xf>
    <xf borderId="10" fillId="14" fontId="12" numFmtId="0" xfId="0" applyAlignment="1" applyBorder="1" applyFill="1" applyFont="1">
      <alignment horizontal="center" readingOrder="0" vertical="center"/>
    </xf>
    <xf borderId="10" fillId="15" fontId="12" numFmtId="0" xfId="0" applyAlignment="1" applyBorder="1" applyFill="1" applyFont="1">
      <alignment horizontal="center" readingOrder="0" vertical="center"/>
    </xf>
    <xf borderId="10" fillId="16" fontId="12" numFmtId="0" xfId="0" applyAlignment="1" applyBorder="1" applyFill="1" applyFont="1">
      <alignment horizontal="center" readingOrder="0" vertical="center"/>
    </xf>
    <xf borderId="10" fillId="2" fontId="12" numFmtId="0" xfId="0" applyAlignment="1" applyBorder="1" applyFont="1">
      <alignment horizontal="center" readingOrder="0" vertical="center"/>
    </xf>
    <xf borderId="2" fillId="8" fontId="13" numFmtId="0" xfId="0" applyAlignment="1" applyBorder="1" applyFont="1">
      <alignment horizontal="right" readingOrder="0" shrinkToFit="0" wrapText="1"/>
    </xf>
    <xf borderId="11" fillId="0" fontId="4" numFmtId="0" xfId="0" applyBorder="1" applyFont="1"/>
    <xf borderId="1" fillId="8" fontId="13" numFmtId="0" xfId="0" applyAlignment="1" applyBorder="1" applyFont="1">
      <alignment horizontal="center" readingOrder="0" shrinkToFit="0" wrapText="1"/>
    </xf>
    <xf borderId="1" fillId="10" fontId="14" numFmtId="3" xfId="0" applyAlignment="1" applyBorder="1" applyFont="1" applyNumberFormat="1">
      <alignment horizontal="center" readingOrder="0" vertical="center"/>
    </xf>
    <xf borderId="1" fillId="2" fontId="13" numFmtId="3" xfId="0" applyAlignment="1" applyBorder="1" applyFont="1" applyNumberFormat="1">
      <alignment horizontal="center" readingOrder="0" vertical="center"/>
    </xf>
    <xf borderId="1" fillId="17" fontId="14" numFmtId="3" xfId="0" applyAlignment="1" applyBorder="1" applyFill="1" applyFont="1" applyNumberFormat="1">
      <alignment horizontal="center" readingOrder="0" vertical="center"/>
    </xf>
    <xf borderId="1" fillId="2" fontId="12" numFmtId="0" xfId="0" applyAlignment="1" applyBorder="1" applyFont="1">
      <alignment horizontal="center" readingOrder="0" vertical="center"/>
    </xf>
    <xf borderId="12" fillId="18" fontId="15" numFmtId="0" xfId="0" applyAlignment="1" applyBorder="1" applyFill="1" applyFont="1">
      <alignment horizontal="center" readingOrder="0" shrinkToFit="0" wrapText="1"/>
    </xf>
    <xf borderId="13" fillId="0" fontId="4" numFmtId="0" xfId="0" applyBorder="1" applyFont="1"/>
    <xf borderId="13" fillId="18" fontId="15" numFmtId="0" xfId="0" applyAlignment="1" applyBorder="1" applyFont="1">
      <alignment horizontal="center" readingOrder="0" shrinkToFit="0" wrapText="1"/>
    </xf>
    <xf borderId="14" fillId="0" fontId="4" numFmtId="0" xfId="0" applyBorder="1" applyFont="1"/>
    <xf borderId="7" fillId="19" fontId="3" numFmtId="0" xfId="0" applyAlignment="1" applyBorder="1" applyFill="1" applyFont="1">
      <alignment readingOrder="0"/>
    </xf>
    <xf borderId="7" fillId="15" fontId="10" numFmtId="0" xfId="0" applyAlignment="1" applyBorder="1" applyFont="1">
      <alignment horizontal="left" readingOrder="0" shrinkToFit="0" wrapText="1"/>
    </xf>
    <xf borderId="7" fillId="20" fontId="10" numFmtId="0" xfId="0" applyAlignment="1" applyBorder="1" applyFill="1" applyFont="1">
      <alignment readingOrder="0" shrinkToFit="0" wrapText="1"/>
    </xf>
    <xf borderId="7" fillId="3" fontId="10" numFmtId="0" xfId="0" applyAlignment="1" applyBorder="1" applyFont="1">
      <alignment readingOrder="0" shrinkToFit="0" wrapText="1"/>
    </xf>
    <xf borderId="7" fillId="12" fontId="16" numFmtId="0" xfId="0" applyAlignment="1" applyBorder="1" applyFont="1">
      <alignment horizontal="center" readingOrder="0" vertical="center"/>
    </xf>
    <xf borderId="7" fillId="2" fontId="7" numFmtId="0" xfId="0" applyAlignment="1" applyBorder="1" applyFont="1">
      <alignment horizontal="center" readingOrder="0" vertical="center"/>
    </xf>
    <xf borderId="7" fillId="21" fontId="12" numFmtId="0" xfId="0" applyAlignment="1" applyBorder="1" applyFill="1" applyFont="1">
      <alignment horizontal="center" readingOrder="0" vertical="center"/>
    </xf>
    <xf borderId="7" fillId="14" fontId="12" numFmtId="0" xfId="0" applyAlignment="1" applyBorder="1" applyFont="1">
      <alignment horizontal="center" readingOrder="0" vertical="center"/>
    </xf>
    <xf borderId="7" fillId="15" fontId="12" numFmtId="0" xfId="0" applyAlignment="1" applyBorder="1" applyFont="1">
      <alignment horizontal="center" readingOrder="0" vertical="center"/>
    </xf>
    <xf borderId="7" fillId="16" fontId="12" numFmtId="0" xfId="0" applyAlignment="1" applyBorder="1" applyFont="1">
      <alignment horizontal="center" readingOrder="0" vertical="center"/>
    </xf>
    <xf borderId="7" fillId="2" fontId="12" numFmtId="0" xfId="0" applyAlignment="1" applyBorder="1" applyFont="1">
      <alignment horizontal="center" readingOrder="0" vertical="center"/>
    </xf>
    <xf borderId="10" fillId="19" fontId="3" numFmtId="0" xfId="0" applyAlignment="1" applyBorder="1" applyFont="1">
      <alignment readingOrder="0"/>
    </xf>
    <xf borderId="10" fillId="15" fontId="10" numFmtId="0" xfId="0" applyAlignment="1" applyBorder="1" applyFont="1">
      <alignment horizontal="left" readingOrder="0" shrinkToFit="0" wrapText="1"/>
    </xf>
    <xf borderId="10" fillId="20" fontId="10" numFmtId="0" xfId="0" applyAlignment="1" applyBorder="1" applyFont="1">
      <alignment readingOrder="0" shrinkToFit="0" wrapText="1"/>
    </xf>
    <xf borderId="10" fillId="3" fontId="10" numFmtId="0" xfId="0" applyAlignment="1" applyBorder="1" applyFont="1">
      <alignment readingOrder="0" shrinkToFit="0" wrapText="1"/>
    </xf>
    <xf borderId="10" fillId="12" fontId="16" numFmtId="0" xfId="0" applyAlignment="1" applyBorder="1" applyFont="1">
      <alignment horizontal="center" readingOrder="0" vertical="center"/>
    </xf>
    <xf borderId="10" fillId="21" fontId="12" numFmtId="0" xfId="0" applyAlignment="1" applyBorder="1" applyFont="1">
      <alignment horizontal="center" readingOrder="0" vertical="center"/>
    </xf>
    <xf borderId="4" fillId="22" fontId="13" numFmtId="0" xfId="0" applyAlignment="1" applyBorder="1" applyFill="1" applyFont="1">
      <alignment horizontal="right" readingOrder="0" shrinkToFit="0" wrapText="1"/>
    </xf>
    <xf borderId="10" fillId="22" fontId="13" numFmtId="0" xfId="0" applyAlignment="1" applyBorder="1" applyFont="1">
      <alignment horizontal="center" readingOrder="0" shrinkToFit="0" wrapText="1"/>
    </xf>
    <xf borderId="10" fillId="10" fontId="14" numFmtId="3" xfId="0" applyAlignment="1" applyBorder="1" applyFont="1" applyNumberFormat="1">
      <alignment horizontal="center" readingOrder="0" vertical="center"/>
    </xf>
    <xf borderId="10" fillId="2" fontId="13" numFmtId="3" xfId="0" applyAlignment="1" applyBorder="1" applyFont="1" applyNumberFormat="1">
      <alignment horizontal="center" readingOrder="0" vertical="center"/>
    </xf>
    <xf borderId="10" fillId="17" fontId="14" numFmtId="3" xfId="0" applyAlignment="1" applyBorder="1" applyFont="1" applyNumberFormat="1">
      <alignment horizontal="center" readingOrder="0" vertical="center"/>
    </xf>
    <xf borderId="4" fillId="2" fontId="13" numFmtId="0" xfId="0" applyAlignment="1" applyBorder="1" applyFont="1">
      <alignment horizontal="right" readingOrder="0" shrinkToFit="0" wrapText="1"/>
    </xf>
    <xf borderId="10" fillId="2" fontId="13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11" numFmtId="0" xfId="0" applyAlignment="1" applyFont="1">
      <alignment readingOrder="0"/>
    </xf>
    <xf borderId="0" fillId="0" fontId="11" numFmtId="0" xfId="0" applyFont="1"/>
    <xf borderId="1" fillId="23" fontId="7" numFmtId="0" xfId="0" applyAlignment="1" applyBorder="1" applyFill="1" applyFont="1">
      <alignment horizontal="center" readingOrder="0" vertical="center"/>
    </xf>
    <xf borderId="1" fillId="23" fontId="7" numFmtId="0" xfId="0" applyAlignment="1" applyBorder="1" applyFont="1">
      <alignment horizontal="center" readingOrder="0" shrinkToFit="0" vertical="center" wrapText="1"/>
    </xf>
    <xf borderId="4" fillId="23" fontId="7" numFmtId="0" xfId="0" applyAlignment="1" applyBorder="1" applyFont="1">
      <alignment horizontal="center" readingOrder="0" vertical="center"/>
    </xf>
    <xf borderId="4" fillId="23" fontId="7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vertical="center"/>
    </xf>
    <xf borderId="10" fillId="24" fontId="7" numFmtId="0" xfId="0" applyAlignment="1" applyBorder="1" applyFill="1" applyFont="1">
      <alignment horizontal="center" readingOrder="0" vertical="center"/>
    </xf>
    <xf borderId="10" fillId="5" fontId="7" numFmtId="0" xfId="0" applyAlignment="1" applyBorder="1" applyFont="1">
      <alignment horizontal="center" readingOrder="0" shrinkToFit="0" vertical="center" wrapText="1"/>
    </xf>
    <xf borderId="10" fillId="6" fontId="17" numFmtId="0" xfId="0" applyAlignment="1" applyBorder="1" applyFont="1">
      <alignment horizontal="center" readingOrder="0" shrinkToFit="0" vertical="center" wrapText="1"/>
    </xf>
    <xf borderId="10" fillId="7" fontId="7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10" fillId="10" fontId="17" numFmtId="0" xfId="0" applyAlignment="1" applyBorder="1" applyFont="1">
      <alignment horizontal="center" readingOrder="0" vertical="center"/>
    </xf>
    <xf borderId="10" fillId="11" fontId="17" numFmtId="0" xfId="0" applyAlignment="1" applyBorder="1" applyFont="1">
      <alignment horizontal="center" readingOrder="0" vertical="center"/>
    </xf>
    <xf borderId="10" fillId="0" fontId="11" numFmtId="0" xfId="0" applyAlignment="1" applyBorder="1" applyFont="1">
      <alignment horizontal="center" vertical="center"/>
    </xf>
    <xf borderId="0" fillId="3" fontId="11" numFmtId="0" xfId="0" applyAlignment="1" applyFont="1">
      <alignment horizontal="center" vertical="center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1" fillId="10" fontId="17" numFmtId="0" xfId="0" applyAlignment="1" applyBorder="1" applyFont="1">
      <alignment horizontal="center" readingOrder="0" vertical="center"/>
    </xf>
    <xf borderId="1" fillId="11" fontId="17" numFmtId="0" xfId="0" applyAlignment="1" applyBorder="1" applyFont="1">
      <alignment horizontal="center" readingOrder="0" vertical="center"/>
    </xf>
    <xf borderId="10" fillId="25" fontId="2" numFmtId="0" xfId="0" applyAlignment="1" applyBorder="1" applyFill="1" applyFont="1">
      <alignment horizontal="center" readingOrder="0" vertical="center"/>
    </xf>
    <xf borderId="10" fillId="9" fontId="20" numFmtId="0" xfId="0" applyAlignment="1" applyBorder="1" applyFont="1">
      <alignment horizontal="center" vertical="center"/>
    </xf>
    <xf borderId="0" fillId="3" fontId="20" numFmtId="0" xfId="0" applyAlignment="1" applyFont="1">
      <alignment horizontal="center" vertical="center"/>
    </xf>
    <xf borderId="0" fillId="0" fontId="18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21" numFmtId="0" xfId="0" applyAlignment="1" applyFont="1">
      <alignment readingOrder="0"/>
    </xf>
    <xf borderId="10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6" fontId="22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readingOrder="0" shrinkToFit="0" vertical="center" wrapText="1"/>
    </xf>
    <xf borderId="7" fillId="4" fontId="1" numFmtId="0" xfId="0" applyAlignment="1" applyBorder="1" applyFont="1">
      <alignment horizontal="center" readingOrder="0" shrinkToFit="0" vertical="center" wrapText="1"/>
    </xf>
    <xf borderId="10" fillId="11" fontId="10" numFmtId="0" xfId="0" applyAlignment="1" applyBorder="1" applyFont="1">
      <alignment readingOrder="0" vertical="bottom"/>
    </xf>
    <xf borderId="10" fillId="3" fontId="12" numFmtId="0" xfId="0" applyAlignment="1" applyBorder="1" applyFont="1">
      <alignment horizontal="center" readingOrder="0" vertical="center"/>
    </xf>
    <xf borderId="10" fillId="26" fontId="12" numFmtId="0" xfId="0" applyAlignment="1" applyBorder="1" applyFill="1" applyFont="1">
      <alignment horizontal="center" readingOrder="0" vertical="center"/>
    </xf>
    <xf borderId="10" fillId="20" fontId="12" numFmtId="0" xfId="0" applyAlignment="1" applyBorder="1" applyFont="1">
      <alignment horizontal="center" readingOrder="0" vertical="center"/>
    </xf>
    <xf borderId="4" fillId="8" fontId="2" numFmtId="0" xfId="0" applyAlignment="1" applyBorder="1" applyFont="1">
      <alignment horizontal="right" readingOrder="0" shrinkToFit="0" wrapText="1"/>
    </xf>
    <xf borderId="10" fillId="8" fontId="2" numFmtId="0" xfId="0" applyAlignment="1" applyBorder="1" applyFont="1">
      <alignment horizontal="center" readingOrder="0" shrinkToFit="0" wrapText="1"/>
    </xf>
    <xf borderId="10" fillId="10" fontId="20" numFmtId="3" xfId="0" applyAlignment="1" applyBorder="1" applyFont="1" applyNumberFormat="1">
      <alignment horizontal="center" readingOrder="0" vertical="center"/>
    </xf>
    <xf borderId="10" fillId="2" fontId="2" numFmtId="3" xfId="0" applyAlignment="1" applyBorder="1" applyFont="1" applyNumberFormat="1">
      <alignment horizontal="center" readingOrder="0" vertical="center"/>
    </xf>
    <xf borderId="10" fillId="27" fontId="20" numFmtId="3" xfId="0" applyAlignment="1" applyBorder="1" applyFill="1" applyFont="1" applyNumberFormat="1">
      <alignment horizontal="center" readingOrder="0" vertical="center"/>
    </xf>
    <xf borderId="10" fillId="6" fontId="20" numFmtId="3" xfId="0" applyAlignment="1" applyBorder="1" applyFont="1" applyNumberFormat="1">
      <alignment horizontal="center" readingOrder="0" vertical="center"/>
    </xf>
    <xf borderId="10" fillId="7" fontId="2" numFmtId="3" xfId="0" applyAlignment="1" applyBorder="1" applyFont="1" applyNumberFormat="1">
      <alignment horizontal="center" readingOrder="0" vertical="center"/>
    </xf>
    <xf borderId="10" fillId="4" fontId="1" numFmtId="0" xfId="0" applyAlignment="1" applyBorder="1" applyFont="1">
      <alignment horizontal="center" shrinkToFit="0" vertical="center" wrapText="1"/>
    </xf>
    <xf borderId="7" fillId="3" fontId="12" numFmtId="0" xfId="0" applyAlignment="1" applyBorder="1" applyFont="1">
      <alignment horizontal="center" readingOrder="0" vertical="center"/>
    </xf>
    <xf borderId="7" fillId="26" fontId="12" numFmtId="0" xfId="0" applyAlignment="1" applyBorder="1" applyFont="1">
      <alignment horizontal="center" readingOrder="0" vertical="center"/>
    </xf>
    <xf borderId="7" fillId="20" fontId="12" numFmtId="0" xfId="0" applyAlignment="1" applyBorder="1" applyFont="1">
      <alignment horizontal="center" readingOrder="0" vertical="center"/>
    </xf>
    <xf borderId="4" fillId="22" fontId="2" numFmtId="0" xfId="0" applyAlignment="1" applyBorder="1" applyFont="1">
      <alignment horizontal="right" readingOrder="0" shrinkToFit="0" wrapText="1"/>
    </xf>
    <xf borderId="10" fillId="22" fontId="2" numFmtId="0" xfId="0" applyAlignment="1" applyBorder="1" applyFont="1">
      <alignment horizontal="center" readingOrder="0" shrinkToFit="0" wrapText="1"/>
    </xf>
    <xf borderId="10" fillId="28" fontId="20" numFmtId="3" xfId="0" applyAlignment="1" applyBorder="1" applyFill="1" applyFont="1" applyNumberForma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735300" cy="1466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793075" cy="1466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-1343025</xdr:colOff>
      <xdr:row>0</xdr:row>
      <xdr:rowOff>0</xdr:rowOff>
    </xdr:from>
    <xdr:ext cx="19926300" cy="1466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2" max="2" width="4.5"/>
    <col customWidth="1" min="3" max="3" width="16.63"/>
    <col customWidth="1" min="4" max="4" width="15.88"/>
    <col customWidth="1" min="5" max="5" width="32.5"/>
    <col customWidth="1" min="6" max="6" width="13.13"/>
    <col customWidth="1" min="7" max="9" width="10.5"/>
    <col customWidth="1" min="10" max="13" width="15.63"/>
    <col customWidth="1" min="14" max="14" width="16.88"/>
  </cols>
  <sheetData>
    <row r="1">
      <c r="A1" s="1" t="s">
        <v>0</v>
      </c>
      <c r="N1" s="1"/>
    </row>
    <row r="2">
      <c r="A2" s="1" t="s">
        <v>1</v>
      </c>
      <c r="N2" s="1"/>
    </row>
    <row r="3">
      <c r="A3" s="1" t="s">
        <v>2</v>
      </c>
      <c r="N3" s="1"/>
    </row>
    <row r="4" ht="23.25" customHeight="1">
      <c r="A4" s="2" t="s">
        <v>3</v>
      </c>
      <c r="N4" s="2"/>
    </row>
    <row r="5" ht="45.0" customHeight="1">
      <c r="A5" s="3" t="s">
        <v>4</v>
      </c>
      <c r="N5" s="3"/>
    </row>
    <row r="6" ht="5.25" customHeight="1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5"/>
      <c r="N6" s="5"/>
    </row>
    <row r="7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ht="21.75" customHeight="1">
      <c r="A8" s="8" t="s">
        <v>5</v>
      </c>
      <c r="B8" s="9" t="s">
        <v>6</v>
      </c>
      <c r="C8" s="10"/>
      <c r="D8" s="11" t="s">
        <v>7</v>
      </c>
      <c r="E8" s="11" t="s">
        <v>8</v>
      </c>
      <c r="F8" s="11" t="s">
        <v>9</v>
      </c>
      <c r="G8" s="12" t="s">
        <v>10</v>
      </c>
      <c r="H8" s="13"/>
      <c r="I8" s="14"/>
      <c r="J8" s="15" t="s">
        <v>11</v>
      </c>
      <c r="K8" s="16" t="s">
        <v>12</v>
      </c>
      <c r="L8" s="17" t="s">
        <v>13</v>
      </c>
      <c r="M8" s="18" t="s">
        <v>14</v>
      </c>
      <c r="N8" s="19" t="s">
        <v>15</v>
      </c>
    </row>
    <row r="9">
      <c r="A9" s="20"/>
      <c r="B9" s="21"/>
      <c r="C9" s="22"/>
      <c r="D9" s="20"/>
      <c r="E9" s="20"/>
      <c r="F9" s="20"/>
      <c r="G9" s="23" t="s">
        <v>16</v>
      </c>
      <c r="H9" s="24" t="s">
        <v>17</v>
      </c>
      <c r="I9" s="24" t="s">
        <v>18</v>
      </c>
      <c r="J9" s="20"/>
      <c r="K9" s="20"/>
      <c r="L9" s="20"/>
      <c r="M9" s="20"/>
      <c r="N9" s="20"/>
    </row>
    <row r="10">
      <c r="A10" s="25" t="s">
        <v>19</v>
      </c>
      <c r="B10" s="13"/>
      <c r="C10" s="13"/>
      <c r="D10" s="13"/>
      <c r="E10" s="13"/>
      <c r="F10" s="13"/>
      <c r="G10" s="26"/>
      <c r="H10" s="26"/>
      <c r="I10" s="26"/>
      <c r="J10" s="26"/>
      <c r="K10" s="26"/>
      <c r="L10" s="26"/>
      <c r="M10" s="27"/>
      <c r="N10" s="27"/>
    </row>
    <row r="11">
      <c r="A11" s="28" t="s">
        <v>19</v>
      </c>
      <c r="B11" s="29">
        <v>1.0</v>
      </c>
      <c r="C11" s="30" t="s">
        <v>20</v>
      </c>
      <c r="D11" s="31" t="s">
        <v>21</v>
      </c>
      <c r="E11" s="32" t="s">
        <v>22</v>
      </c>
      <c r="F11" s="33" t="s">
        <v>21</v>
      </c>
      <c r="G11" s="34">
        <v>21.0</v>
      </c>
      <c r="H11" s="34">
        <v>23.0</v>
      </c>
      <c r="I11" s="35">
        <f t="shared" ref="I11:I81" si="1">SUM(G11:H11)</f>
        <v>44</v>
      </c>
      <c r="J11" s="36">
        <f t="shared" ref="J11:J81" si="2">SUM(K11,L11)</f>
        <v>9</v>
      </c>
      <c r="K11" s="37">
        <f>IFERROR(__xludf.DUMMYFUNCTION("IMPORTRANGE(""https://docs.google.com/spreadsheets/d/1CaLR8gtRCp0-wyyH0y5IvQnenreOSKFOo8AF4Pfpekc/edit?gid=400822622#gid=400822622"", ""GRADE 11!X""&amp;ROW(Y8))"),9.0)</f>
        <v>9</v>
      </c>
      <c r="L11" s="38">
        <f>IFERROR(__xludf.DUMMYFUNCTION("IMPORTRANGE(""https://docs.google.com/spreadsheets/d/1CaLR8gtRCp0-wyyH0y5IvQnenreOSKFOo8AF4Pfpekc/edit?gid=400822622#gid=400822622"", ""GRADE 11!Y""&amp;ROW(Z8))"),0.0)</f>
        <v>0</v>
      </c>
      <c r="M11" s="39">
        <f>IFERROR(__xludf.DUMMYFUNCTION("IMPORTRANGE(""https://docs.google.com/spreadsheets/d/1CaLR8gtRCp0-wyyH0y5IvQnenreOSKFOo8AF4Pfpekc/edit?gid=400822622#gid=400822622"", ""GRADE 11!Z""&amp;ROW(AA8))"),0.0)</f>
        <v>0</v>
      </c>
      <c r="N11" s="40" t="str">
        <f t="shared" ref="N11:N82" si="3">IFS(J11=K11,"COMPLETE", M11=I11*J11,"NO INPUT", TRUE,"INCOMPLETE")</f>
        <v>COMPLETE</v>
      </c>
    </row>
    <row r="12">
      <c r="A12" s="28" t="s">
        <v>19</v>
      </c>
      <c r="B12" s="29">
        <v>2.0</v>
      </c>
      <c r="C12" s="30" t="s">
        <v>23</v>
      </c>
      <c r="D12" s="31" t="s">
        <v>21</v>
      </c>
      <c r="E12" s="32" t="s">
        <v>24</v>
      </c>
      <c r="F12" s="33" t="s">
        <v>21</v>
      </c>
      <c r="G12" s="34">
        <v>15.0</v>
      </c>
      <c r="H12" s="34">
        <v>25.0</v>
      </c>
      <c r="I12" s="35">
        <f t="shared" si="1"/>
        <v>40</v>
      </c>
      <c r="J12" s="36">
        <f t="shared" si="2"/>
        <v>9</v>
      </c>
      <c r="K12" s="37">
        <f>IFERROR(__xludf.DUMMYFUNCTION("IMPORTRANGE(""https://docs.google.com/spreadsheets/d/1CaLR8gtRCp0-wyyH0y5IvQnenreOSKFOo8AF4Pfpekc/edit?gid=400822622#gid=400822622"", ""GRADE 11!X""&amp;ROW(Y9))"),0.0)</f>
        <v>0</v>
      </c>
      <c r="L12" s="38">
        <f>IFERROR(__xludf.DUMMYFUNCTION("IMPORTRANGE(""https://docs.google.com/spreadsheets/d/1CaLR8gtRCp0-wyyH0y5IvQnenreOSKFOo8AF4Pfpekc/edit?gid=400822622#gid=400822622"", ""GRADE 11!Y""&amp;ROW(Z9))"),9.0)</f>
        <v>9</v>
      </c>
      <c r="M12" s="39">
        <f>IFERROR(__xludf.DUMMYFUNCTION("IMPORTRANGE(""https://docs.google.com/spreadsheets/d/1CaLR8gtRCp0-wyyH0y5IvQnenreOSKFOo8AF4Pfpekc/edit?gid=400822622#gid=400822622"", ""GRADE 11!Z""&amp;ROW(AA9))"),9.0)</f>
        <v>9</v>
      </c>
      <c r="N12" s="40" t="str">
        <f t="shared" si="3"/>
        <v>INCOMPLETE</v>
      </c>
    </row>
    <row r="13">
      <c r="A13" s="28" t="s">
        <v>19</v>
      </c>
      <c r="B13" s="29">
        <v>3.0</v>
      </c>
      <c r="C13" s="30" t="s">
        <v>25</v>
      </c>
      <c r="D13" s="31" t="s">
        <v>21</v>
      </c>
      <c r="E13" s="32" t="s">
        <v>26</v>
      </c>
      <c r="F13" s="33" t="s">
        <v>27</v>
      </c>
      <c r="G13" s="34">
        <v>19.0</v>
      </c>
      <c r="H13" s="34">
        <v>27.0</v>
      </c>
      <c r="I13" s="35">
        <f t="shared" si="1"/>
        <v>46</v>
      </c>
      <c r="J13" s="36">
        <f t="shared" si="2"/>
        <v>9</v>
      </c>
      <c r="K13" s="37">
        <f>IFERROR(__xludf.DUMMYFUNCTION("IMPORTRANGE(""https://docs.google.com/spreadsheets/d/1CaLR8gtRCp0-wyyH0y5IvQnenreOSKFOo8AF4Pfpekc/edit?gid=400822622#gid=400822622"", ""GRADE 11!X""&amp;ROW(Y10))"),9.0)</f>
        <v>9</v>
      </c>
      <c r="L13" s="38">
        <f>IFERROR(__xludf.DUMMYFUNCTION("IMPORTRANGE(""https://docs.google.com/spreadsheets/d/1CaLR8gtRCp0-wyyH0y5IvQnenreOSKFOo8AF4Pfpekc/edit?gid=400822622#gid=400822622"", ""GRADE 11!Y""&amp;ROW(Z10))"),0.0)</f>
        <v>0</v>
      </c>
      <c r="M13" s="39">
        <f>IFERROR(__xludf.DUMMYFUNCTION("IMPORTRANGE(""https://docs.google.com/spreadsheets/d/1CaLR8gtRCp0-wyyH0y5IvQnenreOSKFOo8AF4Pfpekc/edit?gid=400822622#gid=400822622"", ""GRADE 11!Z""&amp;ROW(AA10))"),0.0)</f>
        <v>0</v>
      </c>
      <c r="N13" s="40" t="str">
        <f t="shared" si="3"/>
        <v>COMPLETE</v>
      </c>
    </row>
    <row r="14">
      <c r="A14" s="28" t="s">
        <v>19</v>
      </c>
      <c r="B14" s="29">
        <v>4.0</v>
      </c>
      <c r="C14" s="30" t="s">
        <v>28</v>
      </c>
      <c r="D14" s="31" t="s">
        <v>21</v>
      </c>
      <c r="E14" s="32" t="s">
        <v>29</v>
      </c>
      <c r="F14" s="33" t="s">
        <v>30</v>
      </c>
      <c r="G14" s="34">
        <v>19.0</v>
      </c>
      <c r="H14" s="34">
        <v>26.0</v>
      </c>
      <c r="I14" s="35">
        <f t="shared" si="1"/>
        <v>45</v>
      </c>
      <c r="J14" s="36">
        <f t="shared" si="2"/>
        <v>9</v>
      </c>
      <c r="K14" s="37">
        <f>IFERROR(__xludf.DUMMYFUNCTION("IMPORTRANGE(""https://docs.google.com/spreadsheets/d/1CaLR8gtRCp0-wyyH0y5IvQnenreOSKFOo8AF4Pfpekc/edit?gid=400822622#gid=400822622"", ""GRADE 11!X""&amp;ROW(Y11))"),9.0)</f>
        <v>9</v>
      </c>
      <c r="L14" s="38">
        <f>IFERROR(__xludf.DUMMYFUNCTION("IMPORTRANGE(""https://docs.google.com/spreadsheets/d/1CaLR8gtRCp0-wyyH0y5IvQnenreOSKFOo8AF4Pfpekc/edit?gid=400822622#gid=400822622"", ""GRADE 11!Y""&amp;ROW(Z11))"),0.0)</f>
        <v>0</v>
      </c>
      <c r="M14" s="39">
        <f>IFERROR(__xludf.DUMMYFUNCTION("IMPORTRANGE(""https://docs.google.com/spreadsheets/d/1CaLR8gtRCp0-wyyH0y5IvQnenreOSKFOo8AF4Pfpekc/edit?gid=400822622#gid=400822622"", ""GRADE 11!Z""&amp;ROW(AA11))"),0.0)</f>
        <v>0</v>
      </c>
      <c r="N14" s="40" t="str">
        <f t="shared" si="3"/>
        <v>COMPLETE</v>
      </c>
    </row>
    <row r="15">
      <c r="A15" s="28" t="s">
        <v>19</v>
      </c>
      <c r="B15" s="29">
        <v>5.0</v>
      </c>
      <c r="C15" s="30" t="s">
        <v>31</v>
      </c>
      <c r="D15" s="31" t="s">
        <v>21</v>
      </c>
      <c r="E15" s="32" t="s">
        <v>32</v>
      </c>
      <c r="F15" s="33" t="s">
        <v>27</v>
      </c>
      <c r="G15" s="34">
        <v>19.0</v>
      </c>
      <c r="H15" s="34">
        <v>24.0</v>
      </c>
      <c r="I15" s="35">
        <f t="shared" si="1"/>
        <v>43</v>
      </c>
      <c r="J15" s="36">
        <f t="shared" si="2"/>
        <v>9</v>
      </c>
      <c r="K15" s="37">
        <f>IFERROR(__xludf.DUMMYFUNCTION("IMPORTRANGE(""https://docs.google.com/spreadsheets/d/1CaLR8gtRCp0-wyyH0y5IvQnenreOSKFOo8AF4Pfpekc/edit?gid=400822622#gid=400822622"", ""GRADE 11!X""&amp;ROW(Y12))"),9.0)</f>
        <v>9</v>
      </c>
      <c r="L15" s="38">
        <f>IFERROR(__xludf.DUMMYFUNCTION("IMPORTRANGE(""https://docs.google.com/spreadsheets/d/1CaLR8gtRCp0-wyyH0y5IvQnenreOSKFOo8AF4Pfpekc/edit?gid=400822622#gid=400822622"", ""GRADE 11!Y""&amp;ROW(Z12))"),0.0)</f>
        <v>0</v>
      </c>
      <c r="M15" s="39">
        <f>IFERROR(__xludf.DUMMYFUNCTION("IMPORTRANGE(""https://docs.google.com/spreadsheets/d/1CaLR8gtRCp0-wyyH0y5IvQnenreOSKFOo8AF4Pfpekc/edit?gid=400822622#gid=400822622"", ""GRADE 11!Z""&amp;ROW(AA12))"),0.0)</f>
        <v>0</v>
      </c>
      <c r="N15" s="40" t="str">
        <f t="shared" si="3"/>
        <v>COMPLETE</v>
      </c>
    </row>
    <row r="16">
      <c r="A16" s="28" t="s">
        <v>19</v>
      </c>
      <c r="B16" s="29">
        <v>6.0</v>
      </c>
      <c r="C16" s="30" t="s">
        <v>33</v>
      </c>
      <c r="D16" s="31" t="s">
        <v>21</v>
      </c>
      <c r="E16" s="32" t="s">
        <v>34</v>
      </c>
      <c r="F16" s="33" t="s">
        <v>27</v>
      </c>
      <c r="G16" s="34">
        <v>15.0</v>
      </c>
      <c r="H16" s="34">
        <v>30.0</v>
      </c>
      <c r="I16" s="35">
        <f t="shared" si="1"/>
        <v>45</v>
      </c>
      <c r="J16" s="36">
        <f t="shared" si="2"/>
        <v>9</v>
      </c>
      <c r="K16" s="37">
        <f>IFERROR(__xludf.DUMMYFUNCTION("IMPORTRANGE(""https://docs.google.com/spreadsheets/d/1CaLR8gtRCp0-wyyH0y5IvQnenreOSKFOo8AF4Pfpekc/edit?gid=400822622#gid=400822622"", ""GRADE 11!X""&amp;ROW(Y13))"),9.0)</f>
        <v>9</v>
      </c>
      <c r="L16" s="38">
        <f>IFERROR(__xludf.DUMMYFUNCTION("IMPORTRANGE(""https://docs.google.com/spreadsheets/d/1CaLR8gtRCp0-wyyH0y5IvQnenreOSKFOo8AF4Pfpekc/edit?gid=400822622#gid=400822622"", ""GRADE 11!Y""&amp;ROW(Z13))"),0.0)</f>
        <v>0</v>
      </c>
      <c r="M16" s="39">
        <f>IFERROR(__xludf.DUMMYFUNCTION("IMPORTRANGE(""https://docs.google.com/spreadsheets/d/1CaLR8gtRCp0-wyyH0y5IvQnenreOSKFOo8AF4Pfpekc/edit?gid=400822622#gid=400822622"", ""GRADE 11!Z""&amp;ROW(AA13))"),0.0)</f>
        <v>0</v>
      </c>
      <c r="N16" s="40" t="str">
        <f t="shared" si="3"/>
        <v>COMPLETE</v>
      </c>
    </row>
    <row r="17">
      <c r="A17" s="28" t="s">
        <v>19</v>
      </c>
      <c r="B17" s="29">
        <v>7.0</v>
      </c>
      <c r="C17" s="30" t="s">
        <v>35</v>
      </c>
      <c r="D17" s="31" t="s">
        <v>21</v>
      </c>
      <c r="E17" s="32" t="s">
        <v>36</v>
      </c>
      <c r="F17" s="33" t="s">
        <v>21</v>
      </c>
      <c r="G17" s="34">
        <v>18.0</v>
      </c>
      <c r="H17" s="34">
        <v>28.0</v>
      </c>
      <c r="I17" s="35">
        <f t="shared" si="1"/>
        <v>46</v>
      </c>
      <c r="J17" s="36">
        <f t="shared" si="2"/>
        <v>9</v>
      </c>
      <c r="K17" s="37">
        <f>IFERROR(__xludf.DUMMYFUNCTION("IMPORTRANGE(""https://docs.google.com/spreadsheets/d/1CaLR8gtRCp0-wyyH0y5IvQnenreOSKFOo8AF4Pfpekc/edit?gid=400822622#gid=400822622"", ""GRADE 11!X""&amp;ROW(Y14))"),9.0)</f>
        <v>9</v>
      </c>
      <c r="L17" s="38">
        <f>IFERROR(__xludf.DUMMYFUNCTION("IMPORTRANGE(""https://docs.google.com/spreadsheets/d/1CaLR8gtRCp0-wyyH0y5IvQnenreOSKFOo8AF4Pfpekc/edit?gid=400822622#gid=400822622"", ""GRADE 11!Y""&amp;ROW(Z14))"),0.0)</f>
        <v>0</v>
      </c>
      <c r="M17" s="39">
        <f>IFERROR(__xludf.DUMMYFUNCTION("IMPORTRANGE(""https://docs.google.com/spreadsheets/d/1CaLR8gtRCp0-wyyH0y5IvQnenreOSKFOo8AF4Pfpekc/edit?gid=400822622#gid=400822622"", ""GRADE 11!Z""&amp;ROW(AA14))"),0.0)</f>
        <v>0</v>
      </c>
      <c r="N17" s="40" t="str">
        <f t="shared" si="3"/>
        <v>COMPLETE</v>
      </c>
    </row>
    <row r="18">
      <c r="A18" s="28" t="s">
        <v>19</v>
      </c>
      <c r="B18" s="29">
        <v>8.0</v>
      </c>
      <c r="C18" s="30" t="s">
        <v>37</v>
      </c>
      <c r="D18" s="31" t="s">
        <v>21</v>
      </c>
      <c r="E18" s="32" t="s">
        <v>38</v>
      </c>
      <c r="F18" s="33" t="s">
        <v>27</v>
      </c>
      <c r="G18" s="34">
        <v>17.0</v>
      </c>
      <c r="H18" s="34">
        <v>29.0</v>
      </c>
      <c r="I18" s="35">
        <f t="shared" si="1"/>
        <v>46</v>
      </c>
      <c r="J18" s="36">
        <f t="shared" si="2"/>
        <v>9</v>
      </c>
      <c r="K18" s="37">
        <f>IFERROR(__xludf.DUMMYFUNCTION("IMPORTRANGE(""https://docs.google.com/spreadsheets/d/1CaLR8gtRCp0-wyyH0y5IvQnenreOSKFOo8AF4Pfpekc/edit?gid=400822622#gid=400822622"", ""GRADE 11!X""&amp;ROW(Y15))"),9.0)</f>
        <v>9</v>
      </c>
      <c r="L18" s="38">
        <f>IFERROR(__xludf.DUMMYFUNCTION("IMPORTRANGE(""https://docs.google.com/spreadsheets/d/1CaLR8gtRCp0-wyyH0y5IvQnenreOSKFOo8AF4Pfpekc/edit?gid=400822622#gid=400822622"", ""GRADE 11!Y""&amp;ROW(Z15))"),0.0)</f>
        <v>0</v>
      </c>
      <c r="M18" s="39">
        <f>IFERROR(__xludf.DUMMYFUNCTION("IMPORTRANGE(""https://docs.google.com/spreadsheets/d/1CaLR8gtRCp0-wyyH0y5IvQnenreOSKFOo8AF4Pfpekc/edit?gid=400822622#gid=400822622"", ""GRADE 11!Z""&amp;ROW(AA15))"),0.0)</f>
        <v>0</v>
      </c>
      <c r="N18" s="40" t="str">
        <f t="shared" si="3"/>
        <v>COMPLETE</v>
      </c>
    </row>
    <row r="19">
      <c r="A19" s="28" t="s">
        <v>19</v>
      </c>
      <c r="B19" s="29">
        <v>9.0</v>
      </c>
      <c r="C19" s="30" t="s">
        <v>39</v>
      </c>
      <c r="D19" s="31" t="s">
        <v>21</v>
      </c>
      <c r="E19" s="32" t="s">
        <v>40</v>
      </c>
      <c r="F19" s="33" t="s">
        <v>30</v>
      </c>
      <c r="G19" s="34">
        <v>19.0</v>
      </c>
      <c r="H19" s="34">
        <v>26.0</v>
      </c>
      <c r="I19" s="35">
        <f t="shared" si="1"/>
        <v>45</v>
      </c>
      <c r="J19" s="36">
        <f t="shared" si="2"/>
        <v>9</v>
      </c>
      <c r="K19" s="37">
        <f>IFERROR(__xludf.DUMMYFUNCTION("IMPORTRANGE(""https://docs.google.com/spreadsheets/d/1CaLR8gtRCp0-wyyH0y5IvQnenreOSKFOo8AF4Pfpekc/edit?gid=400822622#gid=400822622"", ""GRADE 11!X""&amp;ROW(Y16))"),9.0)</f>
        <v>9</v>
      </c>
      <c r="L19" s="38">
        <f>IFERROR(__xludf.DUMMYFUNCTION("IMPORTRANGE(""https://docs.google.com/spreadsheets/d/1CaLR8gtRCp0-wyyH0y5IvQnenreOSKFOo8AF4Pfpekc/edit?gid=400822622#gid=400822622"", ""GRADE 11!Y""&amp;ROW(Z16))"),0.0)</f>
        <v>0</v>
      </c>
      <c r="M19" s="39">
        <f>IFERROR(__xludf.DUMMYFUNCTION("IMPORTRANGE(""https://docs.google.com/spreadsheets/d/1CaLR8gtRCp0-wyyH0y5IvQnenreOSKFOo8AF4Pfpekc/edit?gid=400822622#gid=400822622"", ""GRADE 11!Z""&amp;ROW(AA16))"),0.0)</f>
        <v>0</v>
      </c>
      <c r="N19" s="40" t="str">
        <f t="shared" si="3"/>
        <v>COMPLETE</v>
      </c>
    </row>
    <row r="20">
      <c r="A20" s="28" t="s">
        <v>19</v>
      </c>
      <c r="B20" s="29">
        <v>10.0</v>
      </c>
      <c r="C20" s="30" t="s">
        <v>41</v>
      </c>
      <c r="D20" s="31" t="s">
        <v>21</v>
      </c>
      <c r="E20" s="32" t="s">
        <v>42</v>
      </c>
      <c r="F20" s="33" t="s">
        <v>43</v>
      </c>
      <c r="G20" s="34">
        <v>14.0</v>
      </c>
      <c r="H20" s="34">
        <v>31.0</v>
      </c>
      <c r="I20" s="35">
        <f t="shared" si="1"/>
        <v>45</v>
      </c>
      <c r="J20" s="36">
        <f t="shared" si="2"/>
        <v>9</v>
      </c>
      <c r="K20" s="37">
        <f>IFERROR(__xludf.DUMMYFUNCTION("IMPORTRANGE(""https://docs.google.com/spreadsheets/d/1CaLR8gtRCp0-wyyH0y5IvQnenreOSKFOo8AF4Pfpekc/edit?gid=400822622#gid=400822622"", ""GRADE 11!X""&amp;ROW(Y17))"),9.0)</f>
        <v>9</v>
      </c>
      <c r="L20" s="38">
        <f>IFERROR(__xludf.DUMMYFUNCTION("IMPORTRANGE(""https://docs.google.com/spreadsheets/d/1CaLR8gtRCp0-wyyH0y5IvQnenreOSKFOo8AF4Pfpekc/edit?gid=400822622#gid=400822622"", ""GRADE 11!Y""&amp;ROW(Z17))"),0.0)</f>
        <v>0</v>
      </c>
      <c r="M20" s="39">
        <f>IFERROR(__xludf.DUMMYFUNCTION("IMPORTRANGE(""https://docs.google.com/spreadsheets/d/1CaLR8gtRCp0-wyyH0y5IvQnenreOSKFOo8AF4Pfpekc/edit?gid=400822622#gid=400822622"", ""GRADE 11!Z""&amp;ROW(AA17))"),0.0)</f>
        <v>0</v>
      </c>
      <c r="N20" s="40" t="str">
        <f t="shared" si="3"/>
        <v>COMPLETE</v>
      </c>
    </row>
    <row r="21">
      <c r="A21" s="28" t="s">
        <v>19</v>
      </c>
      <c r="B21" s="29">
        <v>11.0</v>
      </c>
      <c r="C21" s="30" t="s">
        <v>44</v>
      </c>
      <c r="D21" s="31" t="s">
        <v>21</v>
      </c>
      <c r="E21" s="32" t="s">
        <v>45</v>
      </c>
      <c r="F21" s="33" t="s">
        <v>27</v>
      </c>
      <c r="G21" s="34">
        <v>17.0</v>
      </c>
      <c r="H21" s="34">
        <v>27.0</v>
      </c>
      <c r="I21" s="35">
        <f t="shared" si="1"/>
        <v>44</v>
      </c>
      <c r="J21" s="36">
        <f t="shared" si="2"/>
        <v>8</v>
      </c>
      <c r="K21" s="37">
        <f>IFERROR(__xludf.DUMMYFUNCTION("IMPORTRANGE(""https://docs.google.com/spreadsheets/d/1CaLR8gtRCp0-wyyH0y5IvQnenreOSKFOo8AF4Pfpekc/edit?gid=400822622#gid=400822622"", ""GRADE 11!X""&amp;ROW(Y18))"),8.0)</f>
        <v>8</v>
      </c>
      <c r="L21" s="38">
        <f>IFERROR(__xludf.DUMMYFUNCTION("IMPORTRANGE(""https://docs.google.com/spreadsheets/d/1CaLR8gtRCp0-wyyH0y5IvQnenreOSKFOo8AF4Pfpekc/edit?gid=400822622#gid=400822622"", ""GRADE 11!Y""&amp;ROW(Z18))"),0.0)</f>
        <v>0</v>
      </c>
      <c r="M21" s="39">
        <f>IFERROR(__xludf.DUMMYFUNCTION("IMPORTRANGE(""https://docs.google.com/spreadsheets/d/1CaLR8gtRCp0-wyyH0y5IvQnenreOSKFOo8AF4Pfpekc/edit?gid=400822622#gid=400822622"", ""GRADE 11!Z""&amp;ROW(AA18))"),0.0)</f>
        <v>0</v>
      </c>
      <c r="N21" s="40" t="str">
        <f t="shared" si="3"/>
        <v>COMPLETE</v>
      </c>
    </row>
    <row r="22">
      <c r="A22" s="28" t="s">
        <v>19</v>
      </c>
      <c r="B22" s="29">
        <v>12.0</v>
      </c>
      <c r="C22" s="30" t="s">
        <v>46</v>
      </c>
      <c r="D22" s="31" t="s">
        <v>21</v>
      </c>
      <c r="E22" s="32" t="s">
        <v>47</v>
      </c>
      <c r="F22" s="33" t="s">
        <v>30</v>
      </c>
      <c r="G22" s="34">
        <v>16.0</v>
      </c>
      <c r="H22" s="34">
        <v>27.0</v>
      </c>
      <c r="I22" s="35">
        <f t="shared" si="1"/>
        <v>43</v>
      </c>
      <c r="J22" s="36">
        <f t="shared" si="2"/>
        <v>8</v>
      </c>
      <c r="K22" s="37">
        <f>IFERROR(__xludf.DUMMYFUNCTION("IMPORTRANGE(""https://docs.google.com/spreadsheets/d/1CaLR8gtRCp0-wyyH0y5IvQnenreOSKFOo8AF4Pfpekc/edit?gid=400822622#gid=400822622"", ""GRADE 11!X""&amp;ROW(Y19))"),8.0)</f>
        <v>8</v>
      </c>
      <c r="L22" s="38">
        <f>IFERROR(__xludf.DUMMYFUNCTION("IMPORTRANGE(""https://docs.google.com/spreadsheets/d/1CaLR8gtRCp0-wyyH0y5IvQnenreOSKFOo8AF4Pfpekc/edit?gid=400822622#gid=400822622"", ""GRADE 11!Y""&amp;ROW(Z19))"),0.0)</f>
        <v>0</v>
      </c>
      <c r="M22" s="39">
        <f>IFERROR(__xludf.DUMMYFUNCTION("IMPORTRANGE(""https://docs.google.com/spreadsheets/d/1CaLR8gtRCp0-wyyH0y5IvQnenreOSKFOo8AF4Pfpekc/edit?gid=400822622#gid=400822622"", ""GRADE 11!Z""&amp;ROW(AA19))"),0.0)</f>
        <v>0</v>
      </c>
      <c r="N22" s="40" t="str">
        <f t="shared" si="3"/>
        <v>COMPLETE</v>
      </c>
    </row>
    <row r="23">
      <c r="A23" s="28" t="s">
        <v>19</v>
      </c>
      <c r="B23" s="29">
        <v>13.0</v>
      </c>
      <c r="C23" s="30" t="s">
        <v>48</v>
      </c>
      <c r="D23" s="31" t="s">
        <v>21</v>
      </c>
      <c r="E23" s="32" t="s">
        <v>49</v>
      </c>
      <c r="F23" s="33" t="s">
        <v>43</v>
      </c>
      <c r="G23" s="34">
        <v>15.0</v>
      </c>
      <c r="H23" s="34">
        <v>28.0</v>
      </c>
      <c r="I23" s="35">
        <f t="shared" si="1"/>
        <v>43</v>
      </c>
      <c r="J23" s="36">
        <f t="shared" si="2"/>
        <v>8</v>
      </c>
      <c r="K23" s="37">
        <f>IFERROR(__xludf.DUMMYFUNCTION("IMPORTRANGE(""https://docs.google.com/spreadsheets/d/1CaLR8gtRCp0-wyyH0y5IvQnenreOSKFOo8AF4Pfpekc/edit?gid=400822622#gid=400822622"", ""GRADE 11!X""&amp;ROW(Y20))"),8.0)</f>
        <v>8</v>
      </c>
      <c r="L23" s="38">
        <f>IFERROR(__xludf.DUMMYFUNCTION("IMPORTRANGE(""https://docs.google.com/spreadsheets/d/1CaLR8gtRCp0-wyyH0y5IvQnenreOSKFOo8AF4Pfpekc/edit?gid=400822622#gid=400822622"", ""GRADE 11!Y""&amp;ROW(Z20))"),0.0)</f>
        <v>0</v>
      </c>
      <c r="M23" s="39">
        <f>IFERROR(__xludf.DUMMYFUNCTION("IMPORTRANGE(""https://docs.google.com/spreadsheets/d/1CaLR8gtRCp0-wyyH0y5IvQnenreOSKFOo8AF4Pfpekc/edit?gid=400822622#gid=400822622"", ""GRADE 11!Z""&amp;ROW(AA20))"),0.0)</f>
        <v>0</v>
      </c>
      <c r="N23" s="40" t="str">
        <f t="shared" si="3"/>
        <v>COMPLETE</v>
      </c>
    </row>
    <row r="24">
      <c r="A24" s="28" t="s">
        <v>19</v>
      </c>
      <c r="B24" s="29">
        <v>14.0</v>
      </c>
      <c r="C24" s="30" t="s">
        <v>50</v>
      </c>
      <c r="D24" s="31" t="s">
        <v>21</v>
      </c>
      <c r="E24" s="32" t="s">
        <v>51</v>
      </c>
      <c r="F24" s="33" t="s">
        <v>21</v>
      </c>
      <c r="G24" s="34">
        <v>19.0</v>
      </c>
      <c r="H24" s="34">
        <v>24.0</v>
      </c>
      <c r="I24" s="35">
        <f t="shared" si="1"/>
        <v>43</v>
      </c>
      <c r="J24" s="36">
        <f t="shared" si="2"/>
        <v>8</v>
      </c>
      <c r="K24" s="37">
        <f>IFERROR(__xludf.DUMMYFUNCTION("IMPORTRANGE(""https://docs.google.com/spreadsheets/d/1CaLR8gtRCp0-wyyH0y5IvQnenreOSKFOo8AF4Pfpekc/edit?gid=400822622#gid=400822622"", ""GRADE 11!X""&amp;ROW(Y21))"),8.0)</f>
        <v>8</v>
      </c>
      <c r="L24" s="38">
        <f>IFERROR(__xludf.DUMMYFUNCTION("IMPORTRANGE(""https://docs.google.com/spreadsheets/d/1CaLR8gtRCp0-wyyH0y5IvQnenreOSKFOo8AF4Pfpekc/edit?gid=400822622#gid=400822622"", ""GRADE 11!Y""&amp;ROW(Z21))"),0.0)</f>
        <v>0</v>
      </c>
      <c r="M24" s="39">
        <f>IFERROR(__xludf.DUMMYFUNCTION("IMPORTRANGE(""https://docs.google.com/spreadsheets/d/1CaLR8gtRCp0-wyyH0y5IvQnenreOSKFOo8AF4Pfpekc/edit?gid=400822622#gid=400822622"", ""GRADE 11!Z""&amp;ROW(AA21))"),0.0)</f>
        <v>0</v>
      </c>
      <c r="N24" s="40" t="str">
        <f t="shared" si="3"/>
        <v>COMPLETE</v>
      </c>
    </row>
    <row r="25">
      <c r="A25" s="28" t="s">
        <v>19</v>
      </c>
      <c r="B25" s="29">
        <v>15.0</v>
      </c>
      <c r="C25" s="30" t="s">
        <v>52</v>
      </c>
      <c r="D25" s="31" t="s">
        <v>21</v>
      </c>
      <c r="E25" s="32" t="s">
        <v>53</v>
      </c>
      <c r="F25" s="33" t="s">
        <v>21</v>
      </c>
      <c r="G25" s="34">
        <v>17.0</v>
      </c>
      <c r="H25" s="34">
        <v>25.0</v>
      </c>
      <c r="I25" s="35">
        <f t="shared" si="1"/>
        <v>42</v>
      </c>
      <c r="J25" s="36">
        <f t="shared" si="2"/>
        <v>8</v>
      </c>
      <c r="K25" s="37">
        <f>IFERROR(__xludf.DUMMYFUNCTION("IMPORTRANGE(""https://docs.google.com/spreadsheets/d/1CaLR8gtRCp0-wyyH0y5IvQnenreOSKFOo8AF4Pfpekc/edit?gid=400822622#gid=400822622"", ""GRADE 11!X""&amp;ROW(Y22))"),8.0)</f>
        <v>8</v>
      </c>
      <c r="L25" s="38">
        <f>IFERROR(__xludf.DUMMYFUNCTION("IMPORTRANGE(""https://docs.google.com/spreadsheets/d/1CaLR8gtRCp0-wyyH0y5IvQnenreOSKFOo8AF4Pfpekc/edit?gid=400822622#gid=400822622"", ""GRADE 11!Y""&amp;ROW(Z22))"),0.0)</f>
        <v>0</v>
      </c>
      <c r="M25" s="39">
        <f>IFERROR(__xludf.DUMMYFUNCTION("IMPORTRANGE(""https://docs.google.com/spreadsheets/d/1CaLR8gtRCp0-wyyH0y5IvQnenreOSKFOo8AF4Pfpekc/edit?gid=400822622#gid=400822622"", ""GRADE 11!Z""&amp;ROW(AA22))"),0.0)</f>
        <v>0</v>
      </c>
      <c r="N25" s="40" t="str">
        <f t="shared" si="3"/>
        <v>COMPLETE</v>
      </c>
    </row>
    <row r="26">
      <c r="A26" s="28" t="s">
        <v>19</v>
      </c>
      <c r="B26" s="29">
        <v>16.0</v>
      </c>
      <c r="C26" s="30" t="s">
        <v>54</v>
      </c>
      <c r="D26" s="31" t="s">
        <v>55</v>
      </c>
      <c r="E26" s="32" t="s">
        <v>56</v>
      </c>
      <c r="F26" s="33" t="s">
        <v>27</v>
      </c>
      <c r="G26" s="34">
        <v>19.0</v>
      </c>
      <c r="H26" s="34">
        <v>25.0</v>
      </c>
      <c r="I26" s="35">
        <f t="shared" si="1"/>
        <v>44</v>
      </c>
      <c r="J26" s="36">
        <f t="shared" si="2"/>
        <v>9</v>
      </c>
      <c r="K26" s="37">
        <f>IFERROR(__xludf.DUMMYFUNCTION("IMPORTRANGE(""https://docs.google.com/spreadsheets/d/1CaLR8gtRCp0-wyyH0y5IvQnenreOSKFOo8AF4Pfpekc/edit?gid=400822622#gid=400822622"", ""GRADE 11!X""&amp;ROW(Y23))"),9.0)</f>
        <v>9</v>
      </c>
      <c r="L26" s="38">
        <f>IFERROR(__xludf.DUMMYFUNCTION("IMPORTRANGE(""https://docs.google.com/spreadsheets/d/1CaLR8gtRCp0-wyyH0y5IvQnenreOSKFOo8AF4Pfpekc/edit?gid=400822622#gid=400822622"", ""GRADE 11!Y""&amp;ROW(Z23))"),0.0)</f>
        <v>0</v>
      </c>
      <c r="M26" s="39">
        <f>IFERROR(__xludf.DUMMYFUNCTION("IMPORTRANGE(""https://docs.google.com/spreadsheets/d/1CaLR8gtRCp0-wyyH0y5IvQnenreOSKFOo8AF4Pfpekc/edit?gid=400822622#gid=400822622"", ""GRADE 11!Z""&amp;ROW(AA23))"),0.0)</f>
        <v>0</v>
      </c>
      <c r="N26" s="40" t="str">
        <f t="shared" si="3"/>
        <v>COMPLETE</v>
      </c>
    </row>
    <row r="27">
      <c r="A27" s="28" t="s">
        <v>19</v>
      </c>
      <c r="B27" s="29">
        <v>17.0</v>
      </c>
      <c r="C27" s="30" t="s">
        <v>57</v>
      </c>
      <c r="D27" s="31" t="s">
        <v>55</v>
      </c>
      <c r="E27" s="32" t="s">
        <v>58</v>
      </c>
      <c r="F27" s="33" t="s">
        <v>27</v>
      </c>
      <c r="G27" s="34">
        <v>18.0</v>
      </c>
      <c r="H27" s="34">
        <v>15.0</v>
      </c>
      <c r="I27" s="35">
        <f t="shared" si="1"/>
        <v>33</v>
      </c>
      <c r="J27" s="36">
        <f t="shared" si="2"/>
        <v>9</v>
      </c>
      <c r="K27" s="37">
        <f>IFERROR(__xludf.DUMMYFUNCTION("IMPORTRANGE(""https://docs.google.com/spreadsheets/d/1CaLR8gtRCp0-wyyH0y5IvQnenreOSKFOo8AF4Pfpekc/edit?gid=400822622#gid=400822622"", ""GRADE 11!X""&amp;ROW(Y24))"),9.0)</f>
        <v>9</v>
      </c>
      <c r="L27" s="38">
        <f>IFERROR(__xludf.DUMMYFUNCTION("IMPORTRANGE(""https://docs.google.com/spreadsheets/d/1CaLR8gtRCp0-wyyH0y5IvQnenreOSKFOo8AF4Pfpekc/edit?gid=400822622#gid=400822622"", ""GRADE 11!Y""&amp;ROW(Z24))"),0.0)</f>
        <v>0</v>
      </c>
      <c r="M27" s="39">
        <f>IFERROR(__xludf.DUMMYFUNCTION("IMPORTRANGE(""https://docs.google.com/spreadsheets/d/1CaLR8gtRCp0-wyyH0y5IvQnenreOSKFOo8AF4Pfpekc/edit?gid=400822622#gid=400822622"", ""GRADE 11!Z""&amp;ROW(AA24))"),0.0)</f>
        <v>0</v>
      </c>
      <c r="N27" s="40" t="str">
        <f t="shared" si="3"/>
        <v>COMPLETE</v>
      </c>
    </row>
    <row r="28">
      <c r="A28" s="28" t="s">
        <v>19</v>
      </c>
      <c r="B28" s="29">
        <v>18.0</v>
      </c>
      <c r="C28" s="30" t="s">
        <v>59</v>
      </c>
      <c r="D28" s="31" t="s">
        <v>55</v>
      </c>
      <c r="E28" s="32" t="s">
        <v>60</v>
      </c>
      <c r="F28" s="33" t="s">
        <v>61</v>
      </c>
      <c r="G28" s="34">
        <v>19.0</v>
      </c>
      <c r="H28" s="34">
        <v>23.0</v>
      </c>
      <c r="I28" s="35">
        <f t="shared" si="1"/>
        <v>42</v>
      </c>
      <c r="J28" s="36">
        <f t="shared" si="2"/>
        <v>9</v>
      </c>
      <c r="K28" s="37">
        <f>IFERROR(__xludf.DUMMYFUNCTION("IMPORTRANGE(""https://docs.google.com/spreadsheets/d/1CaLR8gtRCp0-wyyH0y5IvQnenreOSKFOo8AF4Pfpekc/edit?gid=400822622#gid=400822622"", ""GRADE 11!X""&amp;ROW(Y25))"),9.0)</f>
        <v>9</v>
      </c>
      <c r="L28" s="38">
        <f>IFERROR(__xludf.DUMMYFUNCTION("IMPORTRANGE(""https://docs.google.com/spreadsheets/d/1CaLR8gtRCp0-wyyH0y5IvQnenreOSKFOo8AF4Pfpekc/edit?gid=400822622#gid=400822622"", ""GRADE 11!Y""&amp;ROW(Z25))"),0.0)</f>
        <v>0</v>
      </c>
      <c r="M28" s="39">
        <f>IFERROR(__xludf.DUMMYFUNCTION("IMPORTRANGE(""https://docs.google.com/spreadsheets/d/1CaLR8gtRCp0-wyyH0y5IvQnenreOSKFOo8AF4Pfpekc/edit?gid=400822622#gid=400822622"", ""GRADE 11!Z""&amp;ROW(AA25))"),0.0)</f>
        <v>0</v>
      </c>
      <c r="N28" s="40" t="str">
        <f t="shared" si="3"/>
        <v>COMPLETE</v>
      </c>
    </row>
    <row r="29">
      <c r="A29" s="28" t="s">
        <v>19</v>
      </c>
      <c r="B29" s="29">
        <v>19.0</v>
      </c>
      <c r="C29" s="30" t="s">
        <v>62</v>
      </c>
      <c r="D29" s="31" t="s">
        <v>55</v>
      </c>
      <c r="E29" s="32" t="s">
        <v>63</v>
      </c>
      <c r="F29" s="33" t="s">
        <v>30</v>
      </c>
      <c r="G29" s="34">
        <v>19.0</v>
      </c>
      <c r="H29" s="34">
        <v>24.0</v>
      </c>
      <c r="I29" s="35">
        <f t="shared" si="1"/>
        <v>43</v>
      </c>
      <c r="J29" s="36">
        <f t="shared" si="2"/>
        <v>9</v>
      </c>
      <c r="K29" s="37">
        <f>IFERROR(__xludf.DUMMYFUNCTION("IMPORTRANGE(""https://docs.google.com/spreadsheets/d/1CaLR8gtRCp0-wyyH0y5IvQnenreOSKFOo8AF4Pfpekc/edit?gid=400822622#gid=400822622"", ""GRADE 11!X""&amp;ROW(Y26))"),9.0)</f>
        <v>9</v>
      </c>
      <c r="L29" s="38">
        <f>IFERROR(__xludf.DUMMYFUNCTION("IMPORTRANGE(""https://docs.google.com/spreadsheets/d/1CaLR8gtRCp0-wyyH0y5IvQnenreOSKFOo8AF4Pfpekc/edit?gid=400822622#gid=400822622"", ""GRADE 11!Y""&amp;ROW(Z26))"),0.0)</f>
        <v>0</v>
      </c>
      <c r="M29" s="39">
        <f>IFERROR(__xludf.DUMMYFUNCTION("IMPORTRANGE(""https://docs.google.com/spreadsheets/d/1CaLR8gtRCp0-wyyH0y5IvQnenreOSKFOo8AF4Pfpekc/edit?gid=400822622#gid=400822622"", ""GRADE 11!Z""&amp;ROW(AA26))"),0.0)</f>
        <v>0</v>
      </c>
      <c r="N29" s="40" t="str">
        <f t="shared" si="3"/>
        <v>COMPLETE</v>
      </c>
    </row>
    <row r="30">
      <c r="A30" s="28" t="s">
        <v>19</v>
      </c>
      <c r="B30" s="29">
        <v>20.0</v>
      </c>
      <c r="C30" s="30" t="s">
        <v>64</v>
      </c>
      <c r="D30" s="31" t="s">
        <v>55</v>
      </c>
      <c r="E30" s="32" t="s">
        <v>65</v>
      </c>
      <c r="F30" s="33" t="s">
        <v>27</v>
      </c>
      <c r="G30" s="34">
        <v>13.0</v>
      </c>
      <c r="H30" s="34">
        <v>25.0</v>
      </c>
      <c r="I30" s="35">
        <f t="shared" si="1"/>
        <v>38</v>
      </c>
      <c r="J30" s="36">
        <f t="shared" si="2"/>
        <v>9</v>
      </c>
      <c r="K30" s="37">
        <f>IFERROR(__xludf.DUMMYFUNCTION("IMPORTRANGE(""https://docs.google.com/spreadsheets/d/1CaLR8gtRCp0-wyyH0y5IvQnenreOSKFOo8AF4Pfpekc/edit?gid=400822622#gid=400822622"", ""GRADE 11!X""&amp;ROW(Y27))"),0.0)</f>
        <v>0</v>
      </c>
      <c r="L30" s="38">
        <f>IFERROR(__xludf.DUMMYFUNCTION("IMPORTRANGE(""https://docs.google.com/spreadsheets/d/1CaLR8gtRCp0-wyyH0y5IvQnenreOSKFOo8AF4Pfpekc/edit?gid=400822622#gid=400822622"", ""GRADE 11!Y""&amp;ROW(Z27))"),9.0)</f>
        <v>9</v>
      </c>
      <c r="M30" s="39">
        <f>IFERROR(__xludf.DUMMYFUNCTION("IMPORTRANGE(""https://docs.google.com/spreadsheets/d/1CaLR8gtRCp0-wyyH0y5IvQnenreOSKFOo8AF4Pfpekc/edit?gid=400822622#gid=400822622"", ""GRADE 11!Z""&amp;ROW(AA27))"),-9.0)</f>
        <v>-9</v>
      </c>
      <c r="N30" s="40" t="str">
        <f t="shared" si="3"/>
        <v>INCOMPLETE</v>
      </c>
    </row>
    <row r="31">
      <c r="A31" s="28" t="s">
        <v>19</v>
      </c>
      <c r="B31" s="29">
        <v>21.0</v>
      </c>
      <c r="C31" s="30" t="s">
        <v>66</v>
      </c>
      <c r="D31" s="31" t="s">
        <v>55</v>
      </c>
      <c r="E31" s="32" t="s">
        <v>67</v>
      </c>
      <c r="F31" s="33" t="s">
        <v>27</v>
      </c>
      <c r="G31" s="34">
        <v>18.0</v>
      </c>
      <c r="H31" s="34">
        <v>29.0</v>
      </c>
      <c r="I31" s="35">
        <f t="shared" si="1"/>
        <v>47</v>
      </c>
      <c r="J31" s="36">
        <f t="shared" si="2"/>
        <v>9</v>
      </c>
      <c r="K31" s="37">
        <f>IFERROR(__xludf.DUMMYFUNCTION("IMPORTRANGE(""https://docs.google.com/spreadsheets/d/1CaLR8gtRCp0-wyyH0y5IvQnenreOSKFOo8AF4Pfpekc/edit?gid=400822622#gid=400822622"", ""GRADE 11!X""&amp;ROW(Y28))"),9.0)</f>
        <v>9</v>
      </c>
      <c r="L31" s="38">
        <f>IFERROR(__xludf.DUMMYFUNCTION("IMPORTRANGE(""https://docs.google.com/spreadsheets/d/1CaLR8gtRCp0-wyyH0y5IvQnenreOSKFOo8AF4Pfpekc/edit?gid=400822622#gid=400822622"", ""GRADE 11!Y""&amp;ROW(Z28))"),0.0)</f>
        <v>0</v>
      </c>
      <c r="M31" s="39">
        <f>IFERROR(__xludf.DUMMYFUNCTION("IMPORTRANGE(""https://docs.google.com/spreadsheets/d/1CaLR8gtRCp0-wyyH0y5IvQnenreOSKFOo8AF4Pfpekc/edit?gid=400822622#gid=400822622"", ""GRADE 11!Z""&amp;ROW(AA28))"),0.0)</f>
        <v>0</v>
      </c>
      <c r="N31" s="40" t="str">
        <f t="shared" si="3"/>
        <v>COMPLETE</v>
      </c>
    </row>
    <row r="32">
      <c r="A32" s="28" t="s">
        <v>19</v>
      </c>
      <c r="B32" s="29">
        <v>22.0</v>
      </c>
      <c r="C32" s="30" t="s">
        <v>68</v>
      </c>
      <c r="D32" s="31" t="s">
        <v>55</v>
      </c>
      <c r="E32" s="32" t="s">
        <v>69</v>
      </c>
      <c r="F32" s="33" t="s">
        <v>27</v>
      </c>
      <c r="G32" s="34">
        <v>18.0</v>
      </c>
      <c r="H32" s="34">
        <v>27.0</v>
      </c>
      <c r="I32" s="35">
        <f t="shared" si="1"/>
        <v>45</v>
      </c>
      <c r="J32" s="36">
        <f t="shared" si="2"/>
        <v>9</v>
      </c>
      <c r="K32" s="37">
        <f>IFERROR(__xludf.DUMMYFUNCTION("IMPORTRANGE(""https://docs.google.com/spreadsheets/d/1CaLR8gtRCp0-wyyH0y5IvQnenreOSKFOo8AF4Pfpekc/edit?gid=400822622#gid=400822622"", ""GRADE 11!X""&amp;ROW(Y29))"),9.0)</f>
        <v>9</v>
      </c>
      <c r="L32" s="38">
        <f>IFERROR(__xludf.DUMMYFUNCTION("IMPORTRANGE(""https://docs.google.com/spreadsheets/d/1CaLR8gtRCp0-wyyH0y5IvQnenreOSKFOo8AF4Pfpekc/edit?gid=400822622#gid=400822622"", ""GRADE 11!Y""&amp;ROW(Z29))"),0.0)</f>
        <v>0</v>
      </c>
      <c r="M32" s="39">
        <f>IFERROR(__xludf.DUMMYFUNCTION("IMPORTRANGE(""https://docs.google.com/spreadsheets/d/1CaLR8gtRCp0-wyyH0y5IvQnenreOSKFOo8AF4Pfpekc/edit?gid=400822622#gid=400822622"", ""GRADE 11!Z""&amp;ROW(AA29))"),0.0)</f>
        <v>0</v>
      </c>
      <c r="N32" s="40" t="str">
        <f t="shared" si="3"/>
        <v>COMPLETE</v>
      </c>
    </row>
    <row r="33">
      <c r="A33" s="28" t="s">
        <v>19</v>
      </c>
      <c r="B33" s="29">
        <v>23.0</v>
      </c>
      <c r="C33" s="30" t="s">
        <v>70</v>
      </c>
      <c r="D33" s="31" t="s">
        <v>55</v>
      </c>
      <c r="E33" s="32" t="s">
        <v>71</v>
      </c>
      <c r="F33" s="33" t="s">
        <v>72</v>
      </c>
      <c r="G33" s="34">
        <v>16.0</v>
      </c>
      <c r="H33" s="34">
        <v>29.0</v>
      </c>
      <c r="I33" s="35">
        <f t="shared" si="1"/>
        <v>45</v>
      </c>
      <c r="J33" s="36">
        <f t="shared" si="2"/>
        <v>9</v>
      </c>
      <c r="K33" s="37">
        <f>IFERROR(__xludf.DUMMYFUNCTION("IMPORTRANGE(""https://docs.google.com/spreadsheets/d/1CaLR8gtRCp0-wyyH0y5IvQnenreOSKFOo8AF4Pfpekc/edit?gid=400822622#gid=400822622"", ""GRADE 11!X""&amp;ROW(Y30))"),9.0)</f>
        <v>9</v>
      </c>
      <c r="L33" s="38">
        <f>IFERROR(__xludf.DUMMYFUNCTION("IMPORTRANGE(""https://docs.google.com/spreadsheets/d/1CaLR8gtRCp0-wyyH0y5IvQnenreOSKFOo8AF4Pfpekc/edit?gid=400822622#gid=400822622"", ""GRADE 11!Y""&amp;ROW(Z30))"),0.0)</f>
        <v>0</v>
      </c>
      <c r="M33" s="39">
        <f>IFERROR(__xludf.DUMMYFUNCTION("IMPORTRANGE(""https://docs.google.com/spreadsheets/d/1CaLR8gtRCp0-wyyH0y5IvQnenreOSKFOo8AF4Pfpekc/edit?gid=400822622#gid=400822622"", ""GRADE 11!Z""&amp;ROW(AA30))"),0.0)</f>
        <v>0</v>
      </c>
      <c r="N33" s="40" t="str">
        <f t="shared" si="3"/>
        <v>COMPLETE</v>
      </c>
    </row>
    <row r="34">
      <c r="A34" s="28" t="s">
        <v>19</v>
      </c>
      <c r="B34" s="29">
        <v>24.0</v>
      </c>
      <c r="C34" s="30" t="s">
        <v>73</v>
      </c>
      <c r="D34" s="31" t="s">
        <v>55</v>
      </c>
      <c r="E34" s="32" t="s">
        <v>74</v>
      </c>
      <c r="F34" s="33" t="s">
        <v>43</v>
      </c>
      <c r="G34" s="34">
        <v>17.0</v>
      </c>
      <c r="H34" s="34">
        <v>29.0</v>
      </c>
      <c r="I34" s="35">
        <f t="shared" si="1"/>
        <v>46</v>
      </c>
      <c r="J34" s="36">
        <f t="shared" si="2"/>
        <v>9</v>
      </c>
      <c r="K34" s="37">
        <f>IFERROR(__xludf.DUMMYFUNCTION("IMPORTRANGE(""https://docs.google.com/spreadsheets/d/1CaLR8gtRCp0-wyyH0y5IvQnenreOSKFOo8AF4Pfpekc/edit?gid=400822622#gid=400822622"", ""GRADE 11!X""&amp;ROW(Y31))"),9.0)</f>
        <v>9</v>
      </c>
      <c r="L34" s="38">
        <f>IFERROR(__xludf.DUMMYFUNCTION("IMPORTRANGE(""https://docs.google.com/spreadsheets/d/1CaLR8gtRCp0-wyyH0y5IvQnenreOSKFOo8AF4Pfpekc/edit?gid=400822622#gid=400822622"", ""GRADE 11!Y""&amp;ROW(Z31))"),0.0)</f>
        <v>0</v>
      </c>
      <c r="M34" s="39">
        <f>IFERROR(__xludf.DUMMYFUNCTION("IMPORTRANGE(""https://docs.google.com/spreadsheets/d/1CaLR8gtRCp0-wyyH0y5IvQnenreOSKFOo8AF4Pfpekc/edit?gid=400822622#gid=400822622"", ""GRADE 11!Z""&amp;ROW(AA31))"),0.0)</f>
        <v>0</v>
      </c>
      <c r="N34" s="40" t="str">
        <f t="shared" si="3"/>
        <v>COMPLETE</v>
      </c>
    </row>
    <row r="35">
      <c r="A35" s="28" t="s">
        <v>19</v>
      </c>
      <c r="B35" s="29">
        <v>25.0</v>
      </c>
      <c r="C35" s="30" t="s">
        <v>75</v>
      </c>
      <c r="D35" s="31" t="s">
        <v>55</v>
      </c>
      <c r="E35" s="32" t="s">
        <v>76</v>
      </c>
      <c r="F35" s="33" t="s">
        <v>27</v>
      </c>
      <c r="G35" s="34">
        <v>14.0</v>
      </c>
      <c r="H35" s="34">
        <v>30.0</v>
      </c>
      <c r="I35" s="35">
        <f t="shared" si="1"/>
        <v>44</v>
      </c>
      <c r="J35" s="36">
        <f t="shared" si="2"/>
        <v>9</v>
      </c>
      <c r="K35" s="37">
        <f>IFERROR(__xludf.DUMMYFUNCTION("IMPORTRANGE(""https://docs.google.com/spreadsheets/d/1CaLR8gtRCp0-wyyH0y5IvQnenreOSKFOo8AF4Pfpekc/edit?gid=400822622#gid=400822622"", ""GRADE 11!X""&amp;ROW(Y32))"),9.0)</f>
        <v>9</v>
      </c>
      <c r="L35" s="38">
        <f>IFERROR(__xludf.DUMMYFUNCTION("IMPORTRANGE(""https://docs.google.com/spreadsheets/d/1CaLR8gtRCp0-wyyH0y5IvQnenreOSKFOo8AF4Pfpekc/edit?gid=400822622#gid=400822622"", ""GRADE 11!Y""&amp;ROW(Z32))"),0.0)</f>
        <v>0</v>
      </c>
      <c r="M35" s="39">
        <f>IFERROR(__xludf.DUMMYFUNCTION("IMPORTRANGE(""https://docs.google.com/spreadsheets/d/1CaLR8gtRCp0-wyyH0y5IvQnenreOSKFOo8AF4Pfpekc/edit?gid=400822622#gid=400822622"", ""GRADE 11!Z""&amp;ROW(AA32))"),0.0)</f>
        <v>0</v>
      </c>
      <c r="N35" s="40" t="str">
        <f t="shared" si="3"/>
        <v>COMPLETE</v>
      </c>
    </row>
    <row r="36">
      <c r="A36" s="28" t="s">
        <v>19</v>
      </c>
      <c r="B36" s="29">
        <v>26.0</v>
      </c>
      <c r="C36" s="30" t="s">
        <v>77</v>
      </c>
      <c r="D36" s="31" t="s">
        <v>55</v>
      </c>
      <c r="E36" s="32" t="s">
        <v>78</v>
      </c>
      <c r="F36" s="33" t="s">
        <v>43</v>
      </c>
      <c r="G36" s="34">
        <v>18.0</v>
      </c>
      <c r="H36" s="34">
        <v>24.0</v>
      </c>
      <c r="I36" s="35">
        <f t="shared" si="1"/>
        <v>42</v>
      </c>
      <c r="J36" s="36">
        <f t="shared" si="2"/>
        <v>7</v>
      </c>
      <c r="K36" s="37">
        <f>IFERROR(__xludf.DUMMYFUNCTION("IMPORTRANGE(""https://docs.google.com/spreadsheets/d/1CaLR8gtRCp0-wyyH0y5IvQnenreOSKFOo8AF4Pfpekc/edit?gid=400822622#gid=400822622"", ""GRADE 11!X""&amp;ROW(Y33))"),7.0)</f>
        <v>7</v>
      </c>
      <c r="L36" s="38">
        <f>IFERROR(__xludf.DUMMYFUNCTION("IMPORTRANGE(""https://docs.google.com/spreadsheets/d/1CaLR8gtRCp0-wyyH0y5IvQnenreOSKFOo8AF4Pfpekc/edit?gid=400822622#gid=400822622"", ""GRADE 11!Y""&amp;ROW(Z33))"),0.0)</f>
        <v>0</v>
      </c>
      <c r="M36" s="39">
        <f>IFERROR(__xludf.DUMMYFUNCTION("IMPORTRANGE(""https://docs.google.com/spreadsheets/d/1CaLR8gtRCp0-wyyH0y5IvQnenreOSKFOo8AF4Pfpekc/edit?gid=400822622#gid=400822622"", ""GRADE 11!Z""&amp;ROW(AA33))"),0.0)</f>
        <v>0</v>
      </c>
      <c r="N36" s="40" t="str">
        <f t="shared" si="3"/>
        <v>COMPLETE</v>
      </c>
    </row>
    <row r="37">
      <c r="A37" s="28" t="s">
        <v>19</v>
      </c>
      <c r="B37" s="29">
        <v>27.0</v>
      </c>
      <c r="C37" s="30" t="s">
        <v>79</v>
      </c>
      <c r="D37" s="31" t="s">
        <v>55</v>
      </c>
      <c r="E37" s="32" t="s">
        <v>80</v>
      </c>
      <c r="F37" s="33" t="s">
        <v>30</v>
      </c>
      <c r="G37" s="34">
        <v>18.0</v>
      </c>
      <c r="H37" s="34">
        <v>28.0</v>
      </c>
      <c r="I37" s="35">
        <f t="shared" si="1"/>
        <v>46</v>
      </c>
      <c r="J37" s="36">
        <f t="shared" si="2"/>
        <v>7</v>
      </c>
      <c r="K37" s="37">
        <f>IFERROR(__xludf.DUMMYFUNCTION("IMPORTRANGE(""https://docs.google.com/spreadsheets/d/1CaLR8gtRCp0-wyyH0y5IvQnenreOSKFOo8AF4Pfpekc/edit?gid=400822622#gid=400822622"", ""GRADE 11!X""&amp;ROW(Y34))"),7.0)</f>
        <v>7</v>
      </c>
      <c r="L37" s="38">
        <f>IFERROR(__xludf.DUMMYFUNCTION("IMPORTRANGE(""https://docs.google.com/spreadsheets/d/1CaLR8gtRCp0-wyyH0y5IvQnenreOSKFOo8AF4Pfpekc/edit?gid=400822622#gid=400822622"", ""GRADE 11!Y""&amp;ROW(Z34))"),0.0)</f>
        <v>0</v>
      </c>
      <c r="M37" s="39">
        <f>IFERROR(__xludf.DUMMYFUNCTION("IMPORTRANGE(""https://docs.google.com/spreadsheets/d/1CaLR8gtRCp0-wyyH0y5IvQnenreOSKFOo8AF4Pfpekc/edit?gid=400822622#gid=400822622"", ""GRADE 11!Z""&amp;ROW(AA34))"),0.0)</f>
        <v>0</v>
      </c>
      <c r="N37" s="40" t="str">
        <f t="shared" si="3"/>
        <v>COMPLETE</v>
      </c>
    </row>
    <row r="38">
      <c r="A38" s="28" t="s">
        <v>19</v>
      </c>
      <c r="B38" s="29">
        <v>28.0</v>
      </c>
      <c r="C38" s="30" t="s">
        <v>81</v>
      </c>
      <c r="D38" s="31" t="s">
        <v>55</v>
      </c>
      <c r="E38" s="32" t="s">
        <v>82</v>
      </c>
      <c r="F38" s="33" t="s">
        <v>55</v>
      </c>
      <c r="G38" s="34">
        <v>19.0</v>
      </c>
      <c r="H38" s="34">
        <v>27.0</v>
      </c>
      <c r="I38" s="35">
        <f t="shared" si="1"/>
        <v>46</v>
      </c>
      <c r="J38" s="36">
        <f t="shared" si="2"/>
        <v>7</v>
      </c>
      <c r="K38" s="37">
        <f>IFERROR(__xludf.DUMMYFUNCTION("IMPORTRANGE(""https://docs.google.com/spreadsheets/d/1CaLR8gtRCp0-wyyH0y5IvQnenreOSKFOo8AF4Pfpekc/edit?gid=400822622#gid=400822622"", ""GRADE 11!X""&amp;ROW(Y35))"),7.0)</f>
        <v>7</v>
      </c>
      <c r="L38" s="38">
        <f>IFERROR(__xludf.DUMMYFUNCTION("IMPORTRANGE(""https://docs.google.com/spreadsheets/d/1CaLR8gtRCp0-wyyH0y5IvQnenreOSKFOo8AF4Pfpekc/edit?gid=400822622#gid=400822622"", ""GRADE 11!Y""&amp;ROW(Z35))"),0.0)</f>
        <v>0</v>
      </c>
      <c r="M38" s="39">
        <f>IFERROR(__xludf.DUMMYFUNCTION("IMPORTRANGE(""https://docs.google.com/spreadsheets/d/1CaLR8gtRCp0-wyyH0y5IvQnenreOSKFOo8AF4Pfpekc/edit?gid=400822622#gid=400822622"", ""GRADE 11!Z""&amp;ROW(AA35))"),0.0)</f>
        <v>0</v>
      </c>
      <c r="N38" s="40" t="str">
        <f t="shared" si="3"/>
        <v>COMPLETE</v>
      </c>
    </row>
    <row r="39">
      <c r="A39" s="28" t="s">
        <v>19</v>
      </c>
      <c r="B39" s="29">
        <v>29.0</v>
      </c>
      <c r="C39" s="30" t="s">
        <v>83</v>
      </c>
      <c r="D39" s="31" t="s">
        <v>55</v>
      </c>
      <c r="E39" s="32" t="s">
        <v>84</v>
      </c>
      <c r="F39" s="33" t="s">
        <v>27</v>
      </c>
      <c r="G39" s="34">
        <v>16.0</v>
      </c>
      <c r="H39" s="34">
        <v>28.0</v>
      </c>
      <c r="I39" s="35">
        <f t="shared" si="1"/>
        <v>44</v>
      </c>
      <c r="J39" s="36">
        <f t="shared" si="2"/>
        <v>7</v>
      </c>
      <c r="K39" s="37">
        <f>IFERROR(__xludf.DUMMYFUNCTION("IMPORTRANGE(""https://docs.google.com/spreadsheets/d/1CaLR8gtRCp0-wyyH0y5IvQnenreOSKFOo8AF4Pfpekc/edit?gid=400822622#gid=400822622"", ""GRADE 11!X""&amp;ROW(Y36))"),7.0)</f>
        <v>7</v>
      </c>
      <c r="L39" s="38">
        <f>IFERROR(__xludf.DUMMYFUNCTION("IMPORTRANGE(""https://docs.google.com/spreadsheets/d/1CaLR8gtRCp0-wyyH0y5IvQnenreOSKFOo8AF4Pfpekc/edit?gid=400822622#gid=400822622"", ""GRADE 11!Y""&amp;ROW(Z36))"),0.0)</f>
        <v>0</v>
      </c>
      <c r="M39" s="39">
        <f>IFERROR(__xludf.DUMMYFUNCTION("IMPORTRANGE(""https://docs.google.com/spreadsheets/d/1CaLR8gtRCp0-wyyH0y5IvQnenreOSKFOo8AF4Pfpekc/edit?gid=400822622#gid=400822622"", ""GRADE 11!Z""&amp;ROW(AA36))"),0.0)</f>
        <v>0</v>
      </c>
      <c r="N39" s="40" t="str">
        <f t="shared" si="3"/>
        <v>COMPLETE</v>
      </c>
    </row>
    <row r="40">
      <c r="A40" s="28" t="s">
        <v>19</v>
      </c>
      <c r="B40" s="29">
        <v>30.0</v>
      </c>
      <c r="C40" s="30" t="s">
        <v>85</v>
      </c>
      <c r="D40" s="31" t="s">
        <v>55</v>
      </c>
      <c r="E40" s="32" t="s">
        <v>86</v>
      </c>
      <c r="F40" s="33" t="s">
        <v>55</v>
      </c>
      <c r="G40" s="34">
        <v>17.0</v>
      </c>
      <c r="H40" s="34">
        <v>28.0</v>
      </c>
      <c r="I40" s="35">
        <f t="shared" si="1"/>
        <v>45</v>
      </c>
      <c r="J40" s="36">
        <f t="shared" si="2"/>
        <v>7</v>
      </c>
      <c r="K40" s="37">
        <f>IFERROR(__xludf.DUMMYFUNCTION("IMPORTRANGE(""https://docs.google.com/spreadsheets/d/1CaLR8gtRCp0-wyyH0y5IvQnenreOSKFOo8AF4Pfpekc/edit?gid=400822622#gid=400822622"", ""GRADE 11!X""&amp;ROW(Y37))"),7.0)</f>
        <v>7</v>
      </c>
      <c r="L40" s="38">
        <f>IFERROR(__xludf.DUMMYFUNCTION("IMPORTRANGE(""https://docs.google.com/spreadsheets/d/1CaLR8gtRCp0-wyyH0y5IvQnenreOSKFOo8AF4Pfpekc/edit?gid=400822622#gid=400822622"", ""GRADE 11!Y""&amp;ROW(Z37))"),0.0)</f>
        <v>0</v>
      </c>
      <c r="M40" s="39">
        <f>IFERROR(__xludf.DUMMYFUNCTION("IMPORTRANGE(""https://docs.google.com/spreadsheets/d/1CaLR8gtRCp0-wyyH0y5IvQnenreOSKFOo8AF4Pfpekc/edit?gid=400822622#gid=400822622"", ""GRADE 11!Z""&amp;ROW(AA37))"),0.0)</f>
        <v>0</v>
      </c>
      <c r="N40" s="40" t="str">
        <f t="shared" si="3"/>
        <v>COMPLETE</v>
      </c>
    </row>
    <row r="41">
      <c r="A41" s="28" t="s">
        <v>19</v>
      </c>
      <c r="B41" s="29">
        <v>31.0</v>
      </c>
      <c r="C41" s="30" t="s">
        <v>87</v>
      </c>
      <c r="D41" s="31" t="s">
        <v>88</v>
      </c>
      <c r="E41" s="32" t="s">
        <v>89</v>
      </c>
      <c r="F41" s="33" t="s">
        <v>43</v>
      </c>
      <c r="G41" s="34">
        <v>18.0</v>
      </c>
      <c r="H41" s="34">
        <v>23.0</v>
      </c>
      <c r="I41" s="35">
        <f t="shared" si="1"/>
        <v>41</v>
      </c>
      <c r="J41" s="36">
        <f t="shared" si="2"/>
        <v>9</v>
      </c>
      <c r="K41" s="37">
        <f>IFERROR(__xludf.DUMMYFUNCTION("IMPORTRANGE(""https://docs.google.com/spreadsheets/d/1CaLR8gtRCp0-wyyH0y5IvQnenreOSKFOo8AF4Pfpekc/edit?gid=400822622#gid=400822622"", ""GRADE 11!X""&amp;ROW(Y38))"),9.0)</f>
        <v>9</v>
      </c>
      <c r="L41" s="38">
        <f>IFERROR(__xludf.DUMMYFUNCTION("IMPORTRANGE(""https://docs.google.com/spreadsheets/d/1CaLR8gtRCp0-wyyH0y5IvQnenreOSKFOo8AF4Pfpekc/edit?gid=400822622#gid=400822622"", ""GRADE 11!Y""&amp;ROW(Z38))"),0.0)</f>
        <v>0</v>
      </c>
      <c r="M41" s="39">
        <f>IFERROR(__xludf.DUMMYFUNCTION("IMPORTRANGE(""https://docs.google.com/spreadsheets/d/1CaLR8gtRCp0-wyyH0y5IvQnenreOSKFOo8AF4Pfpekc/edit?gid=400822622#gid=400822622"", ""GRADE 11!Z""&amp;ROW(AA38))"),0.0)</f>
        <v>0</v>
      </c>
      <c r="N41" s="40" t="str">
        <f t="shared" si="3"/>
        <v>COMPLETE</v>
      </c>
    </row>
    <row r="42">
      <c r="A42" s="28" t="s">
        <v>19</v>
      </c>
      <c r="B42" s="29">
        <v>32.0</v>
      </c>
      <c r="C42" s="30" t="s">
        <v>90</v>
      </c>
      <c r="D42" s="31" t="s">
        <v>88</v>
      </c>
      <c r="E42" s="32" t="s">
        <v>91</v>
      </c>
      <c r="F42" s="33" t="s">
        <v>43</v>
      </c>
      <c r="G42" s="34">
        <v>22.0</v>
      </c>
      <c r="H42" s="34">
        <v>19.0</v>
      </c>
      <c r="I42" s="35">
        <f t="shared" si="1"/>
        <v>41</v>
      </c>
      <c r="J42" s="36">
        <f t="shared" si="2"/>
        <v>9</v>
      </c>
      <c r="K42" s="37">
        <f>IFERROR(__xludf.DUMMYFUNCTION("IMPORTRANGE(""https://docs.google.com/spreadsheets/d/1CaLR8gtRCp0-wyyH0y5IvQnenreOSKFOo8AF4Pfpekc/edit?gid=400822622#gid=400822622"", ""GRADE 11!X""&amp;ROW(Y39))"),9.0)</f>
        <v>9</v>
      </c>
      <c r="L42" s="38">
        <f>IFERROR(__xludf.DUMMYFUNCTION("IMPORTRANGE(""https://docs.google.com/spreadsheets/d/1CaLR8gtRCp0-wyyH0y5IvQnenreOSKFOo8AF4Pfpekc/edit?gid=400822622#gid=400822622"", ""GRADE 11!Y""&amp;ROW(Z39))"),0.0)</f>
        <v>0</v>
      </c>
      <c r="M42" s="39">
        <f>IFERROR(__xludf.DUMMYFUNCTION("IMPORTRANGE(""https://docs.google.com/spreadsheets/d/1CaLR8gtRCp0-wyyH0y5IvQnenreOSKFOo8AF4Pfpekc/edit?gid=400822622#gid=400822622"", ""GRADE 11!Z""&amp;ROW(AA39))"),0.0)</f>
        <v>0</v>
      </c>
      <c r="N42" s="40" t="str">
        <f t="shared" si="3"/>
        <v>COMPLETE</v>
      </c>
    </row>
    <row r="43">
      <c r="A43" s="28" t="s">
        <v>19</v>
      </c>
      <c r="B43" s="29">
        <v>33.0</v>
      </c>
      <c r="C43" s="30" t="s">
        <v>92</v>
      </c>
      <c r="D43" s="31" t="s">
        <v>88</v>
      </c>
      <c r="E43" s="32" t="s">
        <v>93</v>
      </c>
      <c r="F43" s="33" t="s">
        <v>30</v>
      </c>
      <c r="G43" s="34">
        <v>20.0</v>
      </c>
      <c r="H43" s="34">
        <v>21.0</v>
      </c>
      <c r="I43" s="35">
        <f t="shared" si="1"/>
        <v>41</v>
      </c>
      <c r="J43" s="36">
        <f t="shared" si="2"/>
        <v>9</v>
      </c>
      <c r="K43" s="37">
        <f>IFERROR(__xludf.DUMMYFUNCTION("IMPORTRANGE(""https://docs.google.com/spreadsheets/d/1CaLR8gtRCp0-wyyH0y5IvQnenreOSKFOo8AF4Pfpekc/edit?gid=400822622#gid=400822622"", ""GRADE 11!X""&amp;ROW(Y40))"),9.0)</f>
        <v>9</v>
      </c>
      <c r="L43" s="38">
        <f>IFERROR(__xludf.DUMMYFUNCTION("IMPORTRANGE(""https://docs.google.com/spreadsheets/d/1CaLR8gtRCp0-wyyH0y5IvQnenreOSKFOo8AF4Pfpekc/edit?gid=400822622#gid=400822622"", ""GRADE 11!Y""&amp;ROW(Z40))"),0.0)</f>
        <v>0</v>
      </c>
      <c r="M43" s="39">
        <f>IFERROR(__xludf.DUMMYFUNCTION("IMPORTRANGE(""https://docs.google.com/spreadsheets/d/1CaLR8gtRCp0-wyyH0y5IvQnenreOSKFOo8AF4Pfpekc/edit?gid=400822622#gid=400822622"", ""GRADE 11!Z""&amp;ROW(AA40))"),0.0)</f>
        <v>0</v>
      </c>
      <c r="N43" s="40" t="str">
        <f t="shared" si="3"/>
        <v>COMPLETE</v>
      </c>
    </row>
    <row r="44">
      <c r="A44" s="28" t="s">
        <v>19</v>
      </c>
      <c r="B44" s="29">
        <v>34.0</v>
      </c>
      <c r="C44" s="30" t="s">
        <v>94</v>
      </c>
      <c r="D44" s="31" t="s">
        <v>88</v>
      </c>
      <c r="E44" s="32" t="s">
        <v>95</v>
      </c>
      <c r="F44" s="33" t="s">
        <v>27</v>
      </c>
      <c r="G44" s="34">
        <v>16.0</v>
      </c>
      <c r="H44" s="34">
        <v>20.0</v>
      </c>
      <c r="I44" s="35">
        <f t="shared" si="1"/>
        <v>36</v>
      </c>
      <c r="J44" s="36">
        <f t="shared" si="2"/>
        <v>9</v>
      </c>
      <c r="K44" s="37">
        <f>IFERROR(__xludf.DUMMYFUNCTION("IMPORTRANGE(""https://docs.google.com/spreadsheets/d/1CaLR8gtRCp0-wyyH0y5IvQnenreOSKFOo8AF4Pfpekc/edit?gid=400822622#gid=400822622"", ""GRADE 11!X""&amp;ROW(Y41))"),9.0)</f>
        <v>9</v>
      </c>
      <c r="L44" s="38">
        <f>IFERROR(__xludf.DUMMYFUNCTION("IMPORTRANGE(""https://docs.google.com/spreadsheets/d/1CaLR8gtRCp0-wyyH0y5IvQnenreOSKFOo8AF4Pfpekc/edit?gid=400822622#gid=400822622"", ""GRADE 11!Y""&amp;ROW(Z41))"),0.0)</f>
        <v>0</v>
      </c>
      <c r="M44" s="39">
        <f>IFERROR(__xludf.DUMMYFUNCTION("IMPORTRANGE(""https://docs.google.com/spreadsheets/d/1CaLR8gtRCp0-wyyH0y5IvQnenreOSKFOo8AF4Pfpekc/edit?gid=400822622#gid=400822622"", ""GRADE 11!Z""&amp;ROW(AA41))"),0.0)</f>
        <v>0</v>
      </c>
      <c r="N44" s="40" t="str">
        <f t="shared" si="3"/>
        <v>COMPLETE</v>
      </c>
    </row>
    <row r="45">
      <c r="A45" s="28" t="s">
        <v>19</v>
      </c>
      <c r="B45" s="29">
        <v>35.0</v>
      </c>
      <c r="C45" s="30" t="s">
        <v>96</v>
      </c>
      <c r="D45" s="31" t="s">
        <v>88</v>
      </c>
      <c r="E45" s="32" t="s">
        <v>97</v>
      </c>
      <c r="F45" s="33" t="s">
        <v>72</v>
      </c>
      <c r="G45" s="34">
        <v>22.0</v>
      </c>
      <c r="H45" s="34">
        <v>14.0</v>
      </c>
      <c r="I45" s="35">
        <f t="shared" si="1"/>
        <v>36</v>
      </c>
      <c r="J45" s="36">
        <f t="shared" si="2"/>
        <v>9</v>
      </c>
      <c r="K45" s="37">
        <f>IFERROR(__xludf.DUMMYFUNCTION("IMPORTRANGE(""https://docs.google.com/spreadsheets/d/1CaLR8gtRCp0-wyyH0y5IvQnenreOSKFOo8AF4Pfpekc/edit?gid=400822622#gid=400822622"", ""GRADE 11!X""&amp;ROW(Y42))"),9.0)</f>
        <v>9</v>
      </c>
      <c r="L45" s="38">
        <f>IFERROR(__xludf.DUMMYFUNCTION("IMPORTRANGE(""https://docs.google.com/spreadsheets/d/1CaLR8gtRCp0-wyyH0y5IvQnenreOSKFOo8AF4Pfpekc/edit?gid=400822622#gid=400822622"", ""GRADE 11!Y""&amp;ROW(Z42))"),0.0)</f>
        <v>0</v>
      </c>
      <c r="M45" s="39">
        <f>IFERROR(__xludf.DUMMYFUNCTION("IMPORTRANGE(""https://docs.google.com/spreadsheets/d/1CaLR8gtRCp0-wyyH0y5IvQnenreOSKFOo8AF4Pfpekc/edit?gid=400822622#gid=400822622"", ""GRADE 11!Z""&amp;ROW(AA42))"),0.0)</f>
        <v>0</v>
      </c>
      <c r="N45" s="40" t="str">
        <f t="shared" si="3"/>
        <v>COMPLETE</v>
      </c>
    </row>
    <row r="46">
      <c r="A46" s="28" t="s">
        <v>19</v>
      </c>
      <c r="B46" s="29">
        <v>36.0</v>
      </c>
      <c r="C46" s="30" t="s">
        <v>98</v>
      </c>
      <c r="D46" s="31" t="s">
        <v>88</v>
      </c>
      <c r="E46" s="32" t="s">
        <v>99</v>
      </c>
      <c r="F46" s="33" t="s">
        <v>72</v>
      </c>
      <c r="G46" s="34">
        <v>11.0</v>
      </c>
      <c r="H46" s="34">
        <v>20.0</v>
      </c>
      <c r="I46" s="35">
        <f t="shared" si="1"/>
        <v>31</v>
      </c>
      <c r="J46" s="36">
        <f t="shared" si="2"/>
        <v>9</v>
      </c>
      <c r="K46" s="37">
        <f>IFERROR(__xludf.DUMMYFUNCTION("IMPORTRANGE(""https://docs.google.com/spreadsheets/d/1CaLR8gtRCp0-wyyH0y5IvQnenreOSKFOo8AF4Pfpekc/edit?gid=400822622#gid=400822622"", ""GRADE 11!X""&amp;ROW(Y43))"),9.0)</f>
        <v>9</v>
      </c>
      <c r="L46" s="38">
        <f>IFERROR(__xludf.DUMMYFUNCTION("IMPORTRANGE(""https://docs.google.com/spreadsheets/d/1CaLR8gtRCp0-wyyH0y5IvQnenreOSKFOo8AF4Pfpekc/edit?gid=400822622#gid=400822622"", ""GRADE 11!Y""&amp;ROW(Z43))"),0.0)</f>
        <v>0</v>
      </c>
      <c r="M46" s="39">
        <f>IFERROR(__xludf.DUMMYFUNCTION("IMPORTRANGE(""https://docs.google.com/spreadsheets/d/1CaLR8gtRCp0-wyyH0y5IvQnenreOSKFOo8AF4Pfpekc/edit?gid=400822622#gid=400822622"", ""GRADE 11!Z""&amp;ROW(AA43))"),0.0)</f>
        <v>0</v>
      </c>
      <c r="N46" s="40" t="str">
        <f t="shared" si="3"/>
        <v>COMPLETE</v>
      </c>
    </row>
    <row r="47">
      <c r="A47" s="28" t="s">
        <v>19</v>
      </c>
      <c r="B47" s="29">
        <v>37.0</v>
      </c>
      <c r="C47" s="30" t="s">
        <v>100</v>
      </c>
      <c r="D47" s="31" t="s">
        <v>88</v>
      </c>
      <c r="E47" s="32" t="s">
        <v>101</v>
      </c>
      <c r="F47" s="33" t="s">
        <v>43</v>
      </c>
      <c r="G47" s="34">
        <v>19.0</v>
      </c>
      <c r="H47" s="34">
        <v>13.0</v>
      </c>
      <c r="I47" s="35">
        <f t="shared" si="1"/>
        <v>32</v>
      </c>
      <c r="J47" s="36">
        <f t="shared" si="2"/>
        <v>9</v>
      </c>
      <c r="K47" s="37">
        <f>IFERROR(__xludf.DUMMYFUNCTION("IMPORTRANGE(""https://docs.google.com/spreadsheets/d/1CaLR8gtRCp0-wyyH0y5IvQnenreOSKFOo8AF4Pfpekc/edit?gid=400822622#gid=400822622"", ""GRADE 11!X""&amp;ROW(Y44))"),9.0)</f>
        <v>9</v>
      </c>
      <c r="L47" s="38">
        <f>IFERROR(__xludf.DUMMYFUNCTION("IMPORTRANGE(""https://docs.google.com/spreadsheets/d/1CaLR8gtRCp0-wyyH0y5IvQnenreOSKFOo8AF4Pfpekc/edit?gid=400822622#gid=400822622"", ""GRADE 11!Y""&amp;ROW(Z44))"),0.0)</f>
        <v>0</v>
      </c>
      <c r="M47" s="39">
        <f>IFERROR(__xludf.DUMMYFUNCTION("IMPORTRANGE(""https://docs.google.com/spreadsheets/d/1CaLR8gtRCp0-wyyH0y5IvQnenreOSKFOo8AF4Pfpekc/edit?gid=400822622#gid=400822622"", ""GRADE 11!Z""&amp;ROW(AA44))"),0.0)</f>
        <v>0</v>
      </c>
      <c r="N47" s="40" t="str">
        <f t="shared" si="3"/>
        <v>COMPLETE</v>
      </c>
    </row>
    <row r="48">
      <c r="A48" s="28" t="s">
        <v>19</v>
      </c>
      <c r="B48" s="29">
        <v>38.0</v>
      </c>
      <c r="C48" s="30" t="s">
        <v>102</v>
      </c>
      <c r="D48" s="31" t="s">
        <v>88</v>
      </c>
      <c r="E48" s="32" t="s">
        <v>103</v>
      </c>
      <c r="F48" s="33" t="s">
        <v>30</v>
      </c>
      <c r="G48" s="34">
        <v>16.0</v>
      </c>
      <c r="H48" s="34">
        <v>14.0</v>
      </c>
      <c r="I48" s="35">
        <f t="shared" si="1"/>
        <v>30</v>
      </c>
      <c r="J48" s="36">
        <f t="shared" si="2"/>
        <v>9</v>
      </c>
      <c r="K48" s="37">
        <f>IFERROR(__xludf.DUMMYFUNCTION("IMPORTRANGE(""https://docs.google.com/spreadsheets/d/1CaLR8gtRCp0-wyyH0y5IvQnenreOSKFOo8AF4Pfpekc/edit?gid=400822622#gid=400822622"", ""GRADE 11!X""&amp;ROW(Y45))"),9.0)</f>
        <v>9</v>
      </c>
      <c r="L48" s="38">
        <f>IFERROR(__xludf.DUMMYFUNCTION("IMPORTRANGE(""https://docs.google.com/spreadsheets/d/1CaLR8gtRCp0-wyyH0y5IvQnenreOSKFOo8AF4Pfpekc/edit?gid=400822622#gid=400822622"", ""GRADE 11!Y""&amp;ROW(Z45))"),0.0)</f>
        <v>0</v>
      </c>
      <c r="M48" s="39">
        <f>IFERROR(__xludf.DUMMYFUNCTION("IMPORTRANGE(""https://docs.google.com/spreadsheets/d/1CaLR8gtRCp0-wyyH0y5IvQnenreOSKFOo8AF4Pfpekc/edit?gid=400822622#gid=400822622"", ""GRADE 11!Z""&amp;ROW(AA45))"),0.0)</f>
        <v>0</v>
      </c>
      <c r="N48" s="40" t="str">
        <f t="shared" si="3"/>
        <v>COMPLETE</v>
      </c>
    </row>
    <row r="49">
      <c r="A49" s="28" t="s">
        <v>19</v>
      </c>
      <c r="B49" s="29">
        <v>39.0</v>
      </c>
      <c r="C49" s="30" t="s">
        <v>104</v>
      </c>
      <c r="D49" s="31" t="s">
        <v>88</v>
      </c>
      <c r="E49" s="32" t="s">
        <v>105</v>
      </c>
      <c r="F49" s="33" t="s">
        <v>72</v>
      </c>
      <c r="G49" s="34">
        <v>16.0</v>
      </c>
      <c r="H49" s="34">
        <v>16.0</v>
      </c>
      <c r="I49" s="35">
        <f t="shared" si="1"/>
        <v>32</v>
      </c>
      <c r="J49" s="36">
        <f t="shared" si="2"/>
        <v>9</v>
      </c>
      <c r="K49" s="37">
        <f>IFERROR(__xludf.DUMMYFUNCTION("IMPORTRANGE(""https://docs.google.com/spreadsheets/d/1CaLR8gtRCp0-wyyH0y5IvQnenreOSKFOo8AF4Pfpekc/edit?gid=400822622#gid=400822622"", ""GRADE 11!X""&amp;ROW(Y46))"),9.0)</f>
        <v>9</v>
      </c>
      <c r="L49" s="38">
        <f>IFERROR(__xludf.DUMMYFUNCTION("IMPORTRANGE(""https://docs.google.com/spreadsheets/d/1CaLR8gtRCp0-wyyH0y5IvQnenreOSKFOo8AF4Pfpekc/edit?gid=400822622#gid=400822622"", ""GRADE 11!Y""&amp;ROW(Z46))"),0.0)</f>
        <v>0</v>
      </c>
      <c r="M49" s="39">
        <f>IFERROR(__xludf.DUMMYFUNCTION("IMPORTRANGE(""https://docs.google.com/spreadsheets/d/1CaLR8gtRCp0-wyyH0y5IvQnenreOSKFOo8AF4Pfpekc/edit?gid=400822622#gid=400822622"", ""GRADE 11!Z""&amp;ROW(AA46))"),0.0)</f>
        <v>0</v>
      </c>
      <c r="N49" s="40" t="str">
        <f t="shared" si="3"/>
        <v>COMPLETE</v>
      </c>
    </row>
    <row r="50">
      <c r="A50" s="28" t="s">
        <v>19</v>
      </c>
      <c r="B50" s="29">
        <v>40.0</v>
      </c>
      <c r="C50" s="30" t="s">
        <v>106</v>
      </c>
      <c r="D50" s="31" t="s">
        <v>88</v>
      </c>
      <c r="E50" s="32" t="s">
        <v>107</v>
      </c>
      <c r="F50" s="33" t="s">
        <v>27</v>
      </c>
      <c r="G50" s="34">
        <v>9.0</v>
      </c>
      <c r="H50" s="34">
        <v>21.0</v>
      </c>
      <c r="I50" s="35">
        <f t="shared" si="1"/>
        <v>30</v>
      </c>
      <c r="J50" s="36">
        <f t="shared" si="2"/>
        <v>9</v>
      </c>
      <c r="K50" s="37">
        <f>IFERROR(__xludf.DUMMYFUNCTION("IMPORTRANGE(""https://docs.google.com/spreadsheets/d/1CaLR8gtRCp0-wyyH0y5IvQnenreOSKFOo8AF4Pfpekc/edit?gid=400822622#gid=400822622"", ""GRADE 11!X""&amp;ROW(Y47))"),9.0)</f>
        <v>9</v>
      </c>
      <c r="L50" s="38">
        <f>IFERROR(__xludf.DUMMYFUNCTION("IMPORTRANGE(""https://docs.google.com/spreadsheets/d/1CaLR8gtRCp0-wyyH0y5IvQnenreOSKFOo8AF4Pfpekc/edit?gid=400822622#gid=400822622"", ""GRADE 11!Y""&amp;ROW(Z47))"),0.0)</f>
        <v>0</v>
      </c>
      <c r="M50" s="39">
        <f>IFERROR(__xludf.DUMMYFUNCTION("IMPORTRANGE(""https://docs.google.com/spreadsheets/d/1CaLR8gtRCp0-wyyH0y5IvQnenreOSKFOo8AF4Pfpekc/edit?gid=400822622#gid=400822622"", ""GRADE 11!Z""&amp;ROW(AA47))"),0.0)</f>
        <v>0</v>
      </c>
      <c r="N50" s="40" t="str">
        <f t="shared" si="3"/>
        <v>COMPLETE</v>
      </c>
    </row>
    <row r="51">
      <c r="A51" s="28" t="s">
        <v>19</v>
      </c>
      <c r="B51" s="29">
        <v>41.0</v>
      </c>
      <c r="C51" s="30" t="s">
        <v>108</v>
      </c>
      <c r="D51" s="31" t="s">
        <v>88</v>
      </c>
      <c r="E51" s="32" t="s">
        <v>109</v>
      </c>
      <c r="F51" s="33" t="s">
        <v>55</v>
      </c>
      <c r="G51" s="34">
        <v>18.0</v>
      </c>
      <c r="H51" s="34">
        <v>11.0</v>
      </c>
      <c r="I51" s="35">
        <f t="shared" si="1"/>
        <v>29</v>
      </c>
      <c r="J51" s="36">
        <f t="shared" si="2"/>
        <v>8</v>
      </c>
      <c r="K51" s="37">
        <f>IFERROR(__xludf.DUMMYFUNCTION("IMPORTRANGE(""https://docs.google.com/spreadsheets/d/1CaLR8gtRCp0-wyyH0y5IvQnenreOSKFOo8AF4Pfpekc/edit?gid=400822622#gid=400822622"", ""GRADE 11!X""&amp;ROW(Y48))"),8.0)</f>
        <v>8</v>
      </c>
      <c r="L51" s="38">
        <f>IFERROR(__xludf.DUMMYFUNCTION("IMPORTRANGE(""https://docs.google.com/spreadsheets/d/1CaLR8gtRCp0-wyyH0y5IvQnenreOSKFOo8AF4Pfpekc/edit?gid=400822622#gid=400822622"", ""GRADE 11!Y""&amp;ROW(Z48))"),0.0)</f>
        <v>0</v>
      </c>
      <c r="M51" s="39">
        <f>IFERROR(__xludf.DUMMYFUNCTION("IMPORTRANGE(""https://docs.google.com/spreadsheets/d/1CaLR8gtRCp0-wyyH0y5IvQnenreOSKFOo8AF4Pfpekc/edit?gid=400822622#gid=400822622"", ""GRADE 11!Z""&amp;ROW(AA48))"),0.0)</f>
        <v>0</v>
      </c>
      <c r="N51" s="40" t="str">
        <f t="shared" si="3"/>
        <v>COMPLETE</v>
      </c>
    </row>
    <row r="52">
      <c r="A52" s="28" t="s">
        <v>19</v>
      </c>
      <c r="B52" s="29">
        <v>42.0</v>
      </c>
      <c r="C52" s="30" t="s">
        <v>110</v>
      </c>
      <c r="D52" s="31" t="s">
        <v>88</v>
      </c>
      <c r="E52" s="32" t="s">
        <v>111</v>
      </c>
      <c r="F52" s="33" t="s">
        <v>72</v>
      </c>
      <c r="G52" s="34">
        <v>12.0</v>
      </c>
      <c r="H52" s="34">
        <v>19.0</v>
      </c>
      <c r="I52" s="35">
        <f t="shared" si="1"/>
        <v>31</v>
      </c>
      <c r="J52" s="36">
        <f t="shared" si="2"/>
        <v>8</v>
      </c>
      <c r="K52" s="37">
        <f>IFERROR(__xludf.DUMMYFUNCTION("IMPORTRANGE(""https://docs.google.com/spreadsheets/d/1CaLR8gtRCp0-wyyH0y5IvQnenreOSKFOo8AF4Pfpekc/edit?gid=400822622#gid=400822622"", ""GRADE 11!X""&amp;ROW(Y49))"),8.0)</f>
        <v>8</v>
      </c>
      <c r="L52" s="38">
        <f>IFERROR(__xludf.DUMMYFUNCTION("IMPORTRANGE(""https://docs.google.com/spreadsheets/d/1CaLR8gtRCp0-wyyH0y5IvQnenreOSKFOo8AF4Pfpekc/edit?gid=400822622#gid=400822622"", ""GRADE 11!Y""&amp;ROW(Z49))"),0.0)</f>
        <v>0</v>
      </c>
      <c r="M52" s="39">
        <f>IFERROR(__xludf.DUMMYFUNCTION("IMPORTRANGE(""https://docs.google.com/spreadsheets/d/1CaLR8gtRCp0-wyyH0y5IvQnenreOSKFOo8AF4Pfpekc/edit?gid=400822622#gid=400822622"", ""GRADE 11!Z""&amp;ROW(AA49))"),0.0)</f>
        <v>0</v>
      </c>
      <c r="N52" s="40" t="str">
        <f t="shared" si="3"/>
        <v>COMPLETE</v>
      </c>
    </row>
    <row r="53">
      <c r="A53" s="28" t="s">
        <v>19</v>
      </c>
      <c r="B53" s="29">
        <v>43.0</v>
      </c>
      <c r="C53" s="30" t="s">
        <v>112</v>
      </c>
      <c r="D53" s="31" t="s">
        <v>88</v>
      </c>
      <c r="E53" s="32" t="s">
        <v>113</v>
      </c>
      <c r="F53" s="33" t="s">
        <v>43</v>
      </c>
      <c r="G53" s="34">
        <v>20.0</v>
      </c>
      <c r="H53" s="34">
        <v>11.0</v>
      </c>
      <c r="I53" s="35">
        <f t="shared" si="1"/>
        <v>31</v>
      </c>
      <c r="J53" s="36">
        <f t="shared" si="2"/>
        <v>8</v>
      </c>
      <c r="K53" s="37">
        <f>IFERROR(__xludf.DUMMYFUNCTION("IMPORTRANGE(""https://docs.google.com/spreadsheets/d/1CaLR8gtRCp0-wyyH0y5IvQnenreOSKFOo8AF4Pfpekc/edit?gid=400822622#gid=400822622"", ""GRADE 11!X""&amp;ROW(Y50))"),0.0)</f>
        <v>0</v>
      </c>
      <c r="L53" s="38">
        <f>IFERROR(__xludf.DUMMYFUNCTION("IMPORTRANGE(""https://docs.google.com/spreadsheets/d/1CaLR8gtRCp0-wyyH0y5IvQnenreOSKFOo8AF4Pfpekc/edit?gid=400822622#gid=400822622"", ""GRADE 11!Y""&amp;ROW(Z50))"),8.0)</f>
        <v>8</v>
      </c>
      <c r="M53" s="39">
        <f>IFERROR(__xludf.DUMMYFUNCTION("IMPORTRANGE(""https://docs.google.com/spreadsheets/d/1CaLR8gtRCp0-wyyH0y5IvQnenreOSKFOo8AF4Pfpekc/edit?gid=400822622#gid=400822622"", ""GRADE 11!Z""&amp;ROW(AA50))"),-8.0)</f>
        <v>-8</v>
      </c>
      <c r="N53" s="40" t="str">
        <f t="shared" si="3"/>
        <v>INCOMPLETE</v>
      </c>
    </row>
    <row r="54">
      <c r="A54" s="28" t="s">
        <v>19</v>
      </c>
      <c r="B54" s="29">
        <v>44.0</v>
      </c>
      <c r="C54" s="30" t="s">
        <v>114</v>
      </c>
      <c r="D54" s="31" t="s">
        <v>88</v>
      </c>
      <c r="E54" s="32" t="s">
        <v>115</v>
      </c>
      <c r="F54" s="33" t="s">
        <v>72</v>
      </c>
      <c r="G54" s="34">
        <v>19.0</v>
      </c>
      <c r="H54" s="34">
        <v>12.0</v>
      </c>
      <c r="I54" s="35">
        <f t="shared" si="1"/>
        <v>31</v>
      </c>
      <c r="J54" s="36">
        <f t="shared" si="2"/>
        <v>8</v>
      </c>
      <c r="K54" s="37">
        <f>IFERROR(__xludf.DUMMYFUNCTION("IMPORTRANGE(""https://docs.google.com/spreadsheets/d/1CaLR8gtRCp0-wyyH0y5IvQnenreOSKFOo8AF4Pfpekc/edit?gid=400822622#gid=400822622"", ""GRADE 11!X""&amp;ROW(Y51))"),8.0)</f>
        <v>8</v>
      </c>
      <c r="L54" s="38">
        <f>IFERROR(__xludf.DUMMYFUNCTION("IMPORTRANGE(""https://docs.google.com/spreadsheets/d/1CaLR8gtRCp0-wyyH0y5IvQnenreOSKFOo8AF4Pfpekc/edit?gid=400822622#gid=400822622"", ""GRADE 11!Y""&amp;ROW(Z51))"),0.0)</f>
        <v>0</v>
      </c>
      <c r="M54" s="39">
        <f>IFERROR(__xludf.DUMMYFUNCTION("IMPORTRANGE(""https://docs.google.com/spreadsheets/d/1CaLR8gtRCp0-wyyH0y5IvQnenreOSKFOo8AF4Pfpekc/edit?gid=400822622#gid=400822622"", ""GRADE 11!Z""&amp;ROW(AA51))"),0.0)</f>
        <v>0</v>
      </c>
      <c r="N54" s="40" t="str">
        <f t="shared" si="3"/>
        <v>COMPLETE</v>
      </c>
    </row>
    <row r="55">
      <c r="A55" s="28" t="s">
        <v>19</v>
      </c>
      <c r="B55" s="29">
        <v>45.0</v>
      </c>
      <c r="C55" s="30" t="s">
        <v>116</v>
      </c>
      <c r="D55" s="31" t="s">
        <v>88</v>
      </c>
      <c r="E55" s="32" t="s">
        <v>117</v>
      </c>
      <c r="F55" s="33" t="s">
        <v>43</v>
      </c>
      <c r="G55" s="34">
        <v>18.0</v>
      </c>
      <c r="H55" s="34">
        <v>12.0</v>
      </c>
      <c r="I55" s="35">
        <f t="shared" si="1"/>
        <v>30</v>
      </c>
      <c r="J55" s="36">
        <f t="shared" si="2"/>
        <v>8</v>
      </c>
      <c r="K55" s="37">
        <f>IFERROR(__xludf.DUMMYFUNCTION("IMPORTRANGE(""https://docs.google.com/spreadsheets/d/1CaLR8gtRCp0-wyyH0y5IvQnenreOSKFOo8AF4Pfpekc/edit?gid=400822622#gid=400822622"", ""GRADE 11!X""&amp;ROW(Y52))"),8.0)</f>
        <v>8</v>
      </c>
      <c r="L55" s="38">
        <f>IFERROR(__xludf.DUMMYFUNCTION("IMPORTRANGE(""https://docs.google.com/spreadsheets/d/1CaLR8gtRCp0-wyyH0y5IvQnenreOSKFOo8AF4Pfpekc/edit?gid=400822622#gid=400822622"", ""GRADE 11!Y""&amp;ROW(Z52))"),0.0)</f>
        <v>0</v>
      </c>
      <c r="M55" s="39">
        <f>IFERROR(__xludf.DUMMYFUNCTION("IMPORTRANGE(""https://docs.google.com/spreadsheets/d/1CaLR8gtRCp0-wyyH0y5IvQnenreOSKFOo8AF4Pfpekc/edit?gid=400822622#gid=400822622"", ""GRADE 11!Z""&amp;ROW(AA52))"),0.0)</f>
        <v>0</v>
      </c>
      <c r="N55" s="40" t="str">
        <f t="shared" si="3"/>
        <v>COMPLETE</v>
      </c>
    </row>
    <row r="56">
      <c r="A56" s="28" t="s">
        <v>19</v>
      </c>
      <c r="B56" s="29">
        <v>46.0</v>
      </c>
      <c r="C56" s="30" t="s">
        <v>118</v>
      </c>
      <c r="D56" s="31" t="s">
        <v>119</v>
      </c>
      <c r="E56" s="32" t="s">
        <v>120</v>
      </c>
      <c r="F56" s="33" t="s">
        <v>27</v>
      </c>
      <c r="G56" s="34">
        <v>24.0</v>
      </c>
      <c r="H56" s="34">
        <v>29.0</v>
      </c>
      <c r="I56" s="35">
        <f t="shared" si="1"/>
        <v>53</v>
      </c>
      <c r="J56" s="36">
        <f t="shared" si="2"/>
        <v>8</v>
      </c>
      <c r="K56" s="37">
        <f>IFERROR(__xludf.DUMMYFUNCTION("IMPORTRANGE(""https://docs.google.com/spreadsheets/d/1CaLR8gtRCp0-wyyH0y5IvQnenreOSKFOo8AF4Pfpekc/edit?gid=400822622#gid=400822622"", ""GRADE 11!X""&amp;ROW(Y53))"),8.0)</f>
        <v>8</v>
      </c>
      <c r="L56" s="38">
        <f>IFERROR(__xludf.DUMMYFUNCTION("IMPORTRANGE(""https://docs.google.com/spreadsheets/d/1CaLR8gtRCp0-wyyH0y5IvQnenreOSKFOo8AF4Pfpekc/edit?gid=400822622#gid=400822622"", ""GRADE 11!Y""&amp;ROW(Z53))"),0.0)</f>
        <v>0</v>
      </c>
      <c r="M56" s="39">
        <f>IFERROR(__xludf.DUMMYFUNCTION("IMPORTRANGE(""https://docs.google.com/spreadsheets/d/1CaLR8gtRCp0-wyyH0y5IvQnenreOSKFOo8AF4Pfpekc/edit?gid=400822622#gid=400822622"", ""GRADE 11!Z""&amp;ROW(AA53))"),0.0)</f>
        <v>0</v>
      </c>
      <c r="N56" s="40" t="str">
        <f t="shared" si="3"/>
        <v>COMPLETE</v>
      </c>
    </row>
    <row r="57">
      <c r="A57" s="28" t="s">
        <v>19</v>
      </c>
      <c r="B57" s="29">
        <v>47.0</v>
      </c>
      <c r="C57" s="30" t="s">
        <v>121</v>
      </c>
      <c r="D57" s="31" t="s">
        <v>119</v>
      </c>
      <c r="E57" s="32" t="s">
        <v>122</v>
      </c>
      <c r="F57" s="33" t="s">
        <v>30</v>
      </c>
      <c r="G57" s="34">
        <v>21.0</v>
      </c>
      <c r="H57" s="34">
        <v>29.0</v>
      </c>
      <c r="I57" s="35">
        <f t="shared" si="1"/>
        <v>50</v>
      </c>
      <c r="J57" s="36">
        <f t="shared" si="2"/>
        <v>8</v>
      </c>
      <c r="K57" s="37">
        <f>IFERROR(__xludf.DUMMYFUNCTION("IMPORTRANGE(""https://docs.google.com/spreadsheets/d/1CaLR8gtRCp0-wyyH0y5IvQnenreOSKFOo8AF4Pfpekc/edit?gid=400822622#gid=400822622"", ""GRADE 11!X""&amp;ROW(Y54))"),0.0)</f>
        <v>0</v>
      </c>
      <c r="L57" s="38">
        <f>IFERROR(__xludf.DUMMYFUNCTION("IMPORTRANGE(""https://docs.google.com/spreadsheets/d/1CaLR8gtRCp0-wyyH0y5IvQnenreOSKFOo8AF4Pfpekc/edit?gid=400822622#gid=400822622"", ""GRADE 11!Y""&amp;ROW(Z54))"),8.0)</f>
        <v>8</v>
      </c>
      <c r="M57" s="39">
        <f>IFERROR(__xludf.DUMMYFUNCTION("IMPORTRANGE(""https://docs.google.com/spreadsheets/d/1CaLR8gtRCp0-wyyH0y5IvQnenreOSKFOo8AF4Pfpekc/edit?gid=400822622#gid=400822622"", ""GRADE 11!Z""&amp;ROW(AA54))"),-8.0)</f>
        <v>-8</v>
      </c>
      <c r="N57" s="40" t="str">
        <f t="shared" si="3"/>
        <v>INCOMPLETE</v>
      </c>
    </row>
    <row r="58">
      <c r="A58" s="28" t="s">
        <v>19</v>
      </c>
      <c r="B58" s="29">
        <v>48.0</v>
      </c>
      <c r="C58" s="30" t="s">
        <v>123</v>
      </c>
      <c r="D58" s="31" t="s">
        <v>119</v>
      </c>
      <c r="E58" s="32" t="s">
        <v>124</v>
      </c>
      <c r="F58" s="33" t="s">
        <v>72</v>
      </c>
      <c r="G58" s="34">
        <v>23.0</v>
      </c>
      <c r="H58" s="34">
        <v>30.0</v>
      </c>
      <c r="I58" s="35">
        <f t="shared" si="1"/>
        <v>53</v>
      </c>
      <c r="J58" s="36">
        <f t="shared" si="2"/>
        <v>8</v>
      </c>
      <c r="K58" s="37">
        <f>IFERROR(__xludf.DUMMYFUNCTION("IMPORTRANGE(""https://docs.google.com/spreadsheets/d/1CaLR8gtRCp0-wyyH0y5IvQnenreOSKFOo8AF4Pfpekc/edit?gid=400822622#gid=400822622"", ""GRADE 11!X""&amp;ROW(Y55))"),8.0)</f>
        <v>8</v>
      </c>
      <c r="L58" s="38">
        <f>IFERROR(__xludf.DUMMYFUNCTION("IMPORTRANGE(""https://docs.google.com/spreadsheets/d/1CaLR8gtRCp0-wyyH0y5IvQnenreOSKFOo8AF4Pfpekc/edit?gid=400822622#gid=400822622"", ""GRADE 11!Y""&amp;ROW(Z55))"),0.0)</f>
        <v>0</v>
      </c>
      <c r="M58" s="39">
        <f>IFERROR(__xludf.DUMMYFUNCTION("IMPORTRANGE(""https://docs.google.com/spreadsheets/d/1CaLR8gtRCp0-wyyH0y5IvQnenreOSKFOo8AF4Pfpekc/edit?gid=400822622#gid=400822622"", ""GRADE 11!Z""&amp;ROW(AA55))"),0.0)</f>
        <v>0</v>
      </c>
      <c r="N58" s="40" t="str">
        <f t="shared" si="3"/>
        <v>COMPLETE</v>
      </c>
    </row>
    <row r="59">
      <c r="A59" s="28" t="s">
        <v>19</v>
      </c>
      <c r="B59" s="29">
        <v>49.0</v>
      </c>
      <c r="C59" s="30" t="s">
        <v>125</v>
      </c>
      <c r="D59" s="31" t="s">
        <v>119</v>
      </c>
      <c r="E59" s="32" t="s">
        <v>126</v>
      </c>
      <c r="F59" s="33" t="s">
        <v>61</v>
      </c>
      <c r="G59" s="34">
        <v>27.0</v>
      </c>
      <c r="H59" s="34">
        <v>23.0</v>
      </c>
      <c r="I59" s="35">
        <f t="shared" si="1"/>
        <v>50</v>
      </c>
      <c r="J59" s="36">
        <f t="shared" si="2"/>
        <v>8</v>
      </c>
      <c r="K59" s="37">
        <f>IFERROR(__xludf.DUMMYFUNCTION("IMPORTRANGE(""https://docs.google.com/spreadsheets/d/1CaLR8gtRCp0-wyyH0y5IvQnenreOSKFOo8AF4Pfpekc/edit?gid=400822622#gid=400822622"", ""GRADE 11!X""&amp;ROW(Y56))"),8.0)</f>
        <v>8</v>
      </c>
      <c r="L59" s="38">
        <f>IFERROR(__xludf.DUMMYFUNCTION("IMPORTRANGE(""https://docs.google.com/spreadsheets/d/1CaLR8gtRCp0-wyyH0y5IvQnenreOSKFOo8AF4Pfpekc/edit?gid=400822622#gid=400822622"", ""GRADE 11!Y""&amp;ROW(Z56))"),0.0)</f>
        <v>0</v>
      </c>
      <c r="M59" s="39">
        <f>IFERROR(__xludf.DUMMYFUNCTION("IMPORTRANGE(""https://docs.google.com/spreadsheets/d/1CaLR8gtRCp0-wyyH0y5IvQnenreOSKFOo8AF4Pfpekc/edit?gid=400822622#gid=400822622"", ""GRADE 11!Z""&amp;ROW(AA56))"),0.0)</f>
        <v>0</v>
      </c>
      <c r="N59" s="40" t="str">
        <f t="shared" si="3"/>
        <v>COMPLETE</v>
      </c>
    </row>
    <row r="60">
      <c r="A60" s="28" t="s">
        <v>19</v>
      </c>
      <c r="B60" s="29">
        <v>50.0</v>
      </c>
      <c r="C60" s="30" t="s">
        <v>127</v>
      </c>
      <c r="D60" s="31" t="s">
        <v>119</v>
      </c>
      <c r="E60" s="32" t="s">
        <v>128</v>
      </c>
      <c r="F60" s="33" t="s">
        <v>27</v>
      </c>
      <c r="G60" s="34">
        <v>24.0</v>
      </c>
      <c r="H60" s="34">
        <v>28.0</v>
      </c>
      <c r="I60" s="35">
        <f t="shared" si="1"/>
        <v>52</v>
      </c>
      <c r="J60" s="36">
        <f t="shared" si="2"/>
        <v>8</v>
      </c>
      <c r="K60" s="37">
        <f>IFERROR(__xludf.DUMMYFUNCTION("IMPORTRANGE(""https://docs.google.com/spreadsheets/d/1CaLR8gtRCp0-wyyH0y5IvQnenreOSKFOo8AF4Pfpekc/edit?gid=400822622#gid=400822622"", ""GRADE 11!X""&amp;ROW(Y57))"),8.0)</f>
        <v>8</v>
      </c>
      <c r="L60" s="38">
        <f>IFERROR(__xludf.DUMMYFUNCTION("IMPORTRANGE(""https://docs.google.com/spreadsheets/d/1CaLR8gtRCp0-wyyH0y5IvQnenreOSKFOo8AF4Pfpekc/edit?gid=400822622#gid=400822622"", ""GRADE 11!Y""&amp;ROW(Z57))"),0.0)</f>
        <v>0</v>
      </c>
      <c r="M60" s="39">
        <f>IFERROR(__xludf.DUMMYFUNCTION("IMPORTRANGE(""https://docs.google.com/spreadsheets/d/1CaLR8gtRCp0-wyyH0y5IvQnenreOSKFOo8AF4Pfpekc/edit?gid=400822622#gid=400822622"", ""GRADE 11!Z""&amp;ROW(AA57))"),0.0)</f>
        <v>0</v>
      </c>
      <c r="N60" s="40" t="str">
        <f t="shared" si="3"/>
        <v>COMPLETE</v>
      </c>
    </row>
    <row r="61">
      <c r="A61" s="28" t="s">
        <v>19</v>
      </c>
      <c r="B61" s="29">
        <v>51.0</v>
      </c>
      <c r="C61" s="30" t="s">
        <v>129</v>
      </c>
      <c r="D61" s="31" t="s">
        <v>119</v>
      </c>
      <c r="E61" s="32" t="s">
        <v>130</v>
      </c>
      <c r="F61" s="33" t="s">
        <v>72</v>
      </c>
      <c r="G61" s="34">
        <v>23.0</v>
      </c>
      <c r="H61" s="34">
        <v>28.0</v>
      </c>
      <c r="I61" s="35">
        <f t="shared" si="1"/>
        <v>51</v>
      </c>
      <c r="J61" s="36">
        <f t="shared" si="2"/>
        <v>7</v>
      </c>
      <c r="K61" s="37">
        <f>IFERROR(__xludf.DUMMYFUNCTION("IMPORTRANGE(""https://docs.google.com/spreadsheets/d/1CaLR8gtRCp0-wyyH0y5IvQnenreOSKFOo8AF4Pfpekc/edit?gid=400822622#gid=400822622"", ""GRADE 11!X""&amp;ROW(Y58))"),7.0)</f>
        <v>7</v>
      </c>
      <c r="L61" s="38">
        <f>IFERROR(__xludf.DUMMYFUNCTION("IMPORTRANGE(""https://docs.google.com/spreadsheets/d/1CaLR8gtRCp0-wyyH0y5IvQnenreOSKFOo8AF4Pfpekc/edit?gid=400822622#gid=400822622"", ""GRADE 11!Y""&amp;ROW(Z58))"),0.0)</f>
        <v>0</v>
      </c>
      <c r="M61" s="39">
        <f>IFERROR(__xludf.DUMMYFUNCTION("IMPORTRANGE(""https://docs.google.com/spreadsheets/d/1CaLR8gtRCp0-wyyH0y5IvQnenreOSKFOo8AF4Pfpekc/edit?gid=400822622#gid=400822622"", ""GRADE 11!Z""&amp;ROW(AA58))"),0.0)</f>
        <v>0</v>
      </c>
      <c r="N61" s="40" t="str">
        <f t="shared" si="3"/>
        <v>COMPLETE</v>
      </c>
    </row>
    <row r="62">
      <c r="A62" s="28" t="s">
        <v>19</v>
      </c>
      <c r="B62" s="29">
        <v>52.0</v>
      </c>
      <c r="C62" s="30" t="s">
        <v>131</v>
      </c>
      <c r="D62" s="31" t="s">
        <v>119</v>
      </c>
      <c r="E62" s="32" t="s">
        <v>132</v>
      </c>
      <c r="F62" s="33" t="s">
        <v>27</v>
      </c>
      <c r="G62" s="34">
        <v>23.0</v>
      </c>
      <c r="H62" s="34">
        <v>28.0</v>
      </c>
      <c r="I62" s="35">
        <f t="shared" si="1"/>
        <v>51</v>
      </c>
      <c r="J62" s="36">
        <f t="shared" si="2"/>
        <v>7</v>
      </c>
      <c r="K62" s="37">
        <f>IFERROR(__xludf.DUMMYFUNCTION("IMPORTRANGE(""https://docs.google.com/spreadsheets/d/1CaLR8gtRCp0-wyyH0y5IvQnenreOSKFOo8AF4Pfpekc/edit?gid=400822622#gid=400822622"", ""GRADE 11!X""&amp;ROW(Y59))"),7.0)</f>
        <v>7</v>
      </c>
      <c r="L62" s="38">
        <f>IFERROR(__xludf.DUMMYFUNCTION("IMPORTRANGE(""https://docs.google.com/spreadsheets/d/1CaLR8gtRCp0-wyyH0y5IvQnenreOSKFOo8AF4Pfpekc/edit?gid=400822622#gid=400822622"", ""GRADE 11!Y""&amp;ROW(Z59))"),0.0)</f>
        <v>0</v>
      </c>
      <c r="M62" s="39">
        <f>IFERROR(__xludf.DUMMYFUNCTION("IMPORTRANGE(""https://docs.google.com/spreadsheets/d/1CaLR8gtRCp0-wyyH0y5IvQnenreOSKFOo8AF4Pfpekc/edit?gid=400822622#gid=400822622"", ""GRADE 11!Z""&amp;ROW(AA59))"),0.0)</f>
        <v>0</v>
      </c>
      <c r="N62" s="40" t="str">
        <f t="shared" si="3"/>
        <v>COMPLETE</v>
      </c>
    </row>
    <row r="63">
      <c r="A63" s="28" t="s">
        <v>19</v>
      </c>
      <c r="B63" s="29">
        <v>53.0</v>
      </c>
      <c r="C63" s="30" t="s">
        <v>133</v>
      </c>
      <c r="D63" s="31" t="s">
        <v>119</v>
      </c>
      <c r="E63" s="32" t="s">
        <v>134</v>
      </c>
      <c r="F63" s="33" t="s">
        <v>30</v>
      </c>
      <c r="G63" s="34">
        <v>22.0</v>
      </c>
      <c r="H63" s="34">
        <v>27.0</v>
      </c>
      <c r="I63" s="35">
        <f t="shared" si="1"/>
        <v>49</v>
      </c>
      <c r="J63" s="36">
        <f t="shared" si="2"/>
        <v>7</v>
      </c>
      <c r="K63" s="37">
        <f>IFERROR(__xludf.DUMMYFUNCTION("IMPORTRANGE(""https://docs.google.com/spreadsheets/d/1CaLR8gtRCp0-wyyH0y5IvQnenreOSKFOo8AF4Pfpekc/edit?gid=400822622#gid=400822622"", ""GRADE 11!X""&amp;ROW(Y60))"),7.0)</f>
        <v>7</v>
      </c>
      <c r="L63" s="38">
        <f>IFERROR(__xludf.DUMMYFUNCTION("IMPORTRANGE(""https://docs.google.com/spreadsheets/d/1CaLR8gtRCp0-wyyH0y5IvQnenreOSKFOo8AF4Pfpekc/edit?gid=400822622#gid=400822622"", ""GRADE 11!Y""&amp;ROW(Z60))"),0.0)</f>
        <v>0</v>
      </c>
      <c r="M63" s="39">
        <f>IFERROR(__xludf.DUMMYFUNCTION("IMPORTRANGE(""https://docs.google.com/spreadsheets/d/1CaLR8gtRCp0-wyyH0y5IvQnenreOSKFOo8AF4Pfpekc/edit?gid=400822622#gid=400822622"", ""GRADE 11!Z""&amp;ROW(AA60))"),0.0)</f>
        <v>0</v>
      </c>
      <c r="N63" s="40" t="str">
        <f t="shared" si="3"/>
        <v>COMPLETE</v>
      </c>
    </row>
    <row r="64">
      <c r="A64" s="28" t="s">
        <v>19</v>
      </c>
      <c r="B64" s="29">
        <v>54.0</v>
      </c>
      <c r="C64" s="30" t="s">
        <v>135</v>
      </c>
      <c r="D64" s="31" t="s">
        <v>119</v>
      </c>
      <c r="E64" s="32" t="s">
        <v>136</v>
      </c>
      <c r="F64" s="33" t="s">
        <v>55</v>
      </c>
      <c r="G64" s="34">
        <v>29.0</v>
      </c>
      <c r="H64" s="34">
        <v>23.0</v>
      </c>
      <c r="I64" s="35">
        <f t="shared" si="1"/>
        <v>52</v>
      </c>
      <c r="J64" s="36">
        <f t="shared" si="2"/>
        <v>7</v>
      </c>
      <c r="K64" s="37">
        <f>IFERROR(__xludf.DUMMYFUNCTION("IMPORTRANGE(""https://docs.google.com/spreadsheets/d/1CaLR8gtRCp0-wyyH0y5IvQnenreOSKFOo8AF4Pfpekc/edit?gid=400822622#gid=400822622"", ""GRADE 11!X""&amp;ROW(Y61))"),7.0)</f>
        <v>7</v>
      </c>
      <c r="L64" s="38">
        <f>IFERROR(__xludf.DUMMYFUNCTION("IMPORTRANGE(""https://docs.google.com/spreadsheets/d/1CaLR8gtRCp0-wyyH0y5IvQnenreOSKFOo8AF4Pfpekc/edit?gid=400822622#gid=400822622"", ""GRADE 11!Y""&amp;ROW(Z61))"),0.0)</f>
        <v>0</v>
      </c>
      <c r="M64" s="39">
        <f>IFERROR(__xludf.DUMMYFUNCTION("IMPORTRANGE(""https://docs.google.com/spreadsheets/d/1CaLR8gtRCp0-wyyH0y5IvQnenreOSKFOo8AF4Pfpekc/edit?gid=400822622#gid=400822622"", ""GRADE 11!Z""&amp;ROW(AA61))"),0.0)</f>
        <v>0</v>
      </c>
      <c r="N64" s="40" t="str">
        <f t="shared" si="3"/>
        <v>COMPLETE</v>
      </c>
    </row>
    <row r="65">
      <c r="A65" s="28" t="s">
        <v>19</v>
      </c>
      <c r="B65" s="29">
        <v>55.0</v>
      </c>
      <c r="C65" s="30" t="s">
        <v>137</v>
      </c>
      <c r="D65" s="31" t="s">
        <v>138</v>
      </c>
      <c r="E65" s="32" t="s">
        <v>139</v>
      </c>
      <c r="F65" s="33" t="s">
        <v>27</v>
      </c>
      <c r="G65" s="34">
        <v>8.0</v>
      </c>
      <c r="H65" s="34">
        <v>48.0</v>
      </c>
      <c r="I65" s="35">
        <f t="shared" si="1"/>
        <v>56</v>
      </c>
      <c r="J65" s="36">
        <f t="shared" si="2"/>
        <v>7</v>
      </c>
      <c r="K65" s="37">
        <f>IFERROR(__xludf.DUMMYFUNCTION("IMPORTRANGE(""https://docs.google.com/spreadsheets/d/1CaLR8gtRCp0-wyyH0y5IvQnenreOSKFOo8AF4Pfpekc/edit?gid=400822622#gid=400822622"", ""GRADE 11!X""&amp;ROW(Y62))"),7.0)</f>
        <v>7</v>
      </c>
      <c r="L65" s="38">
        <f>IFERROR(__xludf.DUMMYFUNCTION("IMPORTRANGE(""https://docs.google.com/spreadsheets/d/1CaLR8gtRCp0-wyyH0y5IvQnenreOSKFOo8AF4Pfpekc/edit?gid=400822622#gid=400822622"", ""GRADE 11!Y""&amp;ROW(Z62))"),0.0)</f>
        <v>0</v>
      </c>
      <c r="M65" s="39">
        <f>IFERROR(__xludf.DUMMYFUNCTION("IMPORTRANGE(""https://docs.google.com/spreadsheets/d/1CaLR8gtRCp0-wyyH0y5IvQnenreOSKFOo8AF4Pfpekc/edit?gid=400822622#gid=400822622"", ""GRADE 11!Z""&amp;ROW(AA62))"),0.0)</f>
        <v>0</v>
      </c>
      <c r="N65" s="40" t="str">
        <f t="shared" si="3"/>
        <v>COMPLETE</v>
      </c>
    </row>
    <row r="66">
      <c r="A66" s="28" t="s">
        <v>19</v>
      </c>
      <c r="B66" s="29">
        <v>56.0</v>
      </c>
      <c r="C66" s="30" t="s">
        <v>140</v>
      </c>
      <c r="D66" s="31" t="s">
        <v>141</v>
      </c>
      <c r="E66" s="32" t="s">
        <v>142</v>
      </c>
      <c r="F66" s="33" t="s">
        <v>30</v>
      </c>
      <c r="G66" s="34">
        <v>30.0</v>
      </c>
      <c r="H66" s="34">
        <v>5.0</v>
      </c>
      <c r="I66" s="35">
        <f t="shared" si="1"/>
        <v>35</v>
      </c>
      <c r="J66" s="36">
        <f t="shared" si="2"/>
        <v>8</v>
      </c>
      <c r="K66" s="37">
        <f>IFERROR(__xludf.DUMMYFUNCTION("IMPORTRANGE(""https://docs.google.com/spreadsheets/d/1CaLR8gtRCp0-wyyH0y5IvQnenreOSKFOo8AF4Pfpekc/edit?gid=400822622#gid=400822622"", ""GRADE 11!X""&amp;ROW(Y63))"),8.0)</f>
        <v>8</v>
      </c>
      <c r="L66" s="38">
        <f>IFERROR(__xludf.DUMMYFUNCTION("IMPORTRANGE(""https://docs.google.com/spreadsheets/d/1CaLR8gtRCp0-wyyH0y5IvQnenreOSKFOo8AF4Pfpekc/edit?gid=400822622#gid=400822622"", ""GRADE 11!Y""&amp;ROW(Z63))"),0.0)</f>
        <v>0</v>
      </c>
      <c r="M66" s="39">
        <f>IFERROR(__xludf.DUMMYFUNCTION("IMPORTRANGE(""https://docs.google.com/spreadsheets/d/1CaLR8gtRCp0-wyyH0y5IvQnenreOSKFOo8AF4Pfpekc/edit?gid=400822622#gid=400822622"", ""GRADE 11!Z""&amp;ROW(AA63))"),0.0)</f>
        <v>0</v>
      </c>
      <c r="N66" s="40" t="str">
        <f t="shared" si="3"/>
        <v>COMPLETE</v>
      </c>
    </row>
    <row r="67">
      <c r="A67" s="28" t="s">
        <v>19</v>
      </c>
      <c r="B67" s="29">
        <v>57.0</v>
      </c>
      <c r="C67" s="30" t="s">
        <v>143</v>
      </c>
      <c r="D67" s="31" t="s">
        <v>141</v>
      </c>
      <c r="E67" s="32" t="s">
        <v>144</v>
      </c>
      <c r="F67" s="33" t="s">
        <v>72</v>
      </c>
      <c r="G67" s="34">
        <v>26.0</v>
      </c>
      <c r="H67" s="34">
        <v>12.0</v>
      </c>
      <c r="I67" s="35">
        <f t="shared" si="1"/>
        <v>38</v>
      </c>
      <c r="J67" s="36">
        <f t="shared" si="2"/>
        <v>8</v>
      </c>
      <c r="K67" s="37">
        <f>IFERROR(__xludf.DUMMYFUNCTION("IMPORTRANGE(""https://docs.google.com/spreadsheets/d/1CaLR8gtRCp0-wyyH0y5IvQnenreOSKFOo8AF4Pfpekc/edit?gid=400822622#gid=400822622"", ""GRADE 11!X""&amp;ROW(Y64))"),0.0)</f>
        <v>0</v>
      </c>
      <c r="L67" s="38">
        <f>IFERROR(__xludf.DUMMYFUNCTION("IMPORTRANGE(""https://docs.google.com/spreadsheets/d/1CaLR8gtRCp0-wyyH0y5IvQnenreOSKFOo8AF4Pfpekc/edit?gid=400822622#gid=400822622"", ""GRADE 11!Y""&amp;ROW(Z64))"),8.0)</f>
        <v>8</v>
      </c>
      <c r="M67" s="39">
        <f>IFERROR(__xludf.DUMMYFUNCTION("IMPORTRANGE(""https://docs.google.com/spreadsheets/d/1CaLR8gtRCp0-wyyH0y5IvQnenreOSKFOo8AF4Pfpekc/edit?gid=400822622#gid=400822622"", ""GRADE 11!Z""&amp;ROW(AA64))"),-8.0)</f>
        <v>-8</v>
      </c>
      <c r="N67" s="40" t="str">
        <f t="shared" si="3"/>
        <v>INCOMPLETE</v>
      </c>
    </row>
    <row r="68">
      <c r="A68" s="28" t="s">
        <v>19</v>
      </c>
      <c r="B68" s="29">
        <v>58.0</v>
      </c>
      <c r="C68" s="30" t="s">
        <v>145</v>
      </c>
      <c r="D68" s="31" t="s">
        <v>141</v>
      </c>
      <c r="E68" s="32" t="s">
        <v>146</v>
      </c>
      <c r="F68" s="33" t="s">
        <v>43</v>
      </c>
      <c r="G68" s="34">
        <v>26.0</v>
      </c>
      <c r="H68" s="34">
        <v>9.0</v>
      </c>
      <c r="I68" s="35">
        <f t="shared" si="1"/>
        <v>35</v>
      </c>
      <c r="J68" s="36">
        <f t="shared" si="2"/>
        <v>8</v>
      </c>
      <c r="K68" s="37">
        <f>IFERROR(__xludf.DUMMYFUNCTION("IMPORTRANGE(""https://docs.google.com/spreadsheets/d/1CaLR8gtRCp0-wyyH0y5IvQnenreOSKFOo8AF4Pfpekc/edit?gid=400822622#gid=400822622"", ""GRADE 11!X""&amp;ROW(Y65))"),8.0)</f>
        <v>8</v>
      </c>
      <c r="L68" s="38">
        <f>IFERROR(__xludf.DUMMYFUNCTION("IMPORTRANGE(""https://docs.google.com/spreadsheets/d/1CaLR8gtRCp0-wyyH0y5IvQnenreOSKFOo8AF4Pfpekc/edit?gid=400822622#gid=400822622"", ""GRADE 11!Y""&amp;ROW(Z65))"),0.0)</f>
        <v>0</v>
      </c>
      <c r="M68" s="39">
        <f>IFERROR(__xludf.DUMMYFUNCTION("IMPORTRANGE(""https://docs.google.com/spreadsheets/d/1CaLR8gtRCp0-wyyH0y5IvQnenreOSKFOo8AF4Pfpekc/edit?gid=400822622#gid=400822622"", ""GRADE 11!Z""&amp;ROW(AA65))"),0.0)</f>
        <v>0</v>
      </c>
      <c r="N68" s="40" t="str">
        <f t="shared" si="3"/>
        <v>COMPLETE</v>
      </c>
    </row>
    <row r="69">
      <c r="A69" s="28" t="s">
        <v>19</v>
      </c>
      <c r="B69" s="29">
        <v>59.0</v>
      </c>
      <c r="C69" s="30" t="s">
        <v>147</v>
      </c>
      <c r="D69" s="31" t="s">
        <v>141</v>
      </c>
      <c r="E69" s="32" t="s">
        <v>148</v>
      </c>
      <c r="F69" s="33" t="s">
        <v>61</v>
      </c>
      <c r="G69" s="34">
        <v>27.0</v>
      </c>
      <c r="H69" s="34">
        <v>9.0</v>
      </c>
      <c r="I69" s="35">
        <f t="shared" si="1"/>
        <v>36</v>
      </c>
      <c r="J69" s="36">
        <f t="shared" si="2"/>
        <v>8</v>
      </c>
      <c r="K69" s="37">
        <f>IFERROR(__xludf.DUMMYFUNCTION("IMPORTRANGE(""https://docs.google.com/spreadsheets/d/1CaLR8gtRCp0-wyyH0y5IvQnenreOSKFOo8AF4Pfpekc/edit?gid=400822622#gid=400822622"", ""GRADE 11!X""&amp;ROW(Y66))"),8.0)</f>
        <v>8</v>
      </c>
      <c r="L69" s="38">
        <f>IFERROR(__xludf.DUMMYFUNCTION("IMPORTRANGE(""https://docs.google.com/spreadsheets/d/1CaLR8gtRCp0-wyyH0y5IvQnenreOSKFOo8AF4Pfpekc/edit?gid=400822622#gid=400822622"", ""GRADE 11!Y""&amp;ROW(Z66))"),0.0)</f>
        <v>0</v>
      </c>
      <c r="M69" s="39">
        <f>IFERROR(__xludf.DUMMYFUNCTION("IMPORTRANGE(""https://docs.google.com/spreadsheets/d/1CaLR8gtRCp0-wyyH0y5IvQnenreOSKFOo8AF4Pfpekc/edit?gid=400822622#gid=400822622"", ""GRADE 11!Z""&amp;ROW(AA66))"),0.0)</f>
        <v>0</v>
      </c>
      <c r="N69" s="40" t="str">
        <f t="shared" si="3"/>
        <v>COMPLETE</v>
      </c>
    </row>
    <row r="70">
      <c r="A70" s="28" t="s">
        <v>19</v>
      </c>
      <c r="B70" s="29">
        <v>60.0</v>
      </c>
      <c r="C70" s="30" t="s">
        <v>149</v>
      </c>
      <c r="D70" s="31" t="s">
        <v>141</v>
      </c>
      <c r="E70" s="32" t="s">
        <v>150</v>
      </c>
      <c r="F70" s="33" t="s">
        <v>27</v>
      </c>
      <c r="G70" s="34">
        <v>25.0</v>
      </c>
      <c r="H70" s="34">
        <v>11.0</v>
      </c>
      <c r="I70" s="35">
        <f t="shared" si="1"/>
        <v>36</v>
      </c>
      <c r="J70" s="36">
        <f t="shared" si="2"/>
        <v>8</v>
      </c>
      <c r="K70" s="37">
        <f>IFERROR(__xludf.DUMMYFUNCTION("IMPORTRANGE(""https://docs.google.com/spreadsheets/d/1CaLR8gtRCp0-wyyH0y5IvQnenreOSKFOo8AF4Pfpekc/edit?gid=400822622#gid=400822622"", ""GRADE 11!X""&amp;ROW(Y67))"),8.0)</f>
        <v>8</v>
      </c>
      <c r="L70" s="38">
        <f>IFERROR(__xludf.DUMMYFUNCTION("IMPORTRANGE(""https://docs.google.com/spreadsheets/d/1CaLR8gtRCp0-wyyH0y5IvQnenreOSKFOo8AF4Pfpekc/edit?gid=400822622#gid=400822622"", ""GRADE 11!Y""&amp;ROW(Z67))"),0.0)</f>
        <v>0</v>
      </c>
      <c r="M70" s="39">
        <f>IFERROR(__xludf.DUMMYFUNCTION("IMPORTRANGE(""https://docs.google.com/spreadsheets/d/1CaLR8gtRCp0-wyyH0y5IvQnenreOSKFOo8AF4Pfpekc/edit?gid=400822622#gid=400822622"", ""GRADE 11!Z""&amp;ROW(AA67))"),0.0)</f>
        <v>0</v>
      </c>
      <c r="N70" s="40" t="str">
        <f t="shared" si="3"/>
        <v>COMPLETE</v>
      </c>
    </row>
    <row r="71">
      <c r="A71" s="28" t="s">
        <v>19</v>
      </c>
      <c r="B71" s="29">
        <v>61.0</v>
      </c>
      <c r="C71" s="30" t="s">
        <v>151</v>
      </c>
      <c r="D71" s="31" t="s">
        <v>141</v>
      </c>
      <c r="E71" s="32" t="s">
        <v>152</v>
      </c>
      <c r="F71" s="33" t="s">
        <v>72</v>
      </c>
      <c r="G71" s="34">
        <v>25.0</v>
      </c>
      <c r="H71" s="34">
        <v>8.0</v>
      </c>
      <c r="I71" s="35">
        <f t="shared" si="1"/>
        <v>33</v>
      </c>
      <c r="J71" s="36">
        <f t="shared" si="2"/>
        <v>7</v>
      </c>
      <c r="K71" s="37">
        <f>IFERROR(__xludf.DUMMYFUNCTION("IMPORTRANGE(""https://docs.google.com/spreadsheets/d/1CaLR8gtRCp0-wyyH0y5IvQnenreOSKFOo8AF4Pfpekc/edit?gid=400822622#gid=400822622"", ""GRADE 11!X""&amp;ROW(Y68))"),7.0)</f>
        <v>7</v>
      </c>
      <c r="L71" s="38">
        <f>IFERROR(__xludf.DUMMYFUNCTION("IMPORTRANGE(""https://docs.google.com/spreadsheets/d/1CaLR8gtRCp0-wyyH0y5IvQnenreOSKFOo8AF4Pfpekc/edit?gid=400822622#gid=400822622"", ""GRADE 11!Y""&amp;ROW(Z68))"),0.0)</f>
        <v>0</v>
      </c>
      <c r="M71" s="39">
        <f>IFERROR(__xludf.DUMMYFUNCTION("IMPORTRANGE(""https://docs.google.com/spreadsheets/d/1CaLR8gtRCp0-wyyH0y5IvQnenreOSKFOo8AF4Pfpekc/edit?gid=400822622#gid=400822622"", ""GRADE 11!Z""&amp;ROW(AA68))"),0.0)</f>
        <v>0</v>
      </c>
      <c r="N71" s="40" t="str">
        <f t="shared" si="3"/>
        <v>COMPLETE</v>
      </c>
    </row>
    <row r="72">
      <c r="A72" s="28" t="s">
        <v>19</v>
      </c>
      <c r="B72" s="29">
        <v>62.0</v>
      </c>
      <c r="C72" s="30" t="s">
        <v>153</v>
      </c>
      <c r="D72" s="31" t="s">
        <v>141</v>
      </c>
      <c r="E72" s="32" t="s">
        <v>154</v>
      </c>
      <c r="F72" s="33" t="s">
        <v>27</v>
      </c>
      <c r="G72" s="34">
        <v>31.0</v>
      </c>
      <c r="H72" s="34">
        <v>7.0</v>
      </c>
      <c r="I72" s="35">
        <f t="shared" si="1"/>
        <v>38</v>
      </c>
      <c r="J72" s="36">
        <f t="shared" si="2"/>
        <v>7</v>
      </c>
      <c r="K72" s="37">
        <f>IFERROR(__xludf.DUMMYFUNCTION("IMPORTRANGE(""https://docs.google.com/spreadsheets/d/1CaLR8gtRCp0-wyyH0y5IvQnenreOSKFOo8AF4Pfpekc/edit?gid=400822622#gid=400822622"", ""GRADE 11!X""&amp;ROW(Y69))"),7.0)</f>
        <v>7</v>
      </c>
      <c r="L72" s="38">
        <f>IFERROR(__xludf.DUMMYFUNCTION("IMPORTRANGE(""https://docs.google.com/spreadsheets/d/1CaLR8gtRCp0-wyyH0y5IvQnenreOSKFOo8AF4Pfpekc/edit?gid=400822622#gid=400822622"", ""GRADE 11!Y""&amp;ROW(Z69))"),0.0)</f>
        <v>0</v>
      </c>
      <c r="M72" s="39">
        <f>IFERROR(__xludf.DUMMYFUNCTION("IMPORTRANGE(""https://docs.google.com/spreadsheets/d/1CaLR8gtRCp0-wyyH0y5IvQnenreOSKFOo8AF4Pfpekc/edit?gid=400822622#gid=400822622"", ""GRADE 11!Z""&amp;ROW(AA69))"),0.0)</f>
        <v>0</v>
      </c>
      <c r="N72" s="40" t="str">
        <f t="shared" si="3"/>
        <v>COMPLETE</v>
      </c>
    </row>
    <row r="73">
      <c r="A73" s="28" t="s">
        <v>19</v>
      </c>
      <c r="B73" s="29">
        <v>63.0</v>
      </c>
      <c r="C73" s="30" t="s">
        <v>155</v>
      </c>
      <c r="D73" s="31" t="s">
        <v>141</v>
      </c>
      <c r="E73" s="32" t="s">
        <v>156</v>
      </c>
      <c r="F73" s="33" t="s">
        <v>55</v>
      </c>
      <c r="G73" s="34">
        <v>26.0</v>
      </c>
      <c r="H73" s="34">
        <v>7.0</v>
      </c>
      <c r="I73" s="35">
        <f t="shared" si="1"/>
        <v>33</v>
      </c>
      <c r="J73" s="36">
        <f t="shared" si="2"/>
        <v>7</v>
      </c>
      <c r="K73" s="37">
        <f>IFERROR(__xludf.DUMMYFUNCTION("IMPORTRANGE(""https://docs.google.com/spreadsheets/d/1CaLR8gtRCp0-wyyH0y5IvQnenreOSKFOo8AF4Pfpekc/edit?gid=400822622#gid=400822622"", ""GRADE 11!X""&amp;ROW(Y70))"),7.0)</f>
        <v>7</v>
      </c>
      <c r="L73" s="38">
        <f>IFERROR(__xludf.DUMMYFUNCTION("IMPORTRANGE(""https://docs.google.com/spreadsheets/d/1CaLR8gtRCp0-wyyH0y5IvQnenreOSKFOo8AF4Pfpekc/edit?gid=400822622#gid=400822622"", ""GRADE 11!Y""&amp;ROW(Z70))"),0.0)</f>
        <v>0</v>
      </c>
      <c r="M73" s="39">
        <f>IFERROR(__xludf.DUMMYFUNCTION("IMPORTRANGE(""https://docs.google.com/spreadsheets/d/1CaLR8gtRCp0-wyyH0y5IvQnenreOSKFOo8AF4Pfpekc/edit?gid=400822622#gid=400822622"", ""GRADE 11!Z""&amp;ROW(AA70))"),0.0)</f>
        <v>0</v>
      </c>
      <c r="N73" s="40" t="str">
        <f t="shared" si="3"/>
        <v>COMPLETE</v>
      </c>
    </row>
    <row r="74">
      <c r="A74" s="28" t="s">
        <v>19</v>
      </c>
      <c r="B74" s="29">
        <v>64.0</v>
      </c>
      <c r="C74" s="30" t="s">
        <v>157</v>
      </c>
      <c r="D74" s="31" t="s">
        <v>141</v>
      </c>
      <c r="E74" s="32" t="s">
        <v>158</v>
      </c>
      <c r="F74" s="33" t="s">
        <v>43</v>
      </c>
      <c r="G74" s="34">
        <v>23.0</v>
      </c>
      <c r="H74" s="34">
        <v>12.0</v>
      </c>
      <c r="I74" s="35">
        <f t="shared" si="1"/>
        <v>35</v>
      </c>
      <c r="J74" s="36">
        <f t="shared" si="2"/>
        <v>7</v>
      </c>
      <c r="K74" s="37">
        <f>IFERROR(__xludf.DUMMYFUNCTION("IMPORTRANGE(""https://docs.google.com/spreadsheets/d/1CaLR8gtRCp0-wyyH0y5IvQnenreOSKFOo8AF4Pfpekc/edit?gid=400822622#gid=400822622"", ""GRADE 11!X""&amp;ROW(Y71))"),7.0)</f>
        <v>7</v>
      </c>
      <c r="L74" s="38">
        <f>IFERROR(__xludf.DUMMYFUNCTION("IMPORTRANGE(""https://docs.google.com/spreadsheets/d/1CaLR8gtRCp0-wyyH0y5IvQnenreOSKFOo8AF4Pfpekc/edit?gid=400822622#gid=400822622"", ""GRADE 11!Y""&amp;ROW(Z71))"),0.0)</f>
        <v>0</v>
      </c>
      <c r="M74" s="39">
        <f>IFERROR(__xludf.DUMMYFUNCTION("IMPORTRANGE(""https://docs.google.com/spreadsheets/d/1CaLR8gtRCp0-wyyH0y5IvQnenreOSKFOo8AF4Pfpekc/edit?gid=400822622#gid=400822622"", ""GRADE 11!Z""&amp;ROW(AA71))"),0.0)</f>
        <v>0</v>
      </c>
      <c r="N74" s="40" t="str">
        <f t="shared" si="3"/>
        <v>COMPLETE</v>
      </c>
    </row>
    <row r="75">
      <c r="A75" s="28" t="s">
        <v>19</v>
      </c>
      <c r="B75" s="29">
        <v>65.0</v>
      </c>
      <c r="C75" s="30" t="s">
        <v>159</v>
      </c>
      <c r="D75" s="31" t="s">
        <v>160</v>
      </c>
      <c r="E75" s="32" t="s">
        <v>161</v>
      </c>
      <c r="F75" s="33" t="s">
        <v>27</v>
      </c>
      <c r="G75" s="34">
        <v>51.0</v>
      </c>
      <c r="H75" s="34">
        <v>0.0</v>
      </c>
      <c r="I75" s="35">
        <f t="shared" si="1"/>
        <v>51</v>
      </c>
      <c r="J75" s="36">
        <f t="shared" si="2"/>
        <v>7</v>
      </c>
      <c r="K75" s="37">
        <f>IFERROR(__xludf.DUMMYFUNCTION("IMPORTRANGE(""https://docs.google.com/spreadsheets/d/1CaLR8gtRCp0-wyyH0y5IvQnenreOSKFOo8AF4Pfpekc/edit?gid=400822622#gid=400822622"", ""GRADE 11!X""&amp;ROW(Y72))"),7.0)</f>
        <v>7</v>
      </c>
      <c r="L75" s="38">
        <f>IFERROR(__xludf.DUMMYFUNCTION("IMPORTRANGE(""https://docs.google.com/spreadsheets/d/1CaLR8gtRCp0-wyyH0y5IvQnenreOSKFOo8AF4Pfpekc/edit?gid=400822622#gid=400822622"", ""GRADE 11!Y""&amp;ROW(Z72))"),0.0)</f>
        <v>0</v>
      </c>
      <c r="M75" s="39">
        <f>IFERROR(__xludf.DUMMYFUNCTION("IMPORTRANGE(""https://docs.google.com/spreadsheets/d/1CaLR8gtRCp0-wyyH0y5IvQnenreOSKFOo8AF4Pfpekc/edit?gid=400822622#gid=400822622"", ""GRADE 11!Z""&amp;ROW(AA72))"),0.0)</f>
        <v>0</v>
      </c>
      <c r="N75" s="40" t="str">
        <f t="shared" si="3"/>
        <v>COMPLETE</v>
      </c>
    </row>
    <row r="76">
      <c r="A76" s="28" t="s">
        <v>19</v>
      </c>
      <c r="B76" s="29">
        <v>66.0</v>
      </c>
      <c r="C76" s="30" t="s">
        <v>162</v>
      </c>
      <c r="D76" s="31" t="s">
        <v>163</v>
      </c>
      <c r="E76" s="32" t="s">
        <v>164</v>
      </c>
      <c r="F76" s="33" t="s">
        <v>27</v>
      </c>
      <c r="G76" s="34">
        <v>57.0</v>
      </c>
      <c r="H76" s="34">
        <v>0.0</v>
      </c>
      <c r="I76" s="35">
        <f t="shared" si="1"/>
        <v>57</v>
      </c>
      <c r="J76" s="36">
        <f t="shared" si="2"/>
        <v>8</v>
      </c>
      <c r="K76" s="37">
        <f>IFERROR(__xludf.DUMMYFUNCTION("IMPORTRANGE(""https://docs.google.com/spreadsheets/d/1CaLR8gtRCp0-wyyH0y5IvQnenreOSKFOo8AF4Pfpekc/edit?gid=400822622#gid=400822622"", ""GRADE 11!X""&amp;ROW(Y73))"),8.0)</f>
        <v>8</v>
      </c>
      <c r="L76" s="38">
        <f>IFERROR(__xludf.DUMMYFUNCTION("IMPORTRANGE(""https://docs.google.com/spreadsheets/d/1CaLR8gtRCp0-wyyH0y5IvQnenreOSKFOo8AF4Pfpekc/edit?gid=400822622#gid=400822622"", ""GRADE 11!Y""&amp;ROW(Z73))"),0.0)</f>
        <v>0</v>
      </c>
      <c r="M76" s="39">
        <f>IFERROR(__xludf.DUMMYFUNCTION("IMPORTRANGE(""https://docs.google.com/spreadsheets/d/1CaLR8gtRCp0-wyyH0y5IvQnenreOSKFOo8AF4Pfpekc/edit?gid=400822622#gid=400822622"", ""GRADE 11!Z""&amp;ROW(AA73))"),0.0)</f>
        <v>0</v>
      </c>
      <c r="N76" s="40" t="str">
        <f t="shared" si="3"/>
        <v>COMPLETE</v>
      </c>
    </row>
    <row r="77">
      <c r="A77" s="28" t="s">
        <v>19</v>
      </c>
      <c r="B77" s="29">
        <v>67.0</v>
      </c>
      <c r="C77" s="30" t="s">
        <v>165</v>
      </c>
      <c r="D77" s="31" t="s">
        <v>163</v>
      </c>
      <c r="E77" s="32" t="s">
        <v>166</v>
      </c>
      <c r="F77" s="33" t="s">
        <v>30</v>
      </c>
      <c r="G77" s="34">
        <v>54.0</v>
      </c>
      <c r="H77" s="34">
        <v>0.0</v>
      </c>
      <c r="I77" s="35">
        <f t="shared" si="1"/>
        <v>54</v>
      </c>
      <c r="J77" s="36">
        <f t="shared" si="2"/>
        <v>8</v>
      </c>
      <c r="K77" s="37">
        <f>IFERROR(__xludf.DUMMYFUNCTION("IMPORTRANGE(""https://docs.google.com/spreadsheets/d/1CaLR8gtRCp0-wyyH0y5IvQnenreOSKFOo8AF4Pfpekc/edit?gid=400822622#gid=400822622"", ""GRADE 11!X""&amp;ROW(Y74))"),0.0)</f>
        <v>0</v>
      </c>
      <c r="L77" s="38">
        <f>IFERROR(__xludf.DUMMYFUNCTION("IMPORTRANGE(""https://docs.google.com/spreadsheets/d/1CaLR8gtRCp0-wyyH0y5IvQnenreOSKFOo8AF4Pfpekc/edit?gid=400822622#gid=400822622"", ""GRADE 11!Y""&amp;ROW(Z74))"),8.0)</f>
        <v>8</v>
      </c>
      <c r="M77" s="39">
        <f>IFERROR(__xludf.DUMMYFUNCTION("IMPORTRANGE(""https://docs.google.com/spreadsheets/d/1CaLR8gtRCp0-wyyH0y5IvQnenreOSKFOo8AF4Pfpekc/edit?gid=400822622#gid=400822622"", ""GRADE 11!Z""&amp;ROW(AA74))"),-24.0)</f>
        <v>-24</v>
      </c>
      <c r="N77" s="40" t="str">
        <f t="shared" si="3"/>
        <v>INCOMPLETE</v>
      </c>
    </row>
    <row r="78">
      <c r="A78" s="28" t="s">
        <v>19</v>
      </c>
      <c r="B78" s="29">
        <v>68.0</v>
      </c>
      <c r="C78" s="30" t="s">
        <v>167</v>
      </c>
      <c r="D78" s="31" t="s">
        <v>168</v>
      </c>
      <c r="E78" s="32" t="s">
        <v>169</v>
      </c>
      <c r="F78" s="33" t="s">
        <v>27</v>
      </c>
      <c r="G78" s="34">
        <v>53.0</v>
      </c>
      <c r="H78" s="34">
        <v>4.0</v>
      </c>
      <c r="I78" s="35">
        <f t="shared" si="1"/>
        <v>57</v>
      </c>
      <c r="J78" s="36">
        <f t="shared" si="2"/>
        <v>8</v>
      </c>
      <c r="K78" s="37">
        <f>IFERROR(__xludf.DUMMYFUNCTION("IMPORTRANGE(""https://docs.google.com/spreadsheets/d/1CaLR8gtRCp0-wyyH0y5IvQnenreOSKFOo8AF4Pfpekc/edit?gid=400822622#gid=400822622"", ""GRADE 11!X""&amp;ROW(Y75))"),8.0)</f>
        <v>8</v>
      </c>
      <c r="L78" s="38">
        <f>IFERROR(__xludf.DUMMYFUNCTION("IMPORTRANGE(""https://docs.google.com/spreadsheets/d/1CaLR8gtRCp0-wyyH0y5IvQnenreOSKFOo8AF4Pfpekc/edit?gid=400822622#gid=400822622"", ""GRADE 11!Y""&amp;ROW(Z75))"),0.0)</f>
        <v>0</v>
      </c>
      <c r="M78" s="39">
        <f>IFERROR(__xludf.DUMMYFUNCTION("IMPORTRANGE(""https://docs.google.com/spreadsheets/d/1CaLR8gtRCp0-wyyH0y5IvQnenreOSKFOo8AF4Pfpekc/edit?gid=400822622#gid=400822622"", ""GRADE 11!Z""&amp;ROW(AA75))"),0.0)</f>
        <v>0</v>
      </c>
      <c r="N78" s="40" t="str">
        <f t="shared" si="3"/>
        <v>COMPLETE</v>
      </c>
    </row>
    <row r="79">
      <c r="A79" s="28" t="s">
        <v>19</v>
      </c>
      <c r="B79" s="29">
        <v>69.0</v>
      </c>
      <c r="C79" s="30" t="s">
        <v>170</v>
      </c>
      <c r="D79" s="31" t="s">
        <v>171</v>
      </c>
      <c r="E79" s="32" t="s">
        <v>172</v>
      </c>
      <c r="F79" s="33" t="s">
        <v>43</v>
      </c>
      <c r="G79" s="34">
        <v>7.0</v>
      </c>
      <c r="H79" s="34">
        <v>27.0</v>
      </c>
      <c r="I79" s="35">
        <f t="shared" si="1"/>
        <v>34</v>
      </c>
      <c r="J79" s="36">
        <f t="shared" si="2"/>
        <v>8</v>
      </c>
      <c r="K79" s="37">
        <f>IFERROR(__xludf.DUMMYFUNCTION("IMPORTRANGE(""https://docs.google.com/spreadsheets/d/1CaLR8gtRCp0-wyyH0y5IvQnenreOSKFOo8AF4Pfpekc/edit?gid=400822622#gid=400822622"", ""GRADE 11!X""&amp;ROW(Y76))"),8.0)</f>
        <v>8</v>
      </c>
      <c r="L79" s="38">
        <f>IFERROR(__xludf.DUMMYFUNCTION("IMPORTRANGE(""https://docs.google.com/spreadsheets/d/1CaLR8gtRCp0-wyyH0y5IvQnenreOSKFOo8AF4Pfpekc/edit?gid=400822622#gid=400822622"", ""GRADE 11!Y""&amp;ROW(Z76))"),0.0)</f>
        <v>0</v>
      </c>
      <c r="M79" s="39">
        <f>IFERROR(__xludf.DUMMYFUNCTION("IMPORTRANGE(""https://docs.google.com/spreadsheets/d/1CaLR8gtRCp0-wyyH0y5IvQnenreOSKFOo8AF4Pfpekc/edit?gid=400822622#gid=400822622"", ""GRADE 11!Z""&amp;ROW(AA76))"),0.0)</f>
        <v>0</v>
      </c>
      <c r="N79" s="40" t="str">
        <f t="shared" si="3"/>
        <v>COMPLETE</v>
      </c>
    </row>
    <row r="80">
      <c r="A80" s="28" t="s">
        <v>19</v>
      </c>
      <c r="B80" s="29">
        <v>70.0</v>
      </c>
      <c r="C80" s="30" t="s">
        <v>173</v>
      </c>
      <c r="D80" s="31" t="s">
        <v>163</v>
      </c>
      <c r="E80" s="32" t="s">
        <v>174</v>
      </c>
      <c r="F80" s="33" t="s">
        <v>43</v>
      </c>
      <c r="G80" s="34">
        <v>20.0</v>
      </c>
      <c r="H80" s="34">
        <v>6.0</v>
      </c>
      <c r="I80" s="35">
        <f t="shared" si="1"/>
        <v>26</v>
      </c>
      <c r="J80" s="36">
        <f t="shared" si="2"/>
        <v>7</v>
      </c>
      <c r="K80" s="37">
        <f>IFERROR(__xludf.DUMMYFUNCTION("IMPORTRANGE(""https://docs.google.com/spreadsheets/d/1CaLR8gtRCp0-wyyH0y5IvQnenreOSKFOo8AF4Pfpekc/edit?gid=400822622#gid=400822622"", ""GRADE 11!X""&amp;ROW(Y77))"),7.0)</f>
        <v>7</v>
      </c>
      <c r="L80" s="38">
        <f>IFERROR(__xludf.DUMMYFUNCTION("IMPORTRANGE(""https://docs.google.com/spreadsheets/d/1CaLR8gtRCp0-wyyH0y5IvQnenreOSKFOo8AF4Pfpekc/edit?gid=400822622#gid=400822622"", ""GRADE 11!Y""&amp;ROW(Z77))"),0.0)</f>
        <v>0</v>
      </c>
      <c r="M80" s="39">
        <f>IFERROR(__xludf.DUMMYFUNCTION("IMPORTRANGE(""https://docs.google.com/spreadsheets/d/1CaLR8gtRCp0-wyyH0y5IvQnenreOSKFOo8AF4Pfpekc/edit?gid=400822622#gid=400822622"", ""GRADE 11!Z""&amp;ROW(AA77))"),0.0)</f>
        <v>0</v>
      </c>
      <c r="N80" s="40" t="str">
        <f t="shared" si="3"/>
        <v>COMPLETE</v>
      </c>
    </row>
    <row r="81">
      <c r="A81" s="28" t="s">
        <v>19</v>
      </c>
      <c r="B81" s="29">
        <v>71.0</v>
      </c>
      <c r="C81" s="30" t="s">
        <v>175</v>
      </c>
      <c r="D81" s="31" t="s">
        <v>119</v>
      </c>
      <c r="E81" s="32" t="s">
        <v>176</v>
      </c>
      <c r="F81" s="33" t="s">
        <v>72</v>
      </c>
      <c r="G81" s="34">
        <v>10.0</v>
      </c>
      <c r="H81" s="34">
        <v>58.0</v>
      </c>
      <c r="I81" s="35">
        <f t="shared" si="1"/>
        <v>68</v>
      </c>
      <c r="J81" s="36">
        <f t="shared" si="2"/>
        <v>7</v>
      </c>
      <c r="K81" s="37">
        <f>IFERROR(__xludf.DUMMYFUNCTION("IMPORTRANGE(""https://docs.google.com/spreadsheets/d/1CaLR8gtRCp0-wyyH0y5IvQnenreOSKFOo8AF4Pfpekc/edit?gid=400822622#gid=400822622"", ""GRADE 11!X""&amp;ROW(Y78))"),7.0)</f>
        <v>7</v>
      </c>
      <c r="L81" s="38">
        <f>IFERROR(__xludf.DUMMYFUNCTION("IMPORTRANGE(""https://docs.google.com/spreadsheets/d/1CaLR8gtRCp0-wyyH0y5IvQnenreOSKFOo8AF4Pfpekc/edit?gid=400822622#gid=400822622"", ""GRADE 11!Y""&amp;ROW(Z78))"),0.0)</f>
        <v>0</v>
      </c>
      <c r="M81" s="39">
        <f>IFERROR(__xludf.DUMMYFUNCTION("IMPORTRANGE(""https://docs.google.com/spreadsheets/d/1CaLR8gtRCp0-wyyH0y5IvQnenreOSKFOo8AF4Pfpekc/edit?gid=400822622#gid=400822622"", ""GRADE 11!Z""&amp;ROW(AA78))"),0.0)</f>
        <v>0</v>
      </c>
      <c r="N81" s="40" t="str">
        <f t="shared" si="3"/>
        <v>COMPLETE</v>
      </c>
    </row>
    <row r="82">
      <c r="A82" s="41" t="s">
        <v>177</v>
      </c>
      <c r="B82" s="42"/>
      <c r="C82" s="42"/>
      <c r="D82" s="42"/>
      <c r="E82" s="10"/>
      <c r="F82" s="43">
        <f>COUNTA(F11:F81)</f>
        <v>71</v>
      </c>
      <c r="G82" s="44">
        <f t="shared" ref="G82:I82" si="4">SUM(G10:G81)</f>
        <v>1490</v>
      </c>
      <c r="H82" s="44">
        <f t="shared" si="4"/>
        <v>1505</v>
      </c>
      <c r="I82" s="45">
        <f t="shared" si="4"/>
        <v>2995</v>
      </c>
      <c r="J82" s="46"/>
      <c r="K82" s="44">
        <f t="shared" ref="K82:M82" si="5">SUM(K10:K81)</f>
        <v>531</v>
      </c>
      <c r="L82" s="44">
        <f t="shared" si="5"/>
        <v>50</v>
      </c>
      <c r="M82" s="44">
        <f t="shared" si="5"/>
        <v>-48</v>
      </c>
      <c r="N82" s="47" t="str">
        <f t="shared" si="3"/>
        <v>INCOMPLETE</v>
      </c>
    </row>
    <row r="83" ht="21.0" customHeight="1">
      <c r="A83" s="48" t="s">
        <v>178</v>
      </c>
      <c r="B83" s="49"/>
      <c r="C83" s="49"/>
      <c r="D83" s="49"/>
      <c r="E83" s="49"/>
      <c r="F83" s="49"/>
      <c r="G83" s="50"/>
      <c r="H83" s="50"/>
      <c r="I83" s="50"/>
      <c r="J83" s="50"/>
      <c r="K83" s="50"/>
      <c r="L83" s="50"/>
      <c r="M83" s="50"/>
      <c r="N83" s="51"/>
    </row>
    <row r="84" ht="22.5" customHeight="1">
      <c r="A84" s="52" t="s">
        <v>178</v>
      </c>
      <c r="B84" s="53">
        <v>1.0</v>
      </c>
      <c r="C84" s="53" t="s">
        <v>179</v>
      </c>
      <c r="D84" s="54" t="s">
        <v>21</v>
      </c>
      <c r="E84" s="55" t="s">
        <v>180</v>
      </c>
      <c r="F84" s="55" t="s">
        <v>21</v>
      </c>
      <c r="G84" s="56">
        <v>19.0</v>
      </c>
      <c r="H84" s="56">
        <v>29.0</v>
      </c>
      <c r="I84" s="57">
        <f t="shared" ref="I84:I156" si="6">SUM(G84:H84)</f>
        <v>48</v>
      </c>
      <c r="J84" s="58">
        <f t="shared" ref="J84:J156" si="7">SUM(K84,L84)</f>
        <v>8</v>
      </c>
      <c r="K84" s="59">
        <f>IFERROR(__xludf.DUMMYFUNCTION("IMPORTRANGE(""https://docs.google.com/spreadsheets/d/1CaLR8gtRCp0-wyyH0y5IvQnenreOSKFOo8AF4Pfpekc/edit?gid=400822622#gid=400822622"", ""GRADE 12!T""&amp;ROW(U8))"),8.0)</f>
        <v>8</v>
      </c>
      <c r="L84" s="60">
        <f>IFERROR(__xludf.DUMMYFUNCTION("IMPORTRANGE(""https://docs.google.com/spreadsheets/d/1CaLR8gtRCp0-wyyH0y5IvQnenreOSKFOo8AF4Pfpekc/edit?gid=400822622#gid=400822622"", ""GRADE 12!U""&amp;ROW(V8))"),0.0)</f>
        <v>0</v>
      </c>
      <c r="M84" s="61">
        <f>IFERROR(__xludf.DUMMYFUNCTION("IMPORTRANGE(""https://docs.google.com/spreadsheets/d/1CaLR8gtRCp0-wyyH0y5IvQnenreOSKFOo8AF4Pfpekc/edit?gid=400822622#gid=400822622"", ""GRADE 12!V""&amp;ROW(W8))"),0.0)</f>
        <v>0</v>
      </c>
      <c r="N84" s="62" t="str">
        <f t="shared" ref="N84:N156" si="8">IFS(J84=K84,"COMPLETE", M84=I84*J84,"NO INPUT", TRUE,"INCOMPLETE")</f>
        <v>COMPLETE</v>
      </c>
    </row>
    <row r="85" ht="22.5" customHeight="1">
      <c r="A85" s="63" t="s">
        <v>178</v>
      </c>
      <c r="B85" s="64">
        <v>2.0</v>
      </c>
      <c r="C85" s="64" t="s">
        <v>181</v>
      </c>
      <c r="D85" s="65" t="s">
        <v>21</v>
      </c>
      <c r="E85" s="66" t="s">
        <v>182</v>
      </c>
      <c r="F85" s="66" t="s">
        <v>21</v>
      </c>
      <c r="G85" s="67">
        <v>18.0</v>
      </c>
      <c r="H85" s="67">
        <v>29.0</v>
      </c>
      <c r="I85" s="35">
        <f t="shared" si="6"/>
        <v>47</v>
      </c>
      <c r="J85" s="68">
        <f t="shared" si="7"/>
        <v>8</v>
      </c>
      <c r="K85" s="37">
        <f>IFERROR(__xludf.DUMMYFUNCTION("IMPORTRANGE(""https://docs.google.com/spreadsheets/d/1CaLR8gtRCp0-wyyH0y5IvQnenreOSKFOo8AF4Pfpekc/edit?gid=400822622#gid=400822622"", ""GRADE 12!T""&amp;ROW(U9))"),8.0)</f>
        <v>8</v>
      </c>
      <c r="L85" s="38">
        <f>IFERROR(__xludf.DUMMYFUNCTION("IMPORTRANGE(""https://docs.google.com/spreadsheets/d/1CaLR8gtRCp0-wyyH0y5IvQnenreOSKFOo8AF4Pfpekc/edit?gid=400822622#gid=400822622"", ""GRADE 12!U""&amp;ROW(V9))"),0.0)</f>
        <v>0</v>
      </c>
      <c r="M85" s="39">
        <f>IFERROR(__xludf.DUMMYFUNCTION("IMPORTRANGE(""https://docs.google.com/spreadsheets/d/1CaLR8gtRCp0-wyyH0y5IvQnenreOSKFOo8AF4Pfpekc/edit?gid=400822622#gid=400822622"", ""GRADE 12!V""&amp;ROW(W9))"),0.0)</f>
        <v>0</v>
      </c>
      <c r="N85" s="40" t="str">
        <f t="shared" si="8"/>
        <v>COMPLETE</v>
      </c>
    </row>
    <row r="86" ht="22.5" customHeight="1">
      <c r="A86" s="63" t="s">
        <v>178</v>
      </c>
      <c r="B86" s="64">
        <v>3.0</v>
      </c>
      <c r="C86" s="64" t="s">
        <v>183</v>
      </c>
      <c r="D86" s="65" t="s">
        <v>21</v>
      </c>
      <c r="E86" s="66" t="s">
        <v>184</v>
      </c>
      <c r="F86" s="66" t="s">
        <v>55</v>
      </c>
      <c r="G86" s="67">
        <v>18.0</v>
      </c>
      <c r="H86" s="67">
        <v>30.0</v>
      </c>
      <c r="I86" s="35">
        <f t="shared" si="6"/>
        <v>48</v>
      </c>
      <c r="J86" s="68">
        <f t="shared" si="7"/>
        <v>8</v>
      </c>
      <c r="K86" s="37">
        <f>IFERROR(__xludf.DUMMYFUNCTION("IMPORTRANGE(""https://docs.google.com/spreadsheets/d/1CaLR8gtRCp0-wyyH0y5IvQnenreOSKFOo8AF4Pfpekc/edit?gid=400822622#gid=400822622"", ""GRADE 12!T""&amp;ROW(U10))"),8.0)</f>
        <v>8</v>
      </c>
      <c r="L86" s="38">
        <f>IFERROR(__xludf.DUMMYFUNCTION("IMPORTRANGE(""https://docs.google.com/spreadsheets/d/1CaLR8gtRCp0-wyyH0y5IvQnenreOSKFOo8AF4Pfpekc/edit?gid=400822622#gid=400822622"", ""GRADE 12!U""&amp;ROW(V10))"),0.0)</f>
        <v>0</v>
      </c>
      <c r="M86" s="39">
        <f>IFERROR(__xludf.DUMMYFUNCTION("IMPORTRANGE(""https://docs.google.com/spreadsheets/d/1CaLR8gtRCp0-wyyH0y5IvQnenreOSKFOo8AF4Pfpekc/edit?gid=400822622#gid=400822622"", ""GRADE 12!V""&amp;ROW(W10))"),0.0)</f>
        <v>0</v>
      </c>
      <c r="N86" s="40" t="str">
        <f t="shared" si="8"/>
        <v>COMPLETE</v>
      </c>
    </row>
    <row r="87" ht="22.5" customHeight="1">
      <c r="A87" s="63" t="s">
        <v>178</v>
      </c>
      <c r="B87" s="64">
        <v>4.0</v>
      </c>
      <c r="C87" s="64" t="s">
        <v>185</v>
      </c>
      <c r="D87" s="65" t="s">
        <v>21</v>
      </c>
      <c r="E87" s="66" t="s">
        <v>186</v>
      </c>
      <c r="F87" s="66" t="s">
        <v>27</v>
      </c>
      <c r="G87" s="67">
        <v>18.0</v>
      </c>
      <c r="H87" s="67">
        <v>30.0</v>
      </c>
      <c r="I87" s="35">
        <f t="shared" si="6"/>
        <v>48</v>
      </c>
      <c r="J87" s="68">
        <f t="shared" si="7"/>
        <v>8</v>
      </c>
      <c r="K87" s="37">
        <f>IFERROR(__xludf.DUMMYFUNCTION("IMPORTRANGE(""https://docs.google.com/spreadsheets/d/1CaLR8gtRCp0-wyyH0y5IvQnenreOSKFOo8AF4Pfpekc/edit?gid=400822622#gid=400822622"", ""GRADE 12!T""&amp;ROW(U11))"),8.0)</f>
        <v>8</v>
      </c>
      <c r="L87" s="38">
        <f>IFERROR(__xludf.DUMMYFUNCTION("IMPORTRANGE(""https://docs.google.com/spreadsheets/d/1CaLR8gtRCp0-wyyH0y5IvQnenreOSKFOo8AF4Pfpekc/edit?gid=400822622#gid=400822622"", ""GRADE 12!U""&amp;ROW(V11))"),0.0)</f>
        <v>0</v>
      </c>
      <c r="M87" s="39">
        <f>IFERROR(__xludf.DUMMYFUNCTION("IMPORTRANGE(""https://docs.google.com/spreadsheets/d/1CaLR8gtRCp0-wyyH0y5IvQnenreOSKFOo8AF4Pfpekc/edit?gid=400822622#gid=400822622"", ""GRADE 12!V""&amp;ROW(W11))"),0.0)</f>
        <v>0</v>
      </c>
      <c r="N87" s="40" t="str">
        <f t="shared" si="8"/>
        <v>COMPLETE</v>
      </c>
    </row>
    <row r="88" ht="22.5" customHeight="1">
      <c r="A88" s="63" t="s">
        <v>178</v>
      </c>
      <c r="B88" s="64">
        <v>5.0</v>
      </c>
      <c r="C88" s="64" t="s">
        <v>187</v>
      </c>
      <c r="D88" s="65" t="s">
        <v>21</v>
      </c>
      <c r="E88" s="66" t="s">
        <v>188</v>
      </c>
      <c r="F88" s="66" t="s">
        <v>30</v>
      </c>
      <c r="G88" s="67">
        <v>16.0</v>
      </c>
      <c r="H88" s="67">
        <v>31.0</v>
      </c>
      <c r="I88" s="35">
        <f t="shared" si="6"/>
        <v>47</v>
      </c>
      <c r="J88" s="68">
        <f t="shared" si="7"/>
        <v>8</v>
      </c>
      <c r="K88" s="37">
        <f>IFERROR(__xludf.DUMMYFUNCTION("IMPORTRANGE(""https://docs.google.com/spreadsheets/d/1CaLR8gtRCp0-wyyH0y5IvQnenreOSKFOo8AF4Pfpekc/edit?gid=400822622#gid=400822622"", ""GRADE 12!T""&amp;ROW(U12))"),8.0)</f>
        <v>8</v>
      </c>
      <c r="L88" s="38">
        <f>IFERROR(__xludf.DUMMYFUNCTION("IMPORTRANGE(""https://docs.google.com/spreadsheets/d/1CaLR8gtRCp0-wyyH0y5IvQnenreOSKFOo8AF4Pfpekc/edit?gid=400822622#gid=400822622"", ""GRADE 12!U""&amp;ROW(V12))"),0.0)</f>
        <v>0</v>
      </c>
      <c r="M88" s="39">
        <f>IFERROR(__xludf.DUMMYFUNCTION("IMPORTRANGE(""https://docs.google.com/spreadsheets/d/1CaLR8gtRCp0-wyyH0y5IvQnenreOSKFOo8AF4Pfpekc/edit?gid=400822622#gid=400822622"", ""GRADE 12!V""&amp;ROW(W12))"),0.0)</f>
        <v>0</v>
      </c>
      <c r="N88" s="40" t="str">
        <f t="shared" si="8"/>
        <v>COMPLETE</v>
      </c>
    </row>
    <row r="89" ht="22.5" customHeight="1">
      <c r="A89" s="63" t="s">
        <v>178</v>
      </c>
      <c r="B89" s="64">
        <v>6.0</v>
      </c>
      <c r="C89" s="64" t="s">
        <v>189</v>
      </c>
      <c r="D89" s="65" t="s">
        <v>21</v>
      </c>
      <c r="E89" s="66" t="s">
        <v>190</v>
      </c>
      <c r="F89" s="66" t="s">
        <v>27</v>
      </c>
      <c r="G89" s="67">
        <v>20.0</v>
      </c>
      <c r="H89" s="67">
        <v>29.0</v>
      </c>
      <c r="I89" s="35">
        <f t="shared" si="6"/>
        <v>49</v>
      </c>
      <c r="J89" s="68">
        <f t="shared" si="7"/>
        <v>8</v>
      </c>
      <c r="K89" s="37">
        <f>IFERROR(__xludf.DUMMYFUNCTION("IMPORTRANGE(""https://docs.google.com/spreadsheets/d/1CaLR8gtRCp0-wyyH0y5IvQnenreOSKFOo8AF4Pfpekc/edit?gid=400822622#gid=400822622"", ""GRADE 12!T""&amp;ROW(U13))"),8.0)</f>
        <v>8</v>
      </c>
      <c r="L89" s="38">
        <f>IFERROR(__xludf.DUMMYFUNCTION("IMPORTRANGE(""https://docs.google.com/spreadsheets/d/1CaLR8gtRCp0-wyyH0y5IvQnenreOSKFOo8AF4Pfpekc/edit?gid=400822622#gid=400822622"", ""GRADE 12!U""&amp;ROW(V13))"),0.0)</f>
        <v>0</v>
      </c>
      <c r="M89" s="39">
        <f>IFERROR(__xludf.DUMMYFUNCTION("IMPORTRANGE(""https://docs.google.com/spreadsheets/d/1CaLR8gtRCp0-wyyH0y5IvQnenreOSKFOo8AF4Pfpekc/edit?gid=400822622#gid=400822622"", ""GRADE 12!V""&amp;ROW(W13))"),0.0)</f>
        <v>0</v>
      </c>
      <c r="N89" s="40" t="str">
        <f t="shared" si="8"/>
        <v>COMPLETE</v>
      </c>
    </row>
    <row r="90" ht="22.5" customHeight="1">
      <c r="A90" s="63" t="s">
        <v>178</v>
      </c>
      <c r="B90" s="64">
        <v>7.0</v>
      </c>
      <c r="C90" s="64" t="s">
        <v>191</v>
      </c>
      <c r="D90" s="65" t="s">
        <v>21</v>
      </c>
      <c r="E90" s="66" t="s">
        <v>192</v>
      </c>
      <c r="F90" s="66" t="s">
        <v>21</v>
      </c>
      <c r="G90" s="67">
        <v>19.0</v>
      </c>
      <c r="H90" s="67">
        <v>30.0</v>
      </c>
      <c r="I90" s="35">
        <f t="shared" si="6"/>
        <v>49</v>
      </c>
      <c r="J90" s="68">
        <f t="shared" si="7"/>
        <v>8</v>
      </c>
      <c r="K90" s="37">
        <f>IFERROR(__xludf.DUMMYFUNCTION("IMPORTRANGE(""https://docs.google.com/spreadsheets/d/1CaLR8gtRCp0-wyyH0y5IvQnenreOSKFOo8AF4Pfpekc/edit?gid=400822622#gid=400822622"", ""GRADE 12!T""&amp;ROW(U14))"),8.0)</f>
        <v>8</v>
      </c>
      <c r="L90" s="38">
        <f>IFERROR(__xludf.DUMMYFUNCTION("IMPORTRANGE(""https://docs.google.com/spreadsheets/d/1CaLR8gtRCp0-wyyH0y5IvQnenreOSKFOo8AF4Pfpekc/edit?gid=400822622#gid=400822622"", ""GRADE 12!U""&amp;ROW(V14))"),0.0)</f>
        <v>0</v>
      </c>
      <c r="M90" s="39">
        <f>IFERROR(__xludf.DUMMYFUNCTION("IMPORTRANGE(""https://docs.google.com/spreadsheets/d/1CaLR8gtRCp0-wyyH0y5IvQnenreOSKFOo8AF4Pfpekc/edit?gid=400822622#gid=400822622"", ""GRADE 12!V""&amp;ROW(W14))"),0.0)</f>
        <v>0</v>
      </c>
      <c r="N90" s="40" t="str">
        <f t="shared" si="8"/>
        <v>COMPLETE</v>
      </c>
    </row>
    <row r="91" ht="22.5" customHeight="1">
      <c r="A91" s="63" t="s">
        <v>178</v>
      </c>
      <c r="B91" s="64">
        <v>8.0</v>
      </c>
      <c r="C91" s="64" t="s">
        <v>193</v>
      </c>
      <c r="D91" s="65" t="s">
        <v>21</v>
      </c>
      <c r="E91" s="66" t="s">
        <v>194</v>
      </c>
      <c r="F91" s="66" t="s">
        <v>30</v>
      </c>
      <c r="G91" s="67">
        <v>17.0</v>
      </c>
      <c r="H91" s="67">
        <v>31.0</v>
      </c>
      <c r="I91" s="35">
        <f t="shared" si="6"/>
        <v>48</v>
      </c>
      <c r="J91" s="68">
        <f t="shared" si="7"/>
        <v>8</v>
      </c>
      <c r="K91" s="37">
        <f>IFERROR(__xludf.DUMMYFUNCTION("IMPORTRANGE(""https://docs.google.com/spreadsheets/d/1CaLR8gtRCp0-wyyH0y5IvQnenreOSKFOo8AF4Pfpekc/edit?gid=400822622#gid=400822622"", ""GRADE 12!T""&amp;ROW(U15))"),8.0)</f>
        <v>8</v>
      </c>
      <c r="L91" s="38">
        <f>IFERROR(__xludf.DUMMYFUNCTION("IMPORTRANGE(""https://docs.google.com/spreadsheets/d/1CaLR8gtRCp0-wyyH0y5IvQnenreOSKFOo8AF4Pfpekc/edit?gid=400822622#gid=400822622"", ""GRADE 12!U""&amp;ROW(V15))"),0.0)</f>
        <v>0</v>
      </c>
      <c r="M91" s="39">
        <f>IFERROR(__xludf.DUMMYFUNCTION("IMPORTRANGE(""https://docs.google.com/spreadsheets/d/1CaLR8gtRCp0-wyyH0y5IvQnenreOSKFOo8AF4Pfpekc/edit?gid=400822622#gid=400822622"", ""GRADE 12!V""&amp;ROW(W15))"),0.0)</f>
        <v>0</v>
      </c>
      <c r="N91" s="40" t="str">
        <f t="shared" si="8"/>
        <v>COMPLETE</v>
      </c>
    </row>
    <row r="92" ht="22.5" customHeight="1">
      <c r="A92" s="63" t="s">
        <v>178</v>
      </c>
      <c r="B92" s="64">
        <v>9.0</v>
      </c>
      <c r="C92" s="64" t="s">
        <v>195</v>
      </c>
      <c r="D92" s="65" t="s">
        <v>21</v>
      </c>
      <c r="E92" s="66" t="s">
        <v>196</v>
      </c>
      <c r="F92" s="66" t="s">
        <v>27</v>
      </c>
      <c r="G92" s="67">
        <v>16.0</v>
      </c>
      <c r="H92" s="67">
        <v>30.0</v>
      </c>
      <c r="I92" s="35">
        <f t="shared" si="6"/>
        <v>46</v>
      </c>
      <c r="J92" s="68">
        <f t="shared" si="7"/>
        <v>8</v>
      </c>
      <c r="K92" s="37">
        <f>IFERROR(__xludf.DUMMYFUNCTION("IMPORTRANGE(""https://docs.google.com/spreadsheets/d/1CaLR8gtRCp0-wyyH0y5IvQnenreOSKFOo8AF4Pfpekc/edit?gid=400822622#gid=400822622"", ""GRADE 12!T""&amp;ROW(U16))"),8.0)</f>
        <v>8</v>
      </c>
      <c r="L92" s="38">
        <f>IFERROR(__xludf.DUMMYFUNCTION("IMPORTRANGE(""https://docs.google.com/spreadsheets/d/1CaLR8gtRCp0-wyyH0y5IvQnenreOSKFOo8AF4Pfpekc/edit?gid=400822622#gid=400822622"", ""GRADE 12!U""&amp;ROW(V16))"),0.0)</f>
        <v>0</v>
      </c>
      <c r="M92" s="39">
        <f>IFERROR(__xludf.DUMMYFUNCTION("IMPORTRANGE(""https://docs.google.com/spreadsheets/d/1CaLR8gtRCp0-wyyH0y5IvQnenreOSKFOo8AF4Pfpekc/edit?gid=400822622#gid=400822622"", ""GRADE 12!V""&amp;ROW(W16))"),0.0)</f>
        <v>0</v>
      </c>
      <c r="N92" s="40" t="str">
        <f t="shared" si="8"/>
        <v>COMPLETE</v>
      </c>
    </row>
    <row r="93" ht="22.5" customHeight="1">
      <c r="A93" s="63" t="s">
        <v>178</v>
      </c>
      <c r="B93" s="64">
        <v>10.0</v>
      </c>
      <c r="C93" s="64" t="s">
        <v>197</v>
      </c>
      <c r="D93" s="65" t="s">
        <v>21</v>
      </c>
      <c r="E93" s="66" t="s">
        <v>198</v>
      </c>
      <c r="F93" s="66" t="s">
        <v>21</v>
      </c>
      <c r="G93" s="67">
        <v>19.0</v>
      </c>
      <c r="H93" s="67">
        <v>30.0</v>
      </c>
      <c r="I93" s="35">
        <f t="shared" si="6"/>
        <v>49</v>
      </c>
      <c r="J93" s="68">
        <f t="shared" si="7"/>
        <v>8</v>
      </c>
      <c r="K93" s="37">
        <f>IFERROR(__xludf.DUMMYFUNCTION("IMPORTRANGE(""https://docs.google.com/spreadsheets/d/1CaLR8gtRCp0-wyyH0y5IvQnenreOSKFOo8AF4Pfpekc/edit?gid=400822622#gid=400822622"", ""GRADE 12!T""&amp;ROW(U17))"),8.0)</f>
        <v>8</v>
      </c>
      <c r="L93" s="38">
        <f>IFERROR(__xludf.DUMMYFUNCTION("IMPORTRANGE(""https://docs.google.com/spreadsheets/d/1CaLR8gtRCp0-wyyH0y5IvQnenreOSKFOo8AF4Pfpekc/edit?gid=400822622#gid=400822622"", ""GRADE 12!U""&amp;ROW(V17))"),0.0)</f>
        <v>0</v>
      </c>
      <c r="M93" s="39">
        <f>IFERROR(__xludf.DUMMYFUNCTION("IMPORTRANGE(""https://docs.google.com/spreadsheets/d/1CaLR8gtRCp0-wyyH0y5IvQnenreOSKFOo8AF4Pfpekc/edit?gid=400822622#gid=400822622"", ""GRADE 12!V""&amp;ROW(W17))"),0.0)</f>
        <v>0</v>
      </c>
      <c r="N93" s="40" t="str">
        <f t="shared" si="8"/>
        <v>COMPLETE</v>
      </c>
    </row>
    <row r="94" ht="22.5" customHeight="1">
      <c r="A94" s="63" t="s">
        <v>178</v>
      </c>
      <c r="B94" s="64">
        <v>11.0</v>
      </c>
      <c r="C94" s="64" t="s">
        <v>199</v>
      </c>
      <c r="D94" s="65" t="s">
        <v>21</v>
      </c>
      <c r="E94" s="66" t="s">
        <v>200</v>
      </c>
      <c r="F94" s="66" t="s">
        <v>27</v>
      </c>
      <c r="G94" s="67">
        <v>19.0</v>
      </c>
      <c r="H94" s="67">
        <v>28.0</v>
      </c>
      <c r="I94" s="35">
        <f t="shared" si="6"/>
        <v>47</v>
      </c>
      <c r="J94" s="68">
        <f t="shared" si="7"/>
        <v>7</v>
      </c>
      <c r="K94" s="37">
        <f>IFERROR(__xludf.DUMMYFUNCTION("IMPORTRANGE(""https://docs.google.com/spreadsheets/d/1CaLR8gtRCp0-wyyH0y5IvQnenreOSKFOo8AF4Pfpekc/edit?gid=400822622#gid=400822622"", ""GRADE 12!T""&amp;ROW(U18))"),7.0)</f>
        <v>7</v>
      </c>
      <c r="L94" s="38">
        <f>IFERROR(__xludf.DUMMYFUNCTION("IMPORTRANGE(""https://docs.google.com/spreadsheets/d/1CaLR8gtRCp0-wyyH0y5IvQnenreOSKFOo8AF4Pfpekc/edit?gid=400822622#gid=400822622"", ""GRADE 12!U""&amp;ROW(V18))"),0.0)</f>
        <v>0</v>
      </c>
      <c r="M94" s="39">
        <f>IFERROR(__xludf.DUMMYFUNCTION("IMPORTRANGE(""https://docs.google.com/spreadsheets/d/1CaLR8gtRCp0-wyyH0y5IvQnenreOSKFOo8AF4Pfpekc/edit?gid=400822622#gid=400822622"", ""GRADE 12!V""&amp;ROW(W18))"),0.0)</f>
        <v>0</v>
      </c>
      <c r="N94" s="40" t="str">
        <f t="shared" si="8"/>
        <v>COMPLETE</v>
      </c>
    </row>
    <row r="95" ht="22.5" customHeight="1">
      <c r="A95" s="63" t="s">
        <v>178</v>
      </c>
      <c r="B95" s="64">
        <v>12.0</v>
      </c>
      <c r="C95" s="64" t="s">
        <v>201</v>
      </c>
      <c r="D95" s="65" t="s">
        <v>21</v>
      </c>
      <c r="E95" s="66" t="s">
        <v>202</v>
      </c>
      <c r="F95" s="66" t="s">
        <v>27</v>
      </c>
      <c r="G95" s="67">
        <v>17.0</v>
      </c>
      <c r="H95" s="67">
        <v>29.0</v>
      </c>
      <c r="I95" s="35">
        <f t="shared" si="6"/>
        <v>46</v>
      </c>
      <c r="J95" s="68">
        <f t="shared" si="7"/>
        <v>7</v>
      </c>
      <c r="K95" s="37">
        <f>IFERROR(__xludf.DUMMYFUNCTION("IMPORTRANGE(""https://docs.google.com/spreadsheets/d/1CaLR8gtRCp0-wyyH0y5IvQnenreOSKFOo8AF4Pfpekc/edit?gid=400822622#gid=400822622"", ""GRADE 12!T""&amp;ROW(U19))"),7.0)</f>
        <v>7</v>
      </c>
      <c r="L95" s="38">
        <f>IFERROR(__xludf.DUMMYFUNCTION("IMPORTRANGE(""https://docs.google.com/spreadsheets/d/1CaLR8gtRCp0-wyyH0y5IvQnenreOSKFOo8AF4Pfpekc/edit?gid=400822622#gid=400822622"", ""GRADE 12!U""&amp;ROW(V19))"),0.0)</f>
        <v>0</v>
      </c>
      <c r="M95" s="39">
        <f>IFERROR(__xludf.DUMMYFUNCTION("IMPORTRANGE(""https://docs.google.com/spreadsheets/d/1CaLR8gtRCp0-wyyH0y5IvQnenreOSKFOo8AF4Pfpekc/edit?gid=400822622#gid=400822622"", ""GRADE 12!V""&amp;ROW(W19))"),0.0)</f>
        <v>0</v>
      </c>
      <c r="N95" s="40" t="str">
        <f t="shared" si="8"/>
        <v>COMPLETE</v>
      </c>
    </row>
    <row r="96" ht="22.5" customHeight="1">
      <c r="A96" s="63" t="s">
        <v>178</v>
      </c>
      <c r="B96" s="64">
        <v>13.0</v>
      </c>
      <c r="C96" s="64" t="s">
        <v>203</v>
      </c>
      <c r="D96" s="65" t="s">
        <v>21</v>
      </c>
      <c r="E96" s="66" t="s">
        <v>204</v>
      </c>
      <c r="F96" s="66" t="s">
        <v>21</v>
      </c>
      <c r="G96" s="67">
        <v>19.0</v>
      </c>
      <c r="H96" s="67">
        <v>29.0</v>
      </c>
      <c r="I96" s="35">
        <f t="shared" si="6"/>
        <v>48</v>
      </c>
      <c r="J96" s="68">
        <f t="shared" si="7"/>
        <v>7</v>
      </c>
      <c r="K96" s="37">
        <f>IFERROR(__xludf.DUMMYFUNCTION("IMPORTRANGE(""https://docs.google.com/spreadsheets/d/1CaLR8gtRCp0-wyyH0y5IvQnenreOSKFOo8AF4Pfpekc/edit?gid=400822622#gid=400822622"", ""GRADE 12!T""&amp;ROW(U20))"),7.0)</f>
        <v>7</v>
      </c>
      <c r="L96" s="38">
        <f>IFERROR(__xludf.DUMMYFUNCTION("IMPORTRANGE(""https://docs.google.com/spreadsheets/d/1CaLR8gtRCp0-wyyH0y5IvQnenreOSKFOo8AF4Pfpekc/edit?gid=400822622#gid=400822622"", ""GRADE 12!U""&amp;ROW(V20))"),0.0)</f>
        <v>0</v>
      </c>
      <c r="M96" s="39">
        <f>IFERROR(__xludf.DUMMYFUNCTION("IMPORTRANGE(""https://docs.google.com/spreadsheets/d/1CaLR8gtRCp0-wyyH0y5IvQnenreOSKFOo8AF4Pfpekc/edit?gid=400822622#gid=400822622"", ""GRADE 12!V""&amp;ROW(W20))"),0.0)</f>
        <v>0</v>
      </c>
      <c r="N96" s="40" t="str">
        <f t="shared" si="8"/>
        <v>COMPLETE</v>
      </c>
    </row>
    <row r="97" ht="22.5" customHeight="1">
      <c r="A97" s="63" t="s">
        <v>178</v>
      </c>
      <c r="B97" s="64">
        <v>14.0</v>
      </c>
      <c r="C97" s="64" t="s">
        <v>205</v>
      </c>
      <c r="D97" s="65" t="s">
        <v>21</v>
      </c>
      <c r="E97" s="66" t="s">
        <v>206</v>
      </c>
      <c r="F97" s="66" t="s">
        <v>21</v>
      </c>
      <c r="G97" s="67">
        <v>17.0</v>
      </c>
      <c r="H97" s="67">
        <v>29.0</v>
      </c>
      <c r="I97" s="35">
        <f t="shared" si="6"/>
        <v>46</v>
      </c>
      <c r="J97" s="68">
        <f t="shared" si="7"/>
        <v>7</v>
      </c>
      <c r="K97" s="37">
        <f>IFERROR(__xludf.DUMMYFUNCTION("IMPORTRANGE(""https://docs.google.com/spreadsheets/d/1CaLR8gtRCp0-wyyH0y5IvQnenreOSKFOo8AF4Pfpekc/edit?gid=400822622#gid=400822622"", ""GRADE 12!T""&amp;ROW(U21))"),7.0)</f>
        <v>7</v>
      </c>
      <c r="L97" s="38">
        <f>IFERROR(__xludf.DUMMYFUNCTION("IMPORTRANGE(""https://docs.google.com/spreadsheets/d/1CaLR8gtRCp0-wyyH0y5IvQnenreOSKFOo8AF4Pfpekc/edit?gid=400822622#gid=400822622"", ""GRADE 12!U""&amp;ROW(V21))"),0.0)</f>
        <v>0</v>
      </c>
      <c r="M97" s="39">
        <f>IFERROR(__xludf.DUMMYFUNCTION("IMPORTRANGE(""https://docs.google.com/spreadsheets/d/1CaLR8gtRCp0-wyyH0y5IvQnenreOSKFOo8AF4Pfpekc/edit?gid=400822622#gid=400822622"", ""GRADE 12!V""&amp;ROW(W21))"),0.0)</f>
        <v>0</v>
      </c>
      <c r="N97" s="40" t="str">
        <f t="shared" si="8"/>
        <v>COMPLETE</v>
      </c>
    </row>
    <row r="98" ht="22.5" customHeight="1">
      <c r="A98" s="63" t="s">
        <v>178</v>
      </c>
      <c r="B98" s="64">
        <v>15.0</v>
      </c>
      <c r="C98" s="64" t="s">
        <v>207</v>
      </c>
      <c r="D98" s="65" t="s">
        <v>55</v>
      </c>
      <c r="E98" s="66" t="s">
        <v>208</v>
      </c>
      <c r="F98" s="66" t="s">
        <v>30</v>
      </c>
      <c r="G98" s="67">
        <v>25.0</v>
      </c>
      <c r="H98" s="67">
        <v>27.0</v>
      </c>
      <c r="I98" s="35">
        <f t="shared" si="6"/>
        <v>52</v>
      </c>
      <c r="J98" s="68">
        <f t="shared" si="7"/>
        <v>8</v>
      </c>
      <c r="K98" s="37">
        <f>IFERROR(__xludf.DUMMYFUNCTION("IMPORTRANGE(""https://docs.google.com/spreadsheets/d/1CaLR8gtRCp0-wyyH0y5IvQnenreOSKFOo8AF4Pfpekc/edit?gid=400822622#gid=400822622"", ""GRADE 12!T""&amp;ROW(U22))"),8.0)</f>
        <v>8</v>
      </c>
      <c r="L98" s="38">
        <f>IFERROR(__xludf.DUMMYFUNCTION("IMPORTRANGE(""https://docs.google.com/spreadsheets/d/1CaLR8gtRCp0-wyyH0y5IvQnenreOSKFOo8AF4Pfpekc/edit?gid=400822622#gid=400822622"", ""GRADE 12!U""&amp;ROW(V22))"),0.0)</f>
        <v>0</v>
      </c>
      <c r="M98" s="39">
        <f>IFERROR(__xludf.DUMMYFUNCTION("IMPORTRANGE(""https://docs.google.com/spreadsheets/d/1CaLR8gtRCp0-wyyH0y5IvQnenreOSKFOo8AF4Pfpekc/edit?gid=400822622#gid=400822622"", ""GRADE 12!V""&amp;ROW(W22))"),0.0)</f>
        <v>0</v>
      </c>
      <c r="N98" s="40" t="str">
        <f t="shared" si="8"/>
        <v>COMPLETE</v>
      </c>
    </row>
    <row r="99" ht="22.5" customHeight="1">
      <c r="A99" s="63" t="s">
        <v>178</v>
      </c>
      <c r="B99" s="64">
        <v>16.0</v>
      </c>
      <c r="C99" s="64" t="s">
        <v>209</v>
      </c>
      <c r="D99" s="65" t="s">
        <v>55</v>
      </c>
      <c r="E99" s="66" t="s">
        <v>210</v>
      </c>
      <c r="F99" s="66" t="s">
        <v>21</v>
      </c>
      <c r="G99" s="67">
        <v>24.0</v>
      </c>
      <c r="H99" s="67">
        <v>31.0</v>
      </c>
      <c r="I99" s="35">
        <f t="shared" si="6"/>
        <v>55</v>
      </c>
      <c r="J99" s="68">
        <f t="shared" si="7"/>
        <v>8</v>
      </c>
      <c r="K99" s="37">
        <f>IFERROR(__xludf.DUMMYFUNCTION("IMPORTRANGE(""https://docs.google.com/spreadsheets/d/1CaLR8gtRCp0-wyyH0y5IvQnenreOSKFOo8AF4Pfpekc/edit?gid=400822622#gid=400822622"", ""GRADE 12!T""&amp;ROW(U23))"),8.0)</f>
        <v>8</v>
      </c>
      <c r="L99" s="38">
        <f>IFERROR(__xludf.DUMMYFUNCTION("IMPORTRANGE(""https://docs.google.com/spreadsheets/d/1CaLR8gtRCp0-wyyH0y5IvQnenreOSKFOo8AF4Pfpekc/edit?gid=400822622#gid=400822622"", ""GRADE 12!U""&amp;ROW(V23))"),0.0)</f>
        <v>0</v>
      </c>
      <c r="M99" s="39">
        <f>IFERROR(__xludf.DUMMYFUNCTION("IMPORTRANGE(""https://docs.google.com/spreadsheets/d/1CaLR8gtRCp0-wyyH0y5IvQnenreOSKFOo8AF4Pfpekc/edit?gid=400822622#gid=400822622"", ""GRADE 12!V""&amp;ROW(W23))"),0.0)</f>
        <v>0</v>
      </c>
      <c r="N99" s="40" t="str">
        <f t="shared" si="8"/>
        <v>COMPLETE</v>
      </c>
    </row>
    <row r="100" ht="22.5" customHeight="1">
      <c r="A100" s="63" t="s">
        <v>178</v>
      </c>
      <c r="B100" s="64">
        <v>17.0</v>
      </c>
      <c r="C100" s="64" t="s">
        <v>211</v>
      </c>
      <c r="D100" s="65" t="s">
        <v>55</v>
      </c>
      <c r="E100" s="66" t="s">
        <v>212</v>
      </c>
      <c r="F100" s="66" t="s">
        <v>27</v>
      </c>
      <c r="G100" s="67">
        <v>25.0</v>
      </c>
      <c r="H100" s="67">
        <v>31.0</v>
      </c>
      <c r="I100" s="35">
        <f t="shared" si="6"/>
        <v>56</v>
      </c>
      <c r="J100" s="68">
        <f t="shared" si="7"/>
        <v>8</v>
      </c>
      <c r="K100" s="37">
        <f>IFERROR(__xludf.DUMMYFUNCTION("IMPORTRANGE(""https://docs.google.com/spreadsheets/d/1CaLR8gtRCp0-wyyH0y5IvQnenreOSKFOo8AF4Pfpekc/edit?gid=400822622#gid=400822622"", ""GRADE 12!T""&amp;ROW(U24))"),8.0)</f>
        <v>8</v>
      </c>
      <c r="L100" s="38">
        <f>IFERROR(__xludf.DUMMYFUNCTION("IMPORTRANGE(""https://docs.google.com/spreadsheets/d/1CaLR8gtRCp0-wyyH0y5IvQnenreOSKFOo8AF4Pfpekc/edit?gid=400822622#gid=400822622"", ""GRADE 12!U""&amp;ROW(V24))"),0.0)</f>
        <v>0</v>
      </c>
      <c r="M100" s="39">
        <f>IFERROR(__xludf.DUMMYFUNCTION("IMPORTRANGE(""https://docs.google.com/spreadsheets/d/1CaLR8gtRCp0-wyyH0y5IvQnenreOSKFOo8AF4Pfpekc/edit?gid=400822622#gid=400822622"", ""GRADE 12!V""&amp;ROW(W24))"),0.0)</f>
        <v>0</v>
      </c>
      <c r="N100" s="40" t="str">
        <f t="shared" si="8"/>
        <v>COMPLETE</v>
      </c>
    </row>
    <row r="101" ht="22.5" customHeight="1">
      <c r="A101" s="63" t="s">
        <v>178</v>
      </c>
      <c r="B101" s="64">
        <v>18.0</v>
      </c>
      <c r="C101" s="64" t="s">
        <v>213</v>
      </c>
      <c r="D101" s="65" t="s">
        <v>55</v>
      </c>
      <c r="E101" s="66" t="s">
        <v>214</v>
      </c>
      <c r="F101" s="66" t="s">
        <v>27</v>
      </c>
      <c r="G101" s="67">
        <v>26.0</v>
      </c>
      <c r="H101" s="67">
        <v>32.0</v>
      </c>
      <c r="I101" s="35">
        <f t="shared" si="6"/>
        <v>58</v>
      </c>
      <c r="J101" s="68">
        <f t="shared" si="7"/>
        <v>8</v>
      </c>
      <c r="K101" s="37">
        <f>IFERROR(__xludf.DUMMYFUNCTION("IMPORTRANGE(""https://docs.google.com/spreadsheets/d/1CaLR8gtRCp0-wyyH0y5IvQnenreOSKFOo8AF4Pfpekc/edit?gid=400822622#gid=400822622"", ""GRADE 12!T""&amp;ROW(U25))"),8.0)</f>
        <v>8</v>
      </c>
      <c r="L101" s="38">
        <f>IFERROR(__xludf.DUMMYFUNCTION("IMPORTRANGE(""https://docs.google.com/spreadsheets/d/1CaLR8gtRCp0-wyyH0y5IvQnenreOSKFOo8AF4Pfpekc/edit?gid=400822622#gid=400822622"", ""GRADE 12!U""&amp;ROW(V25))"),0.0)</f>
        <v>0</v>
      </c>
      <c r="M101" s="39">
        <f>IFERROR(__xludf.DUMMYFUNCTION("IMPORTRANGE(""https://docs.google.com/spreadsheets/d/1CaLR8gtRCp0-wyyH0y5IvQnenreOSKFOo8AF4Pfpekc/edit?gid=400822622#gid=400822622"", ""GRADE 12!V""&amp;ROW(W25))"),0.0)</f>
        <v>0</v>
      </c>
      <c r="N101" s="40" t="str">
        <f t="shared" si="8"/>
        <v>COMPLETE</v>
      </c>
    </row>
    <row r="102" ht="22.5" customHeight="1">
      <c r="A102" s="63" t="s">
        <v>178</v>
      </c>
      <c r="B102" s="64">
        <v>19.0</v>
      </c>
      <c r="C102" s="64" t="s">
        <v>215</v>
      </c>
      <c r="D102" s="65" t="s">
        <v>55</v>
      </c>
      <c r="E102" s="66" t="s">
        <v>216</v>
      </c>
      <c r="F102" s="66" t="s">
        <v>55</v>
      </c>
      <c r="G102" s="67">
        <v>26.0</v>
      </c>
      <c r="H102" s="67">
        <v>30.0</v>
      </c>
      <c r="I102" s="35">
        <f t="shared" si="6"/>
        <v>56</v>
      </c>
      <c r="J102" s="68">
        <f t="shared" si="7"/>
        <v>8</v>
      </c>
      <c r="K102" s="37">
        <f>IFERROR(__xludf.DUMMYFUNCTION("IMPORTRANGE(""https://docs.google.com/spreadsheets/d/1CaLR8gtRCp0-wyyH0y5IvQnenreOSKFOo8AF4Pfpekc/edit?gid=400822622#gid=400822622"", ""GRADE 12!T""&amp;ROW(U26))"),8.0)</f>
        <v>8</v>
      </c>
      <c r="L102" s="38">
        <f>IFERROR(__xludf.DUMMYFUNCTION("IMPORTRANGE(""https://docs.google.com/spreadsheets/d/1CaLR8gtRCp0-wyyH0y5IvQnenreOSKFOo8AF4Pfpekc/edit?gid=400822622#gid=400822622"", ""GRADE 12!U""&amp;ROW(V26))"),0.0)</f>
        <v>0</v>
      </c>
      <c r="M102" s="39">
        <f>IFERROR(__xludf.DUMMYFUNCTION("IMPORTRANGE(""https://docs.google.com/spreadsheets/d/1CaLR8gtRCp0-wyyH0y5IvQnenreOSKFOo8AF4Pfpekc/edit?gid=400822622#gid=400822622"", ""GRADE 12!V""&amp;ROW(W26))"),0.0)</f>
        <v>0</v>
      </c>
      <c r="N102" s="40" t="str">
        <f t="shared" si="8"/>
        <v>COMPLETE</v>
      </c>
    </row>
    <row r="103" ht="22.5" customHeight="1">
      <c r="A103" s="63" t="s">
        <v>178</v>
      </c>
      <c r="B103" s="64">
        <v>20.0</v>
      </c>
      <c r="C103" s="64" t="s">
        <v>217</v>
      </c>
      <c r="D103" s="65" t="s">
        <v>55</v>
      </c>
      <c r="E103" s="66" t="s">
        <v>218</v>
      </c>
      <c r="F103" s="66" t="s">
        <v>27</v>
      </c>
      <c r="G103" s="67">
        <v>23.0</v>
      </c>
      <c r="H103" s="67">
        <v>31.0</v>
      </c>
      <c r="I103" s="35">
        <f t="shared" si="6"/>
        <v>54</v>
      </c>
      <c r="J103" s="68">
        <f t="shared" si="7"/>
        <v>8</v>
      </c>
      <c r="K103" s="37">
        <f>IFERROR(__xludf.DUMMYFUNCTION("IMPORTRANGE(""https://docs.google.com/spreadsheets/d/1CaLR8gtRCp0-wyyH0y5IvQnenreOSKFOo8AF4Pfpekc/edit?gid=400822622#gid=400822622"", ""GRADE 12!T""&amp;ROW(U27))"),8.0)</f>
        <v>8</v>
      </c>
      <c r="L103" s="38">
        <f>IFERROR(__xludf.DUMMYFUNCTION("IMPORTRANGE(""https://docs.google.com/spreadsheets/d/1CaLR8gtRCp0-wyyH0y5IvQnenreOSKFOo8AF4Pfpekc/edit?gid=400822622#gid=400822622"", ""GRADE 12!U""&amp;ROW(V27))"),0.0)</f>
        <v>0</v>
      </c>
      <c r="M103" s="39">
        <f>IFERROR(__xludf.DUMMYFUNCTION("IMPORTRANGE(""https://docs.google.com/spreadsheets/d/1CaLR8gtRCp0-wyyH0y5IvQnenreOSKFOo8AF4Pfpekc/edit?gid=400822622#gid=400822622"", ""GRADE 12!V""&amp;ROW(W27))"),0.0)</f>
        <v>0</v>
      </c>
      <c r="N103" s="40" t="str">
        <f t="shared" si="8"/>
        <v>COMPLETE</v>
      </c>
    </row>
    <row r="104" ht="22.5" customHeight="1">
      <c r="A104" s="63" t="s">
        <v>178</v>
      </c>
      <c r="B104" s="64">
        <v>21.0</v>
      </c>
      <c r="C104" s="64" t="s">
        <v>219</v>
      </c>
      <c r="D104" s="65" t="s">
        <v>55</v>
      </c>
      <c r="E104" s="66" t="s">
        <v>220</v>
      </c>
      <c r="F104" s="66" t="s">
        <v>55</v>
      </c>
      <c r="G104" s="67">
        <v>22.0</v>
      </c>
      <c r="H104" s="67">
        <v>30.0</v>
      </c>
      <c r="I104" s="35">
        <f t="shared" si="6"/>
        <v>52</v>
      </c>
      <c r="J104" s="68">
        <f t="shared" si="7"/>
        <v>8</v>
      </c>
      <c r="K104" s="37">
        <f>IFERROR(__xludf.DUMMYFUNCTION("IMPORTRANGE(""https://docs.google.com/spreadsheets/d/1CaLR8gtRCp0-wyyH0y5IvQnenreOSKFOo8AF4Pfpekc/edit?gid=400822622#gid=400822622"", ""GRADE 12!T""&amp;ROW(U28))"),8.0)</f>
        <v>8</v>
      </c>
      <c r="L104" s="38">
        <f>IFERROR(__xludf.DUMMYFUNCTION("IMPORTRANGE(""https://docs.google.com/spreadsheets/d/1CaLR8gtRCp0-wyyH0y5IvQnenreOSKFOo8AF4Pfpekc/edit?gid=400822622#gid=400822622"", ""GRADE 12!U""&amp;ROW(V28))"),0.0)</f>
        <v>0</v>
      </c>
      <c r="M104" s="39">
        <f>IFERROR(__xludf.DUMMYFUNCTION("IMPORTRANGE(""https://docs.google.com/spreadsheets/d/1CaLR8gtRCp0-wyyH0y5IvQnenreOSKFOo8AF4Pfpekc/edit?gid=400822622#gid=400822622"", ""GRADE 12!V""&amp;ROW(W28))"),0.0)</f>
        <v>0</v>
      </c>
      <c r="N104" s="40" t="str">
        <f t="shared" si="8"/>
        <v>COMPLETE</v>
      </c>
    </row>
    <row r="105" ht="22.5" customHeight="1">
      <c r="A105" s="63" t="s">
        <v>178</v>
      </c>
      <c r="B105" s="64">
        <v>22.0</v>
      </c>
      <c r="C105" s="64" t="s">
        <v>221</v>
      </c>
      <c r="D105" s="65" t="s">
        <v>55</v>
      </c>
      <c r="E105" s="66" t="s">
        <v>222</v>
      </c>
      <c r="F105" s="66" t="s">
        <v>27</v>
      </c>
      <c r="G105" s="67">
        <v>23.0</v>
      </c>
      <c r="H105" s="67">
        <v>29.0</v>
      </c>
      <c r="I105" s="35">
        <f t="shared" si="6"/>
        <v>52</v>
      </c>
      <c r="J105" s="68">
        <f t="shared" si="7"/>
        <v>8</v>
      </c>
      <c r="K105" s="37">
        <f>IFERROR(__xludf.DUMMYFUNCTION("IMPORTRANGE(""https://docs.google.com/spreadsheets/d/1CaLR8gtRCp0-wyyH0y5IvQnenreOSKFOo8AF4Pfpekc/edit?gid=400822622#gid=400822622"", ""GRADE 12!T""&amp;ROW(U29))"),8.0)</f>
        <v>8</v>
      </c>
      <c r="L105" s="38">
        <f>IFERROR(__xludf.DUMMYFUNCTION("IMPORTRANGE(""https://docs.google.com/spreadsheets/d/1CaLR8gtRCp0-wyyH0y5IvQnenreOSKFOo8AF4Pfpekc/edit?gid=400822622#gid=400822622"", ""GRADE 12!U""&amp;ROW(V29))"),0.0)</f>
        <v>0</v>
      </c>
      <c r="M105" s="39">
        <f>IFERROR(__xludf.DUMMYFUNCTION("IMPORTRANGE(""https://docs.google.com/spreadsheets/d/1CaLR8gtRCp0-wyyH0y5IvQnenreOSKFOo8AF4Pfpekc/edit?gid=400822622#gid=400822622"", ""GRADE 12!V""&amp;ROW(W29))"),0.0)</f>
        <v>0</v>
      </c>
      <c r="N105" s="40" t="str">
        <f t="shared" si="8"/>
        <v>COMPLETE</v>
      </c>
    </row>
    <row r="106" ht="22.5" customHeight="1">
      <c r="A106" s="63" t="s">
        <v>178</v>
      </c>
      <c r="B106" s="64">
        <v>23.0</v>
      </c>
      <c r="C106" s="64" t="s">
        <v>223</v>
      </c>
      <c r="D106" s="65" t="s">
        <v>55</v>
      </c>
      <c r="E106" s="66" t="s">
        <v>224</v>
      </c>
      <c r="F106" s="66" t="s">
        <v>55</v>
      </c>
      <c r="G106" s="67">
        <v>21.0</v>
      </c>
      <c r="H106" s="67">
        <v>28.0</v>
      </c>
      <c r="I106" s="35">
        <f t="shared" si="6"/>
        <v>49</v>
      </c>
      <c r="J106" s="68">
        <f t="shared" si="7"/>
        <v>8</v>
      </c>
      <c r="K106" s="37">
        <f>IFERROR(__xludf.DUMMYFUNCTION("IMPORTRANGE(""https://docs.google.com/spreadsheets/d/1CaLR8gtRCp0-wyyH0y5IvQnenreOSKFOo8AF4Pfpekc/edit?gid=400822622#gid=400822622"", ""GRADE 12!T""&amp;ROW(U30))"),8.0)</f>
        <v>8</v>
      </c>
      <c r="L106" s="38">
        <f>IFERROR(__xludf.DUMMYFUNCTION("IMPORTRANGE(""https://docs.google.com/spreadsheets/d/1CaLR8gtRCp0-wyyH0y5IvQnenreOSKFOo8AF4Pfpekc/edit?gid=400822622#gid=400822622"", ""GRADE 12!U""&amp;ROW(V30))"),0.0)</f>
        <v>0</v>
      </c>
      <c r="M106" s="39">
        <f>IFERROR(__xludf.DUMMYFUNCTION("IMPORTRANGE(""https://docs.google.com/spreadsheets/d/1CaLR8gtRCp0-wyyH0y5IvQnenreOSKFOo8AF4Pfpekc/edit?gid=400822622#gid=400822622"", ""GRADE 12!V""&amp;ROW(W30))"),0.0)</f>
        <v>0</v>
      </c>
      <c r="N106" s="40" t="str">
        <f t="shared" si="8"/>
        <v>COMPLETE</v>
      </c>
    </row>
    <row r="107" ht="22.5" customHeight="1">
      <c r="A107" s="63" t="s">
        <v>178</v>
      </c>
      <c r="B107" s="64">
        <v>24.0</v>
      </c>
      <c r="C107" s="64" t="s">
        <v>225</v>
      </c>
      <c r="D107" s="65" t="s">
        <v>55</v>
      </c>
      <c r="E107" s="66" t="s">
        <v>226</v>
      </c>
      <c r="F107" s="66" t="s">
        <v>55</v>
      </c>
      <c r="G107" s="67">
        <v>23.0</v>
      </c>
      <c r="H107" s="67">
        <v>29.0</v>
      </c>
      <c r="I107" s="35">
        <f t="shared" si="6"/>
        <v>52</v>
      </c>
      <c r="J107" s="68">
        <f t="shared" si="7"/>
        <v>8</v>
      </c>
      <c r="K107" s="37">
        <f>IFERROR(__xludf.DUMMYFUNCTION("IMPORTRANGE(""https://docs.google.com/spreadsheets/d/1CaLR8gtRCp0-wyyH0y5IvQnenreOSKFOo8AF4Pfpekc/edit?gid=400822622#gid=400822622"", ""GRADE 12!T""&amp;ROW(U31))"),8.0)</f>
        <v>8</v>
      </c>
      <c r="L107" s="38">
        <f>IFERROR(__xludf.DUMMYFUNCTION("IMPORTRANGE(""https://docs.google.com/spreadsheets/d/1CaLR8gtRCp0-wyyH0y5IvQnenreOSKFOo8AF4Pfpekc/edit?gid=400822622#gid=400822622"", ""GRADE 12!U""&amp;ROW(V31))"),0.0)</f>
        <v>0</v>
      </c>
      <c r="M107" s="39">
        <f>IFERROR(__xludf.DUMMYFUNCTION("IMPORTRANGE(""https://docs.google.com/spreadsheets/d/1CaLR8gtRCp0-wyyH0y5IvQnenreOSKFOo8AF4Pfpekc/edit?gid=400822622#gid=400822622"", ""GRADE 12!V""&amp;ROW(W31))"),0.0)</f>
        <v>0</v>
      </c>
      <c r="N107" s="40" t="str">
        <f t="shared" si="8"/>
        <v>COMPLETE</v>
      </c>
    </row>
    <row r="108" ht="22.5" customHeight="1">
      <c r="A108" s="63" t="s">
        <v>178</v>
      </c>
      <c r="B108" s="64">
        <v>25.0</v>
      </c>
      <c r="C108" s="64" t="s">
        <v>227</v>
      </c>
      <c r="D108" s="65" t="s">
        <v>55</v>
      </c>
      <c r="E108" s="66" t="s">
        <v>228</v>
      </c>
      <c r="F108" s="66" t="s">
        <v>27</v>
      </c>
      <c r="G108" s="67">
        <v>23.0</v>
      </c>
      <c r="H108" s="67">
        <v>30.0</v>
      </c>
      <c r="I108" s="35">
        <f t="shared" si="6"/>
        <v>53</v>
      </c>
      <c r="J108" s="68">
        <f t="shared" si="7"/>
        <v>7</v>
      </c>
      <c r="K108" s="37">
        <f>IFERROR(__xludf.DUMMYFUNCTION("IMPORTRANGE(""https://docs.google.com/spreadsheets/d/1CaLR8gtRCp0-wyyH0y5IvQnenreOSKFOo8AF4Pfpekc/edit?gid=400822622#gid=400822622"", ""GRADE 12!T""&amp;ROW(U32))"),7.0)</f>
        <v>7</v>
      </c>
      <c r="L108" s="38">
        <f>IFERROR(__xludf.DUMMYFUNCTION("IMPORTRANGE(""https://docs.google.com/spreadsheets/d/1CaLR8gtRCp0-wyyH0y5IvQnenreOSKFOo8AF4Pfpekc/edit?gid=400822622#gid=400822622"", ""GRADE 12!U""&amp;ROW(V32))"),0.0)</f>
        <v>0</v>
      </c>
      <c r="M108" s="39">
        <f>IFERROR(__xludf.DUMMYFUNCTION("IMPORTRANGE(""https://docs.google.com/spreadsheets/d/1CaLR8gtRCp0-wyyH0y5IvQnenreOSKFOo8AF4Pfpekc/edit?gid=400822622#gid=400822622"", ""GRADE 12!V""&amp;ROW(W32))"),0.0)</f>
        <v>0</v>
      </c>
      <c r="N108" s="40" t="str">
        <f t="shared" si="8"/>
        <v>COMPLETE</v>
      </c>
    </row>
    <row r="109" ht="22.5" customHeight="1">
      <c r="A109" s="63" t="s">
        <v>178</v>
      </c>
      <c r="B109" s="64">
        <v>26.0</v>
      </c>
      <c r="C109" s="64" t="s">
        <v>229</v>
      </c>
      <c r="D109" s="65" t="s">
        <v>55</v>
      </c>
      <c r="E109" s="66" t="s">
        <v>230</v>
      </c>
      <c r="F109" s="66" t="s">
        <v>27</v>
      </c>
      <c r="G109" s="67">
        <v>24.0</v>
      </c>
      <c r="H109" s="67">
        <v>28.0</v>
      </c>
      <c r="I109" s="35">
        <f t="shared" si="6"/>
        <v>52</v>
      </c>
      <c r="J109" s="68">
        <f t="shared" si="7"/>
        <v>7</v>
      </c>
      <c r="K109" s="37">
        <f>IFERROR(__xludf.DUMMYFUNCTION("IMPORTRANGE(""https://docs.google.com/spreadsheets/d/1CaLR8gtRCp0-wyyH0y5IvQnenreOSKFOo8AF4Pfpekc/edit?gid=400822622#gid=400822622"", ""GRADE 12!T""&amp;ROW(U33))"),7.0)</f>
        <v>7</v>
      </c>
      <c r="L109" s="38">
        <f>IFERROR(__xludf.DUMMYFUNCTION("IMPORTRANGE(""https://docs.google.com/spreadsheets/d/1CaLR8gtRCp0-wyyH0y5IvQnenreOSKFOo8AF4Pfpekc/edit?gid=400822622#gid=400822622"", ""GRADE 12!U""&amp;ROW(V33))"),0.0)</f>
        <v>0</v>
      </c>
      <c r="M109" s="39">
        <f>IFERROR(__xludf.DUMMYFUNCTION("IMPORTRANGE(""https://docs.google.com/spreadsheets/d/1CaLR8gtRCp0-wyyH0y5IvQnenreOSKFOo8AF4Pfpekc/edit?gid=400822622#gid=400822622"", ""GRADE 12!V""&amp;ROW(W33))"),0.0)</f>
        <v>0</v>
      </c>
      <c r="N109" s="40" t="str">
        <f t="shared" si="8"/>
        <v>COMPLETE</v>
      </c>
    </row>
    <row r="110" ht="22.5" customHeight="1">
      <c r="A110" s="63" t="s">
        <v>178</v>
      </c>
      <c r="B110" s="64">
        <v>27.0</v>
      </c>
      <c r="C110" s="64" t="s">
        <v>231</v>
      </c>
      <c r="D110" s="65" t="s">
        <v>55</v>
      </c>
      <c r="E110" s="66" t="s">
        <v>232</v>
      </c>
      <c r="F110" s="66" t="s">
        <v>55</v>
      </c>
      <c r="G110" s="67">
        <v>23.0</v>
      </c>
      <c r="H110" s="67">
        <v>30.0</v>
      </c>
      <c r="I110" s="35">
        <f t="shared" si="6"/>
        <v>53</v>
      </c>
      <c r="J110" s="68">
        <f t="shared" si="7"/>
        <v>7</v>
      </c>
      <c r="K110" s="37">
        <f>IFERROR(__xludf.DUMMYFUNCTION("IMPORTRANGE(""https://docs.google.com/spreadsheets/d/1CaLR8gtRCp0-wyyH0y5IvQnenreOSKFOo8AF4Pfpekc/edit?gid=400822622#gid=400822622"", ""GRADE 12!T""&amp;ROW(U34))"),7.0)</f>
        <v>7</v>
      </c>
      <c r="L110" s="38">
        <f>IFERROR(__xludf.DUMMYFUNCTION("IMPORTRANGE(""https://docs.google.com/spreadsheets/d/1CaLR8gtRCp0-wyyH0y5IvQnenreOSKFOo8AF4Pfpekc/edit?gid=400822622#gid=400822622"", ""GRADE 12!U""&amp;ROW(V34))"),0.0)</f>
        <v>0</v>
      </c>
      <c r="M110" s="39">
        <f>IFERROR(__xludf.DUMMYFUNCTION("IMPORTRANGE(""https://docs.google.com/spreadsheets/d/1CaLR8gtRCp0-wyyH0y5IvQnenreOSKFOo8AF4Pfpekc/edit?gid=400822622#gid=400822622"", ""GRADE 12!V""&amp;ROW(W34))"),0.0)</f>
        <v>0</v>
      </c>
      <c r="N110" s="40" t="str">
        <f t="shared" si="8"/>
        <v>COMPLETE</v>
      </c>
    </row>
    <row r="111" ht="22.5" customHeight="1">
      <c r="A111" s="63" t="s">
        <v>178</v>
      </c>
      <c r="B111" s="64">
        <v>28.0</v>
      </c>
      <c r="C111" s="64" t="s">
        <v>233</v>
      </c>
      <c r="D111" s="65" t="s">
        <v>55</v>
      </c>
      <c r="E111" s="66" t="s">
        <v>234</v>
      </c>
      <c r="F111" s="66" t="s">
        <v>55</v>
      </c>
      <c r="G111" s="67">
        <v>24.0</v>
      </c>
      <c r="H111" s="67">
        <v>31.0</v>
      </c>
      <c r="I111" s="35">
        <f t="shared" si="6"/>
        <v>55</v>
      </c>
      <c r="J111" s="68">
        <f t="shared" si="7"/>
        <v>7</v>
      </c>
      <c r="K111" s="37">
        <f>IFERROR(__xludf.DUMMYFUNCTION("IMPORTRANGE(""https://docs.google.com/spreadsheets/d/1CaLR8gtRCp0-wyyH0y5IvQnenreOSKFOo8AF4Pfpekc/edit?gid=400822622#gid=400822622"", ""GRADE 12!T""&amp;ROW(U35))"),7.0)</f>
        <v>7</v>
      </c>
      <c r="L111" s="38">
        <f>IFERROR(__xludf.DUMMYFUNCTION("IMPORTRANGE(""https://docs.google.com/spreadsheets/d/1CaLR8gtRCp0-wyyH0y5IvQnenreOSKFOo8AF4Pfpekc/edit?gid=400822622#gid=400822622"", ""GRADE 12!U""&amp;ROW(V35))"),0.0)</f>
        <v>0</v>
      </c>
      <c r="M111" s="39">
        <f>IFERROR(__xludf.DUMMYFUNCTION("IMPORTRANGE(""https://docs.google.com/spreadsheets/d/1CaLR8gtRCp0-wyyH0y5IvQnenreOSKFOo8AF4Pfpekc/edit?gid=400822622#gid=400822622"", ""GRADE 12!V""&amp;ROW(W35))"),0.0)</f>
        <v>0</v>
      </c>
      <c r="N111" s="40" t="str">
        <f t="shared" si="8"/>
        <v>COMPLETE</v>
      </c>
    </row>
    <row r="112" ht="22.5" customHeight="1">
      <c r="A112" s="63" t="s">
        <v>178</v>
      </c>
      <c r="B112" s="64">
        <v>29.0</v>
      </c>
      <c r="C112" s="64" t="s">
        <v>235</v>
      </c>
      <c r="D112" s="65" t="s">
        <v>55</v>
      </c>
      <c r="E112" s="66" t="s">
        <v>236</v>
      </c>
      <c r="F112" s="66" t="s">
        <v>21</v>
      </c>
      <c r="G112" s="67">
        <v>24.0</v>
      </c>
      <c r="H112" s="67">
        <v>30.0</v>
      </c>
      <c r="I112" s="35">
        <f t="shared" si="6"/>
        <v>54</v>
      </c>
      <c r="J112" s="68">
        <f t="shared" si="7"/>
        <v>7</v>
      </c>
      <c r="K112" s="37">
        <f>IFERROR(__xludf.DUMMYFUNCTION("IMPORTRANGE(""https://docs.google.com/spreadsheets/d/1CaLR8gtRCp0-wyyH0y5IvQnenreOSKFOo8AF4Pfpekc/edit?gid=400822622#gid=400822622"", ""GRADE 12!T""&amp;ROW(U36))"),7.0)</f>
        <v>7</v>
      </c>
      <c r="L112" s="38">
        <f>IFERROR(__xludf.DUMMYFUNCTION("IMPORTRANGE(""https://docs.google.com/spreadsheets/d/1CaLR8gtRCp0-wyyH0y5IvQnenreOSKFOo8AF4Pfpekc/edit?gid=400822622#gid=400822622"", ""GRADE 12!U""&amp;ROW(V36))"),0.0)</f>
        <v>0</v>
      </c>
      <c r="M112" s="39">
        <f>IFERROR(__xludf.DUMMYFUNCTION("IMPORTRANGE(""https://docs.google.com/spreadsheets/d/1CaLR8gtRCp0-wyyH0y5IvQnenreOSKFOo8AF4Pfpekc/edit?gid=400822622#gid=400822622"", ""GRADE 12!V""&amp;ROW(W36))"),0.0)</f>
        <v>0</v>
      </c>
      <c r="N112" s="40" t="str">
        <f t="shared" si="8"/>
        <v>COMPLETE</v>
      </c>
    </row>
    <row r="113" ht="22.5" customHeight="1">
      <c r="A113" s="63" t="s">
        <v>178</v>
      </c>
      <c r="B113" s="64">
        <v>30.0</v>
      </c>
      <c r="C113" s="64" t="s">
        <v>237</v>
      </c>
      <c r="D113" s="65" t="s">
        <v>55</v>
      </c>
      <c r="E113" s="66" t="s">
        <v>238</v>
      </c>
      <c r="F113" s="66" t="s">
        <v>27</v>
      </c>
      <c r="G113" s="67">
        <v>21.0</v>
      </c>
      <c r="H113" s="67">
        <v>32.0</v>
      </c>
      <c r="I113" s="35">
        <f t="shared" si="6"/>
        <v>53</v>
      </c>
      <c r="J113" s="68">
        <f t="shared" si="7"/>
        <v>7</v>
      </c>
      <c r="K113" s="37">
        <f>IFERROR(__xludf.DUMMYFUNCTION("IMPORTRANGE(""https://docs.google.com/spreadsheets/d/1CaLR8gtRCp0-wyyH0y5IvQnenreOSKFOo8AF4Pfpekc/edit?gid=400822622#gid=400822622"", ""GRADE 12!T""&amp;ROW(U37))"),7.0)</f>
        <v>7</v>
      </c>
      <c r="L113" s="38">
        <f>IFERROR(__xludf.DUMMYFUNCTION("IMPORTRANGE(""https://docs.google.com/spreadsheets/d/1CaLR8gtRCp0-wyyH0y5IvQnenreOSKFOo8AF4Pfpekc/edit?gid=400822622#gid=400822622"", ""GRADE 12!U""&amp;ROW(V37))"),0.0)</f>
        <v>0</v>
      </c>
      <c r="M113" s="39">
        <f>IFERROR(__xludf.DUMMYFUNCTION("IMPORTRANGE(""https://docs.google.com/spreadsheets/d/1CaLR8gtRCp0-wyyH0y5IvQnenreOSKFOo8AF4Pfpekc/edit?gid=400822622#gid=400822622"", ""GRADE 12!V""&amp;ROW(W37))"),0.0)</f>
        <v>0</v>
      </c>
      <c r="N113" s="40" t="str">
        <f t="shared" si="8"/>
        <v>COMPLETE</v>
      </c>
    </row>
    <row r="114" ht="22.5" customHeight="1">
      <c r="A114" s="63" t="s">
        <v>178</v>
      </c>
      <c r="B114" s="64">
        <v>31.0</v>
      </c>
      <c r="C114" s="64" t="s">
        <v>239</v>
      </c>
      <c r="D114" s="65" t="s">
        <v>88</v>
      </c>
      <c r="E114" s="66" t="s">
        <v>240</v>
      </c>
      <c r="F114" s="66" t="s">
        <v>43</v>
      </c>
      <c r="G114" s="67">
        <v>23.0</v>
      </c>
      <c r="H114" s="67">
        <v>23.0</v>
      </c>
      <c r="I114" s="35">
        <f t="shared" si="6"/>
        <v>46</v>
      </c>
      <c r="J114" s="68">
        <f t="shared" si="7"/>
        <v>8</v>
      </c>
      <c r="K114" s="37">
        <f>IFERROR(__xludf.DUMMYFUNCTION("IMPORTRANGE(""https://docs.google.com/spreadsheets/d/1CaLR8gtRCp0-wyyH0y5IvQnenreOSKFOo8AF4Pfpekc/edit?gid=400822622#gid=400822622"", ""GRADE 12!T""&amp;ROW(U38))"),8.0)</f>
        <v>8</v>
      </c>
      <c r="L114" s="38">
        <f>IFERROR(__xludf.DUMMYFUNCTION("IMPORTRANGE(""https://docs.google.com/spreadsheets/d/1CaLR8gtRCp0-wyyH0y5IvQnenreOSKFOo8AF4Pfpekc/edit?gid=400822622#gid=400822622"", ""GRADE 12!U""&amp;ROW(V38))"),0.0)</f>
        <v>0</v>
      </c>
      <c r="M114" s="39">
        <f>IFERROR(__xludf.DUMMYFUNCTION("IMPORTRANGE(""https://docs.google.com/spreadsheets/d/1CaLR8gtRCp0-wyyH0y5IvQnenreOSKFOo8AF4Pfpekc/edit?gid=400822622#gid=400822622"", ""GRADE 12!V""&amp;ROW(W38))"),0.0)</f>
        <v>0</v>
      </c>
      <c r="N114" s="40" t="str">
        <f t="shared" si="8"/>
        <v>COMPLETE</v>
      </c>
    </row>
    <row r="115" ht="22.5" customHeight="1">
      <c r="A115" s="63" t="s">
        <v>178</v>
      </c>
      <c r="B115" s="64">
        <v>32.0</v>
      </c>
      <c r="C115" s="64" t="s">
        <v>241</v>
      </c>
      <c r="D115" s="65" t="s">
        <v>88</v>
      </c>
      <c r="E115" s="66" t="s">
        <v>242</v>
      </c>
      <c r="F115" s="66" t="s">
        <v>30</v>
      </c>
      <c r="G115" s="67">
        <v>25.0</v>
      </c>
      <c r="H115" s="67">
        <v>23.0</v>
      </c>
      <c r="I115" s="35">
        <f t="shared" si="6"/>
        <v>48</v>
      </c>
      <c r="J115" s="68">
        <f t="shared" si="7"/>
        <v>8</v>
      </c>
      <c r="K115" s="37">
        <f>IFERROR(__xludf.DUMMYFUNCTION("IMPORTRANGE(""https://docs.google.com/spreadsheets/d/1CaLR8gtRCp0-wyyH0y5IvQnenreOSKFOo8AF4Pfpekc/edit?gid=400822622#gid=400822622"", ""GRADE 12!T""&amp;ROW(U39))"),8.0)</f>
        <v>8</v>
      </c>
      <c r="L115" s="38">
        <f>IFERROR(__xludf.DUMMYFUNCTION("IMPORTRANGE(""https://docs.google.com/spreadsheets/d/1CaLR8gtRCp0-wyyH0y5IvQnenreOSKFOo8AF4Pfpekc/edit?gid=400822622#gid=400822622"", ""GRADE 12!U""&amp;ROW(V39))"),0.0)</f>
        <v>0</v>
      </c>
      <c r="M115" s="39">
        <f>IFERROR(__xludf.DUMMYFUNCTION("IMPORTRANGE(""https://docs.google.com/spreadsheets/d/1CaLR8gtRCp0-wyyH0y5IvQnenreOSKFOo8AF4Pfpekc/edit?gid=400822622#gid=400822622"", ""GRADE 12!V""&amp;ROW(W39))"),0.0)</f>
        <v>0</v>
      </c>
      <c r="N115" s="40" t="str">
        <f t="shared" si="8"/>
        <v>COMPLETE</v>
      </c>
    </row>
    <row r="116" ht="22.5" customHeight="1">
      <c r="A116" s="63" t="s">
        <v>178</v>
      </c>
      <c r="B116" s="64">
        <v>33.0</v>
      </c>
      <c r="C116" s="64" t="s">
        <v>243</v>
      </c>
      <c r="D116" s="65" t="s">
        <v>88</v>
      </c>
      <c r="E116" s="66" t="s">
        <v>244</v>
      </c>
      <c r="F116" s="66" t="s">
        <v>21</v>
      </c>
      <c r="G116" s="67">
        <v>22.0</v>
      </c>
      <c r="H116" s="67">
        <v>23.0</v>
      </c>
      <c r="I116" s="35">
        <f t="shared" si="6"/>
        <v>45</v>
      </c>
      <c r="J116" s="68">
        <f t="shared" si="7"/>
        <v>8</v>
      </c>
      <c r="K116" s="37">
        <f>IFERROR(__xludf.DUMMYFUNCTION("IMPORTRANGE(""https://docs.google.com/spreadsheets/d/1CaLR8gtRCp0-wyyH0y5IvQnenreOSKFOo8AF4Pfpekc/edit?gid=400822622#gid=400822622"", ""GRADE 12!T""&amp;ROW(U40))"),8.0)</f>
        <v>8</v>
      </c>
      <c r="L116" s="38">
        <f>IFERROR(__xludf.DUMMYFUNCTION("IMPORTRANGE(""https://docs.google.com/spreadsheets/d/1CaLR8gtRCp0-wyyH0y5IvQnenreOSKFOo8AF4Pfpekc/edit?gid=400822622#gid=400822622"", ""GRADE 12!U""&amp;ROW(V40))"),0.0)</f>
        <v>0</v>
      </c>
      <c r="M116" s="39">
        <f>IFERROR(__xludf.DUMMYFUNCTION("IMPORTRANGE(""https://docs.google.com/spreadsheets/d/1CaLR8gtRCp0-wyyH0y5IvQnenreOSKFOo8AF4Pfpekc/edit?gid=400822622#gid=400822622"", ""GRADE 12!V""&amp;ROW(W40))"),0.0)</f>
        <v>0</v>
      </c>
      <c r="N116" s="40" t="str">
        <f t="shared" si="8"/>
        <v>COMPLETE</v>
      </c>
    </row>
    <row r="117" ht="22.5" customHeight="1">
      <c r="A117" s="63" t="s">
        <v>178</v>
      </c>
      <c r="B117" s="64">
        <v>34.0</v>
      </c>
      <c r="C117" s="64" t="s">
        <v>245</v>
      </c>
      <c r="D117" s="65" t="s">
        <v>88</v>
      </c>
      <c r="E117" s="66" t="s">
        <v>246</v>
      </c>
      <c r="F117" s="66" t="s">
        <v>27</v>
      </c>
      <c r="G117" s="67">
        <v>22.0</v>
      </c>
      <c r="H117" s="67">
        <v>22.0</v>
      </c>
      <c r="I117" s="35">
        <f t="shared" si="6"/>
        <v>44</v>
      </c>
      <c r="J117" s="68">
        <f t="shared" si="7"/>
        <v>8</v>
      </c>
      <c r="K117" s="37">
        <f>IFERROR(__xludf.DUMMYFUNCTION("IMPORTRANGE(""https://docs.google.com/spreadsheets/d/1CaLR8gtRCp0-wyyH0y5IvQnenreOSKFOo8AF4Pfpekc/edit?gid=400822622#gid=400822622"", ""GRADE 12!T""&amp;ROW(U41))"),8.0)</f>
        <v>8</v>
      </c>
      <c r="L117" s="38">
        <f>IFERROR(__xludf.DUMMYFUNCTION("IMPORTRANGE(""https://docs.google.com/spreadsheets/d/1CaLR8gtRCp0-wyyH0y5IvQnenreOSKFOo8AF4Pfpekc/edit?gid=400822622#gid=400822622"", ""GRADE 12!U""&amp;ROW(V41))"),0.0)</f>
        <v>0</v>
      </c>
      <c r="M117" s="39">
        <f>IFERROR(__xludf.DUMMYFUNCTION("IMPORTRANGE(""https://docs.google.com/spreadsheets/d/1CaLR8gtRCp0-wyyH0y5IvQnenreOSKFOo8AF4Pfpekc/edit?gid=400822622#gid=400822622"", ""GRADE 12!V""&amp;ROW(W41))"),0.0)</f>
        <v>0</v>
      </c>
      <c r="N117" s="40" t="str">
        <f t="shared" si="8"/>
        <v>COMPLETE</v>
      </c>
    </row>
    <row r="118" ht="22.5" customHeight="1">
      <c r="A118" s="63" t="s">
        <v>178</v>
      </c>
      <c r="B118" s="64">
        <v>35.0</v>
      </c>
      <c r="C118" s="64" t="s">
        <v>247</v>
      </c>
      <c r="D118" s="65" t="s">
        <v>88</v>
      </c>
      <c r="E118" s="66" t="s">
        <v>248</v>
      </c>
      <c r="F118" s="66" t="s">
        <v>55</v>
      </c>
      <c r="G118" s="67">
        <v>21.0</v>
      </c>
      <c r="H118" s="67">
        <v>23.0</v>
      </c>
      <c r="I118" s="35">
        <f t="shared" si="6"/>
        <v>44</v>
      </c>
      <c r="J118" s="68">
        <f t="shared" si="7"/>
        <v>8</v>
      </c>
      <c r="K118" s="37">
        <f>IFERROR(__xludf.DUMMYFUNCTION("IMPORTRANGE(""https://docs.google.com/spreadsheets/d/1CaLR8gtRCp0-wyyH0y5IvQnenreOSKFOo8AF4Pfpekc/edit?gid=400822622#gid=400822622"", ""GRADE 12!T""&amp;ROW(U42))"),8.0)</f>
        <v>8</v>
      </c>
      <c r="L118" s="38">
        <f>IFERROR(__xludf.DUMMYFUNCTION("IMPORTRANGE(""https://docs.google.com/spreadsheets/d/1CaLR8gtRCp0-wyyH0y5IvQnenreOSKFOo8AF4Pfpekc/edit?gid=400822622#gid=400822622"", ""GRADE 12!U""&amp;ROW(V42))"),0.0)</f>
        <v>0</v>
      </c>
      <c r="M118" s="39">
        <f>IFERROR(__xludf.DUMMYFUNCTION("IMPORTRANGE(""https://docs.google.com/spreadsheets/d/1CaLR8gtRCp0-wyyH0y5IvQnenreOSKFOo8AF4Pfpekc/edit?gid=400822622#gid=400822622"", ""GRADE 12!V""&amp;ROW(W42))"),0.0)</f>
        <v>0</v>
      </c>
      <c r="N118" s="40" t="str">
        <f t="shared" si="8"/>
        <v>COMPLETE</v>
      </c>
    </row>
    <row r="119" ht="22.5" customHeight="1">
      <c r="A119" s="63" t="s">
        <v>178</v>
      </c>
      <c r="B119" s="64">
        <v>36.0</v>
      </c>
      <c r="C119" s="64" t="s">
        <v>249</v>
      </c>
      <c r="D119" s="65" t="s">
        <v>88</v>
      </c>
      <c r="E119" s="66" t="s">
        <v>250</v>
      </c>
      <c r="F119" s="66" t="s">
        <v>43</v>
      </c>
      <c r="G119" s="67">
        <v>20.0</v>
      </c>
      <c r="H119" s="67">
        <v>24.0</v>
      </c>
      <c r="I119" s="35">
        <f t="shared" si="6"/>
        <v>44</v>
      </c>
      <c r="J119" s="68">
        <f t="shared" si="7"/>
        <v>8</v>
      </c>
      <c r="K119" s="37">
        <f>IFERROR(__xludf.DUMMYFUNCTION("IMPORTRANGE(""https://docs.google.com/spreadsheets/d/1CaLR8gtRCp0-wyyH0y5IvQnenreOSKFOo8AF4Pfpekc/edit?gid=400822622#gid=400822622"", ""GRADE 12!T""&amp;ROW(U43))"),8.0)</f>
        <v>8</v>
      </c>
      <c r="L119" s="38">
        <f>IFERROR(__xludf.DUMMYFUNCTION("IMPORTRANGE(""https://docs.google.com/spreadsheets/d/1CaLR8gtRCp0-wyyH0y5IvQnenreOSKFOo8AF4Pfpekc/edit?gid=400822622#gid=400822622"", ""GRADE 12!U""&amp;ROW(V43))"),0.0)</f>
        <v>0</v>
      </c>
      <c r="M119" s="39">
        <f>IFERROR(__xludf.DUMMYFUNCTION("IMPORTRANGE(""https://docs.google.com/spreadsheets/d/1CaLR8gtRCp0-wyyH0y5IvQnenreOSKFOo8AF4Pfpekc/edit?gid=400822622#gid=400822622"", ""GRADE 12!V""&amp;ROW(W43))"),0.0)</f>
        <v>0</v>
      </c>
      <c r="N119" s="40" t="str">
        <f t="shared" si="8"/>
        <v>COMPLETE</v>
      </c>
    </row>
    <row r="120" ht="22.5" customHeight="1">
      <c r="A120" s="63" t="s">
        <v>178</v>
      </c>
      <c r="B120" s="64">
        <v>37.0</v>
      </c>
      <c r="C120" s="64" t="s">
        <v>251</v>
      </c>
      <c r="D120" s="65" t="s">
        <v>88</v>
      </c>
      <c r="E120" s="66" t="s">
        <v>252</v>
      </c>
      <c r="F120" s="66" t="s">
        <v>43</v>
      </c>
      <c r="G120" s="67">
        <v>21.0</v>
      </c>
      <c r="H120" s="67">
        <v>23.0</v>
      </c>
      <c r="I120" s="35">
        <f t="shared" si="6"/>
        <v>44</v>
      </c>
      <c r="J120" s="68">
        <f t="shared" si="7"/>
        <v>8</v>
      </c>
      <c r="K120" s="37">
        <f>IFERROR(__xludf.DUMMYFUNCTION("IMPORTRANGE(""https://docs.google.com/spreadsheets/d/1CaLR8gtRCp0-wyyH0y5IvQnenreOSKFOo8AF4Pfpekc/edit?gid=400822622#gid=400822622"", ""GRADE 12!T""&amp;ROW(U44))"),8.0)</f>
        <v>8</v>
      </c>
      <c r="L120" s="38">
        <f>IFERROR(__xludf.DUMMYFUNCTION("IMPORTRANGE(""https://docs.google.com/spreadsheets/d/1CaLR8gtRCp0-wyyH0y5IvQnenreOSKFOo8AF4Pfpekc/edit?gid=400822622#gid=400822622"", ""GRADE 12!U""&amp;ROW(V44))"),0.0)</f>
        <v>0</v>
      </c>
      <c r="M120" s="39">
        <f>IFERROR(__xludf.DUMMYFUNCTION("IMPORTRANGE(""https://docs.google.com/spreadsheets/d/1CaLR8gtRCp0-wyyH0y5IvQnenreOSKFOo8AF4Pfpekc/edit?gid=400822622#gid=400822622"", ""GRADE 12!V""&amp;ROW(W44))"),0.0)</f>
        <v>0</v>
      </c>
      <c r="N120" s="40" t="str">
        <f t="shared" si="8"/>
        <v>COMPLETE</v>
      </c>
    </row>
    <row r="121" ht="22.5" customHeight="1">
      <c r="A121" s="63" t="s">
        <v>178</v>
      </c>
      <c r="B121" s="64">
        <v>38.0</v>
      </c>
      <c r="C121" s="64" t="s">
        <v>253</v>
      </c>
      <c r="D121" s="65" t="s">
        <v>88</v>
      </c>
      <c r="E121" s="66" t="s">
        <v>254</v>
      </c>
      <c r="F121" s="66" t="s">
        <v>27</v>
      </c>
      <c r="G121" s="67">
        <v>23.0</v>
      </c>
      <c r="H121" s="67">
        <v>22.0</v>
      </c>
      <c r="I121" s="35">
        <f t="shared" si="6"/>
        <v>45</v>
      </c>
      <c r="J121" s="68">
        <f t="shared" si="7"/>
        <v>8</v>
      </c>
      <c r="K121" s="37">
        <f>IFERROR(__xludf.DUMMYFUNCTION("IMPORTRANGE(""https://docs.google.com/spreadsheets/d/1CaLR8gtRCp0-wyyH0y5IvQnenreOSKFOo8AF4Pfpekc/edit?gid=400822622#gid=400822622"", ""GRADE 12!T""&amp;ROW(U45))"),8.0)</f>
        <v>8</v>
      </c>
      <c r="L121" s="38">
        <f>IFERROR(__xludf.DUMMYFUNCTION("IMPORTRANGE(""https://docs.google.com/spreadsheets/d/1CaLR8gtRCp0-wyyH0y5IvQnenreOSKFOo8AF4Pfpekc/edit?gid=400822622#gid=400822622"", ""GRADE 12!U""&amp;ROW(V45))"),0.0)</f>
        <v>0</v>
      </c>
      <c r="M121" s="39">
        <f>IFERROR(__xludf.DUMMYFUNCTION("IMPORTRANGE(""https://docs.google.com/spreadsheets/d/1CaLR8gtRCp0-wyyH0y5IvQnenreOSKFOo8AF4Pfpekc/edit?gid=400822622#gid=400822622"", ""GRADE 12!V""&amp;ROW(W45))"),0.0)</f>
        <v>0</v>
      </c>
      <c r="N121" s="40" t="str">
        <f t="shared" si="8"/>
        <v>COMPLETE</v>
      </c>
    </row>
    <row r="122" ht="22.5" customHeight="1">
      <c r="A122" s="63" t="s">
        <v>178</v>
      </c>
      <c r="B122" s="64">
        <v>39.0</v>
      </c>
      <c r="C122" s="64" t="s">
        <v>255</v>
      </c>
      <c r="D122" s="65" t="s">
        <v>88</v>
      </c>
      <c r="E122" s="66" t="s">
        <v>256</v>
      </c>
      <c r="F122" s="66" t="s">
        <v>21</v>
      </c>
      <c r="G122" s="67">
        <v>23.0</v>
      </c>
      <c r="H122" s="67">
        <v>22.0</v>
      </c>
      <c r="I122" s="35">
        <f t="shared" si="6"/>
        <v>45</v>
      </c>
      <c r="J122" s="68">
        <f t="shared" si="7"/>
        <v>8</v>
      </c>
      <c r="K122" s="37">
        <f>IFERROR(__xludf.DUMMYFUNCTION("IMPORTRANGE(""https://docs.google.com/spreadsheets/d/1CaLR8gtRCp0-wyyH0y5IvQnenreOSKFOo8AF4Pfpekc/edit?gid=400822622#gid=400822622"", ""GRADE 12!T""&amp;ROW(U46))"),8.0)</f>
        <v>8</v>
      </c>
      <c r="L122" s="38">
        <f>IFERROR(__xludf.DUMMYFUNCTION("IMPORTRANGE(""https://docs.google.com/spreadsheets/d/1CaLR8gtRCp0-wyyH0y5IvQnenreOSKFOo8AF4Pfpekc/edit?gid=400822622#gid=400822622"", ""GRADE 12!U""&amp;ROW(V46))"),0.0)</f>
        <v>0</v>
      </c>
      <c r="M122" s="39">
        <f>IFERROR(__xludf.DUMMYFUNCTION("IMPORTRANGE(""https://docs.google.com/spreadsheets/d/1CaLR8gtRCp0-wyyH0y5IvQnenreOSKFOo8AF4Pfpekc/edit?gid=400822622#gid=400822622"", ""GRADE 12!V""&amp;ROW(W46))"),0.0)</f>
        <v>0</v>
      </c>
      <c r="N122" s="40" t="str">
        <f t="shared" si="8"/>
        <v>COMPLETE</v>
      </c>
    </row>
    <row r="123" ht="22.5" customHeight="1">
      <c r="A123" s="63" t="s">
        <v>178</v>
      </c>
      <c r="B123" s="64">
        <v>40.0</v>
      </c>
      <c r="C123" s="64" t="s">
        <v>257</v>
      </c>
      <c r="D123" s="65" t="s">
        <v>88</v>
      </c>
      <c r="E123" s="66" t="s">
        <v>258</v>
      </c>
      <c r="F123" s="66" t="s">
        <v>55</v>
      </c>
      <c r="G123" s="67">
        <v>23.0</v>
      </c>
      <c r="H123" s="67">
        <v>22.0</v>
      </c>
      <c r="I123" s="35">
        <f t="shared" si="6"/>
        <v>45</v>
      </c>
      <c r="J123" s="68">
        <f t="shared" si="7"/>
        <v>8</v>
      </c>
      <c r="K123" s="37">
        <f>IFERROR(__xludf.DUMMYFUNCTION("IMPORTRANGE(""https://docs.google.com/spreadsheets/d/1CaLR8gtRCp0-wyyH0y5IvQnenreOSKFOo8AF4Pfpekc/edit?gid=400822622#gid=400822622"", ""GRADE 12!T""&amp;ROW(U47))"),8.0)</f>
        <v>8</v>
      </c>
      <c r="L123" s="38">
        <f>IFERROR(__xludf.DUMMYFUNCTION("IMPORTRANGE(""https://docs.google.com/spreadsheets/d/1CaLR8gtRCp0-wyyH0y5IvQnenreOSKFOo8AF4Pfpekc/edit?gid=400822622#gid=400822622"", ""GRADE 12!U""&amp;ROW(V47))"),0.0)</f>
        <v>0</v>
      </c>
      <c r="M123" s="39">
        <f>IFERROR(__xludf.DUMMYFUNCTION("IMPORTRANGE(""https://docs.google.com/spreadsheets/d/1CaLR8gtRCp0-wyyH0y5IvQnenreOSKFOo8AF4Pfpekc/edit?gid=400822622#gid=400822622"", ""GRADE 12!V""&amp;ROW(W47))"),0.0)</f>
        <v>0</v>
      </c>
      <c r="N123" s="40" t="str">
        <f t="shared" si="8"/>
        <v>COMPLETE</v>
      </c>
    </row>
    <row r="124" ht="22.5" customHeight="1">
      <c r="A124" s="63" t="s">
        <v>178</v>
      </c>
      <c r="B124" s="64">
        <v>41.0</v>
      </c>
      <c r="C124" s="64" t="s">
        <v>259</v>
      </c>
      <c r="D124" s="65" t="s">
        <v>88</v>
      </c>
      <c r="E124" s="66" t="s">
        <v>260</v>
      </c>
      <c r="F124" s="66" t="s">
        <v>27</v>
      </c>
      <c r="G124" s="67">
        <v>21.0</v>
      </c>
      <c r="H124" s="67">
        <v>25.0</v>
      </c>
      <c r="I124" s="35">
        <f t="shared" si="6"/>
        <v>46</v>
      </c>
      <c r="J124" s="68">
        <f t="shared" si="7"/>
        <v>7</v>
      </c>
      <c r="K124" s="37">
        <f>IFERROR(__xludf.DUMMYFUNCTION("IMPORTRANGE(""https://docs.google.com/spreadsheets/d/1CaLR8gtRCp0-wyyH0y5IvQnenreOSKFOo8AF4Pfpekc/edit?gid=400822622#gid=400822622"", ""GRADE 12!T""&amp;ROW(U48))"),7.0)</f>
        <v>7</v>
      </c>
      <c r="L124" s="38">
        <f>IFERROR(__xludf.DUMMYFUNCTION("IMPORTRANGE(""https://docs.google.com/spreadsheets/d/1CaLR8gtRCp0-wyyH0y5IvQnenreOSKFOo8AF4Pfpekc/edit?gid=400822622#gid=400822622"", ""GRADE 12!U""&amp;ROW(V48))"),0.0)</f>
        <v>0</v>
      </c>
      <c r="M124" s="39">
        <f>IFERROR(__xludf.DUMMYFUNCTION("IMPORTRANGE(""https://docs.google.com/spreadsheets/d/1CaLR8gtRCp0-wyyH0y5IvQnenreOSKFOo8AF4Pfpekc/edit?gid=400822622#gid=400822622"", ""GRADE 12!V""&amp;ROW(W48))"),0.0)</f>
        <v>0</v>
      </c>
      <c r="N124" s="40" t="str">
        <f t="shared" si="8"/>
        <v>COMPLETE</v>
      </c>
    </row>
    <row r="125" ht="22.5" customHeight="1">
      <c r="A125" s="63" t="s">
        <v>178</v>
      </c>
      <c r="B125" s="64">
        <v>42.0</v>
      </c>
      <c r="C125" s="64" t="s">
        <v>261</v>
      </c>
      <c r="D125" s="65" t="s">
        <v>88</v>
      </c>
      <c r="E125" s="66" t="s">
        <v>262</v>
      </c>
      <c r="F125" s="66" t="s">
        <v>55</v>
      </c>
      <c r="G125" s="67">
        <v>22.0</v>
      </c>
      <c r="H125" s="67">
        <v>22.0</v>
      </c>
      <c r="I125" s="35">
        <f t="shared" si="6"/>
        <v>44</v>
      </c>
      <c r="J125" s="68">
        <f t="shared" si="7"/>
        <v>7</v>
      </c>
      <c r="K125" s="37">
        <f>IFERROR(__xludf.DUMMYFUNCTION("IMPORTRANGE(""https://docs.google.com/spreadsheets/d/1CaLR8gtRCp0-wyyH0y5IvQnenreOSKFOo8AF4Pfpekc/edit?gid=400822622#gid=400822622"", ""GRADE 12!T""&amp;ROW(U49))"),7.0)</f>
        <v>7</v>
      </c>
      <c r="L125" s="38">
        <f>IFERROR(__xludf.DUMMYFUNCTION("IMPORTRANGE(""https://docs.google.com/spreadsheets/d/1CaLR8gtRCp0-wyyH0y5IvQnenreOSKFOo8AF4Pfpekc/edit?gid=400822622#gid=400822622"", ""GRADE 12!U""&amp;ROW(V49))"),0.0)</f>
        <v>0</v>
      </c>
      <c r="M125" s="39">
        <f>IFERROR(__xludf.DUMMYFUNCTION("IMPORTRANGE(""https://docs.google.com/spreadsheets/d/1CaLR8gtRCp0-wyyH0y5IvQnenreOSKFOo8AF4Pfpekc/edit?gid=400822622#gid=400822622"", ""GRADE 12!V""&amp;ROW(W49))"),0.0)</f>
        <v>0</v>
      </c>
      <c r="N125" s="40" t="str">
        <f t="shared" si="8"/>
        <v>COMPLETE</v>
      </c>
    </row>
    <row r="126" ht="22.5" customHeight="1">
      <c r="A126" s="63" t="s">
        <v>178</v>
      </c>
      <c r="B126" s="64">
        <v>43.0</v>
      </c>
      <c r="C126" s="64" t="s">
        <v>263</v>
      </c>
      <c r="D126" s="65" t="s">
        <v>88</v>
      </c>
      <c r="E126" s="66" t="s">
        <v>264</v>
      </c>
      <c r="F126" s="66" t="s">
        <v>21</v>
      </c>
      <c r="G126" s="67">
        <v>23.0</v>
      </c>
      <c r="H126" s="67">
        <v>20.0</v>
      </c>
      <c r="I126" s="35">
        <f t="shared" si="6"/>
        <v>43</v>
      </c>
      <c r="J126" s="68">
        <f t="shared" si="7"/>
        <v>7</v>
      </c>
      <c r="K126" s="37">
        <f>IFERROR(__xludf.DUMMYFUNCTION("IMPORTRANGE(""https://docs.google.com/spreadsheets/d/1CaLR8gtRCp0-wyyH0y5IvQnenreOSKFOo8AF4Pfpekc/edit?gid=400822622#gid=400822622"", ""GRADE 12!T""&amp;ROW(U50))"),7.0)</f>
        <v>7</v>
      </c>
      <c r="L126" s="38">
        <f>IFERROR(__xludf.DUMMYFUNCTION("IMPORTRANGE(""https://docs.google.com/spreadsheets/d/1CaLR8gtRCp0-wyyH0y5IvQnenreOSKFOo8AF4Pfpekc/edit?gid=400822622#gid=400822622"", ""GRADE 12!U""&amp;ROW(V50))"),0.0)</f>
        <v>0</v>
      </c>
      <c r="M126" s="39">
        <f>IFERROR(__xludf.DUMMYFUNCTION("IMPORTRANGE(""https://docs.google.com/spreadsheets/d/1CaLR8gtRCp0-wyyH0y5IvQnenreOSKFOo8AF4Pfpekc/edit?gid=400822622#gid=400822622"", ""GRADE 12!V""&amp;ROW(W50))"),0.0)</f>
        <v>0</v>
      </c>
      <c r="N126" s="40" t="str">
        <f t="shared" si="8"/>
        <v>COMPLETE</v>
      </c>
    </row>
    <row r="127" ht="22.5" customHeight="1">
      <c r="A127" s="63" t="s">
        <v>178</v>
      </c>
      <c r="B127" s="64">
        <v>44.0</v>
      </c>
      <c r="C127" s="64" t="s">
        <v>265</v>
      </c>
      <c r="D127" s="65" t="s">
        <v>88</v>
      </c>
      <c r="E127" s="66" t="s">
        <v>266</v>
      </c>
      <c r="F127" s="66" t="s">
        <v>43</v>
      </c>
      <c r="G127" s="67">
        <v>22.0</v>
      </c>
      <c r="H127" s="67">
        <v>20.0</v>
      </c>
      <c r="I127" s="35">
        <f t="shared" si="6"/>
        <v>42</v>
      </c>
      <c r="J127" s="68">
        <f t="shared" si="7"/>
        <v>7</v>
      </c>
      <c r="K127" s="37">
        <f>IFERROR(__xludf.DUMMYFUNCTION("IMPORTRANGE(""https://docs.google.com/spreadsheets/d/1CaLR8gtRCp0-wyyH0y5IvQnenreOSKFOo8AF4Pfpekc/edit?gid=400822622#gid=400822622"", ""GRADE 12!T""&amp;ROW(U51))"),7.0)</f>
        <v>7</v>
      </c>
      <c r="L127" s="38">
        <f>IFERROR(__xludf.DUMMYFUNCTION("IMPORTRANGE(""https://docs.google.com/spreadsheets/d/1CaLR8gtRCp0-wyyH0y5IvQnenreOSKFOo8AF4Pfpekc/edit?gid=400822622#gid=400822622"", ""GRADE 12!U""&amp;ROW(V51))"),0.0)</f>
        <v>0</v>
      </c>
      <c r="M127" s="39">
        <f>IFERROR(__xludf.DUMMYFUNCTION("IMPORTRANGE(""https://docs.google.com/spreadsheets/d/1CaLR8gtRCp0-wyyH0y5IvQnenreOSKFOo8AF4Pfpekc/edit?gid=400822622#gid=400822622"", ""GRADE 12!V""&amp;ROW(W51))"),0.0)</f>
        <v>0</v>
      </c>
      <c r="N127" s="40" t="str">
        <f t="shared" si="8"/>
        <v>COMPLETE</v>
      </c>
    </row>
    <row r="128" ht="22.5" customHeight="1">
      <c r="A128" s="63" t="s">
        <v>178</v>
      </c>
      <c r="B128" s="64">
        <v>45.0</v>
      </c>
      <c r="C128" s="64" t="s">
        <v>267</v>
      </c>
      <c r="D128" s="65" t="s">
        <v>88</v>
      </c>
      <c r="E128" s="66" t="s">
        <v>268</v>
      </c>
      <c r="F128" s="66" t="s">
        <v>43</v>
      </c>
      <c r="G128" s="67">
        <v>20.0</v>
      </c>
      <c r="H128" s="67">
        <v>23.0</v>
      </c>
      <c r="I128" s="35">
        <f t="shared" si="6"/>
        <v>43</v>
      </c>
      <c r="J128" s="68">
        <f t="shared" si="7"/>
        <v>7</v>
      </c>
      <c r="K128" s="37">
        <f>IFERROR(__xludf.DUMMYFUNCTION("IMPORTRANGE(""https://docs.google.com/spreadsheets/d/1CaLR8gtRCp0-wyyH0y5IvQnenreOSKFOo8AF4Pfpekc/edit?gid=400822622#gid=400822622"", ""GRADE 12!T""&amp;ROW(U52))"),7.0)</f>
        <v>7</v>
      </c>
      <c r="L128" s="38">
        <f>IFERROR(__xludf.DUMMYFUNCTION("IMPORTRANGE(""https://docs.google.com/spreadsheets/d/1CaLR8gtRCp0-wyyH0y5IvQnenreOSKFOo8AF4Pfpekc/edit?gid=400822622#gid=400822622"", ""GRADE 12!U""&amp;ROW(V52))"),0.0)</f>
        <v>0</v>
      </c>
      <c r="M128" s="39">
        <f>IFERROR(__xludf.DUMMYFUNCTION("IMPORTRANGE(""https://docs.google.com/spreadsheets/d/1CaLR8gtRCp0-wyyH0y5IvQnenreOSKFOo8AF4Pfpekc/edit?gid=400822622#gid=400822622"", ""GRADE 12!V""&amp;ROW(W52))"),0.0)</f>
        <v>0</v>
      </c>
      <c r="N128" s="40" t="str">
        <f t="shared" si="8"/>
        <v>COMPLETE</v>
      </c>
    </row>
    <row r="129" ht="22.5" customHeight="1">
      <c r="A129" s="63" t="s">
        <v>178</v>
      </c>
      <c r="B129" s="64">
        <v>46.0</v>
      </c>
      <c r="C129" s="64" t="s">
        <v>269</v>
      </c>
      <c r="D129" s="65" t="s">
        <v>163</v>
      </c>
      <c r="E129" s="66" t="s">
        <v>270</v>
      </c>
      <c r="F129" s="66" t="s">
        <v>55</v>
      </c>
      <c r="G129" s="67">
        <v>46.0</v>
      </c>
      <c r="H129" s="67">
        <v>0.0</v>
      </c>
      <c r="I129" s="35">
        <f t="shared" si="6"/>
        <v>46</v>
      </c>
      <c r="J129" s="68">
        <f t="shared" si="7"/>
        <v>6</v>
      </c>
      <c r="K129" s="37">
        <f>IFERROR(__xludf.DUMMYFUNCTION("IMPORTRANGE(""https://docs.google.com/spreadsheets/d/1CaLR8gtRCp0-wyyH0y5IvQnenreOSKFOo8AF4Pfpekc/edit?gid=400822622#gid=400822622"", ""GRADE 12!T""&amp;ROW(U53))"),6.0)</f>
        <v>6</v>
      </c>
      <c r="L129" s="38">
        <f>IFERROR(__xludf.DUMMYFUNCTION("IMPORTRANGE(""https://docs.google.com/spreadsheets/d/1CaLR8gtRCp0-wyyH0y5IvQnenreOSKFOo8AF4Pfpekc/edit?gid=400822622#gid=400822622"", ""GRADE 12!U""&amp;ROW(V53))"),0.0)</f>
        <v>0</v>
      </c>
      <c r="M129" s="39">
        <f>IFERROR(__xludf.DUMMYFUNCTION("IMPORTRANGE(""https://docs.google.com/spreadsheets/d/1CaLR8gtRCp0-wyyH0y5IvQnenreOSKFOo8AF4Pfpekc/edit?gid=400822622#gid=400822622"", ""GRADE 12!V""&amp;ROW(W53))"),0.0)</f>
        <v>0</v>
      </c>
      <c r="N129" s="40" t="str">
        <f t="shared" si="8"/>
        <v>COMPLETE</v>
      </c>
    </row>
    <row r="130" ht="22.5" customHeight="1">
      <c r="A130" s="63" t="s">
        <v>178</v>
      </c>
      <c r="B130" s="64">
        <v>47.0</v>
      </c>
      <c r="C130" s="64" t="s">
        <v>271</v>
      </c>
      <c r="D130" s="65" t="s">
        <v>163</v>
      </c>
      <c r="E130" s="66" t="s">
        <v>272</v>
      </c>
      <c r="F130" s="66" t="s">
        <v>27</v>
      </c>
      <c r="G130" s="67">
        <v>48.0</v>
      </c>
      <c r="H130" s="67">
        <v>0.0</v>
      </c>
      <c r="I130" s="35">
        <f t="shared" si="6"/>
        <v>48</v>
      </c>
      <c r="J130" s="68">
        <f t="shared" si="7"/>
        <v>6</v>
      </c>
      <c r="K130" s="37">
        <f>IFERROR(__xludf.DUMMYFUNCTION("IMPORTRANGE(""https://docs.google.com/spreadsheets/d/1CaLR8gtRCp0-wyyH0y5IvQnenreOSKFOo8AF4Pfpekc/edit?gid=400822622#gid=400822622"", ""GRADE 12!T""&amp;ROW(U54))"),6.0)</f>
        <v>6</v>
      </c>
      <c r="L130" s="38">
        <f>IFERROR(__xludf.DUMMYFUNCTION("IMPORTRANGE(""https://docs.google.com/spreadsheets/d/1CaLR8gtRCp0-wyyH0y5IvQnenreOSKFOo8AF4Pfpekc/edit?gid=400822622#gid=400822622"", ""GRADE 12!U""&amp;ROW(V54))"),0.0)</f>
        <v>0</v>
      </c>
      <c r="M130" s="39">
        <f>IFERROR(__xludf.DUMMYFUNCTION("IMPORTRANGE(""https://docs.google.com/spreadsheets/d/1CaLR8gtRCp0-wyyH0y5IvQnenreOSKFOo8AF4Pfpekc/edit?gid=400822622#gid=400822622"", ""GRADE 12!V""&amp;ROW(W54))"),0.0)</f>
        <v>0</v>
      </c>
      <c r="N130" s="40" t="str">
        <f t="shared" si="8"/>
        <v>COMPLETE</v>
      </c>
    </row>
    <row r="131" ht="22.5" customHeight="1">
      <c r="A131" s="63" t="s">
        <v>178</v>
      </c>
      <c r="B131" s="64">
        <v>48.0</v>
      </c>
      <c r="C131" s="64" t="s">
        <v>273</v>
      </c>
      <c r="D131" s="65" t="s">
        <v>163</v>
      </c>
      <c r="E131" s="66" t="s">
        <v>274</v>
      </c>
      <c r="F131" s="66" t="s">
        <v>27</v>
      </c>
      <c r="G131" s="67">
        <v>49.0</v>
      </c>
      <c r="H131" s="67">
        <v>0.0</v>
      </c>
      <c r="I131" s="35">
        <f t="shared" si="6"/>
        <v>49</v>
      </c>
      <c r="J131" s="68">
        <f t="shared" si="7"/>
        <v>6</v>
      </c>
      <c r="K131" s="37">
        <f>IFERROR(__xludf.DUMMYFUNCTION("IMPORTRANGE(""https://docs.google.com/spreadsheets/d/1CaLR8gtRCp0-wyyH0y5IvQnenreOSKFOo8AF4Pfpekc/edit?gid=400822622#gid=400822622"", ""GRADE 12!T""&amp;ROW(U55))"),6.0)</f>
        <v>6</v>
      </c>
      <c r="L131" s="38">
        <f>IFERROR(__xludf.DUMMYFUNCTION("IMPORTRANGE(""https://docs.google.com/spreadsheets/d/1CaLR8gtRCp0-wyyH0y5IvQnenreOSKFOo8AF4Pfpekc/edit?gid=400822622#gid=400822622"", ""GRADE 12!U""&amp;ROW(V55))"),0.0)</f>
        <v>0</v>
      </c>
      <c r="M131" s="39">
        <f>IFERROR(__xludf.DUMMYFUNCTION("IMPORTRANGE(""https://docs.google.com/spreadsheets/d/1CaLR8gtRCp0-wyyH0y5IvQnenreOSKFOo8AF4Pfpekc/edit?gid=400822622#gid=400822622"", ""GRADE 12!V""&amp;ROW(W55))"),0.0)</f>
        <v>0</v>
      </c>
      <c r="N131" s="40" t="str">
        <f t="shared" si="8"/>
        <v>COMPLETE</v>
      </c>
    </row>
    <row r="132" ht="22.5" customHeight="1">
      <c r="A132" s="63" t="s">
        <v>178</v>
      </c>
      <c r="B132" s="64">
        <v>49.0</v>
      </c>
      <c r="C132" s="64" t="s">
        <v>275</v>
      </c>
      <c r="D132" s="65" t="s">
        <v>163</v>
      </c>
      <c r="E132" s="66" t="s">
        <v>276</v>
      </c>
      <c r="F132" s="66" t="s">
        <v>21</v>
      </c>
      <c r="G132" s="67">
        <v>49.0</v>
      </c>
      <c r="H132" s="67">
        <v>2.0</v>
      </c>
      <c r="I132" s="35">
        <f t="shared" si="6"/>
        <v>51</v>
      </c>
      <c r="J132" s="68">
        <f t="shared" si="7"/>
        <v>6</v>
      </c>
      <c r="K132" s="37">
        <f>IFERROR(__xludf.DUMMYFUNCTION("IMPORTRANGE(""https://docs.google.com/spreadsheets/d/1CaLR8gtRCp0-wyyH0y5IvQnenreOSKFOo8AF4Pfpekc/edit?gid=400822622#gid=400822622"", ""GRADE 12!T""&amp;ROW(U56))"),6.0)</f>
        <v>6</v>
      </c>
      <c r="L132" s="38">
        <f>IFERROR(__xludf.DUMMYFUNCTION("IMPORTRANGE(""https://docs.google.com/spreadsheets/d/1CaLR8gtRCp0-wyyH0y5IvQnenreOSKFOo8AF4Pfpekc/edit?gid=400822622#gid=400822622"", ""GRADE 12!U""&amp;ROW(V56))"),0.0)</f>
        <v>0</v>
      </c>
      <c r="M132" s="39">
        <f>IFERROR(__xludf.DUMMYFUNCTION("IMPORTRANGE(""https://docs.google.com/spreadsheets/d/1CaLR8gtRCp0-wyyH0y5IvQnenreOSKFOo8AF4Pfpekc/edit?gid=400822622#gid=400822622"", ""GRADE 12!V""&amp;ROW(W56))"),0.0)</f>
        <v>0</v>
      </c>
      <c r="N132" s="40" t="str">
        <f t="shared" si="8"/>
        <v>COMPLETE</v>
      </c>
    </row>
    <row r="133" ht="22.5" customHeight="1">
      <c r="A133" s="63" t="s">
        <v>178</v>
      </c>
      <c r="B133" s="64">
        <v>50.0</v>
      </c>
      <c r="C133" s="64" t="s">
        <v>277</v>
      </c>
      <c r="D133" s="65" t="s">
        <v>119</v>
      </c>
      <c r="E133" s="66" t="s">
        <v>278</v>
      </c>
      <c r="F133" s="66" t="s">
        <v>27</v>
      </c>
      <c r="G133" s="67">
        <v>20.0</v>
      </c>
      <c r="H133" s="67">
        <v>24.0</v>
      </c>
      <c r="I133" s="35">
        <f t="shared" si="6"/>
        <v>44</v>
      </c>
      <c r="J133" s="68">
        <f t="shared" si="7"/>
        <v>6</v>
      </c>
      <c r="K133" s="37">
        <f>IFERROR(__xludf.DUMMYFUNCTION("IMPORTRANGE(""https://docs.google.com/spreadsheets/d/1CaLR8gtRCp0-wyyH0y5IvQnenreOSKFOo8AF4Pfpekc/edit?gid=400822622#gid=400822622"", ""GRADE 12!T""&amp;ROW(U57))"),6.0)</f>
        <v>6</v>
      </c>
      <c r="L133" s="38">
        <f>IFERROR(__xludf.DUMMYFUNCTION("IMPORTRANGE(""https://docs.google.com/spreadsheets/d/1CaLR8gtRCp0-wyyH0y5IvQnenreOSKFOo8AF4Pfpekc/edit?gid=400822622#gid=400822622"", ""GRADE 12!U""&amp;ROW(V57))"),0.0)</f>
        <v>0</v>
      </c>
      <c r="M133" s="39">
        <f>IFERROR(__xludf.DUMMYFUNCTION("IMPORTRANGE(""https://docs.google.com/spreadsheets/d/1CaLR8gtRCp0-wyyH0y5IvQnenreOSKFOo8AF4Pfpekc/edit?gid=400822622#gid=400822622"", ""GRADE 12!V""&amp;ROW(W57))"),0.0)</f>
        <v>0</v>
      </c>
      <c r="N133" s="40" t="str">
        <f t="shared" si="8"/>
        <v>COMPLETE</v>
      </c>
    </row>
    <row r="134" ht="22.5" customHeight="1">
      <c r="A134" s="63" t="s">
        <v>178</v>
      </c>
      <c r="B134" s="64">
        <v>51.0</v>
      </c>
      <c r="C134" s="64" t="s">
        <v>279</v>
      </c>
      <c r="D134" s="65" t="s">
        <v>119</v>
      </c>
      <c r="E134" s="66" t="s">
        <v>280</v>
      </c>
      <c r="F134" s="66" t="s">
        <v>21</v>
      </c>
      <c r="G134" s="67">
        <v>20.0</v>
      </c>
      <c r="H134" s="67">
        <v>24.0</v>
      </c>
      <c r="I134" s="35">
        <f t="shared" si="6"/>
        <v>44</v>
      </c>
      <c r="J134" s="68">
        <f t="shared" si="7"/>
        <v>6</v>
      </c>
      <c r="K134" s="37">
        <f>IFERROR(__xludf.DUMMYFUNCTION("IMPORTRANGE(""https://docs.google.com/spreadsheets/d/1CaLR8gtRCp0-wyyH0y5IvQnenreOSKFOo8AF4Pfpekc/edit?gid=400822622#gid=400822622"", ""GRADE 12!T""&amp;ROW(U58))"),6.0)</f>
        <v>6</v>
      </c>
      <c r="L134" s="38">
        <f>IFERROR(__xludf.DUMMYFUNCTION("IMPORTRANGE(""https://docs.google.com/spreadsheets/d/1CaLR8gtRCp0-wyyH0y5IvQnenreOSKFOo8AF4Pfpekc/edit?gid=400822622#gid=400822622"", ""GRADE 12!U""&amp;ROW(V58))"),0.0)</f>
        <v>0</v>
      </c>
      <c r="M134" s="39">
        <f>IFERROR(__xludf.DUMMYFUNCTION("IMPORTRANGE(""https://docs.google.com/spreadsheets/d/1CaLR8gtRCp0-wyyH0y5IvQnenreOSKFOo8AF4Pfpekc/edit?gid=400822622#gid=400822622"", ""GRADE 12!V""&amp;ROW(W58))"),0.0)</f>
        <v>0</v>
      </c>
      <c r="N134" s="40" t="str">
        <f t="shared" si="8"/>
        <v>COMPLETE</v>
      </c>
    </row>
    <row r="135" ht="22.5" customHeight="1">
      <c r="A135" s="63" t="s">
        <v>178</v>
      </c>
      <c r="B135" s="64">
        <v>52.0</v>
      </c>
      <c r="C135" s="64" t="s">
        <v>281</v>
      </c>
      <c r="D135" s="65" t="s">
        <v>119</v>
      </c>
      <c r="E135" s="66" t="s">
        <v>282</v>
      </c>
      <c r="F135" s="66" t="s">
        <v>283</v>
      </c>
      <c r="G135" s="67">
        <v>20.0</v>
      </c>
      <c r="H135" s="67">
        <v>23.0</v>
      </c>
      <c r="I135" s="35">
        <f t="shared" si="6"/>
        <v>43</v>
      </c>
      <c r="J135" s="68">
        <f t="shared" si="7"/>
        <v>6</v>
      </c>
      <c r="K135" s="37">
        <f>IFERROR(__xludf.DUMMYFUNCTION("IMPORTRANGE(""https://docs.google.com/spreadsheets/d/1CaLR8gtRCp0-wyyH0y5IvQnenreOSKFOo8AF4Pfpekc/edit?gid=400822622#gid=400822622"", ""GRADE 12!T""&amp;ROW(U59))"),6.0)</f>
        <v>6</v>
      </c>
      <c r="L135" s="38">
        <f>IFERROR(__xludf.DUMMYFUNCTION("IMPORTRANGE(""https://docs.google.com/spreadsheets/d/1CaLR8gtRCp0-wyyH0y5IvQnenreOSKFOo8AF4Pfpekc/edit?gid=400822622#gid=400822622"", ""GRADE 12!U""&amp;ROW(V59))"),0.0)</f>
        <v>0</v>
      </c>
      <c r="M135" s="39">
        <f>IFERROR(__xludf.DUMMYFUNCTION("IMPORTRANGE(""https://docs.google.com/spreadsheets/d/1CaLR8gtRCp0-wyyH0y5IvQnenreOSKFOo8AF4Pfpekc/edit?gid=400822622#gid=400822622"", ""GRADE 12!V""&amp;ROW(W59))"),0.0)</f>
        <v>0</v>
      </c>
      <c r="N135" s="40" t="str">
        <f t="shared" si="8"/>
        <v>COMPLETE</v>
      </c>
    </row>
    <row r="136" ht="22.5" customHeight="1">
      <c r="A136" s="63" t="s">
        <v>178</v>
      </c>
      <c r="B136" s="64">
        <v>53.0</v>
      </c>
      <c r="C136" s="64" t="s">
        <v>284</v>
      </c>
      <c r="D136" s="65" t="s">
        <v>119</v>
      </c>
      <c r="E136" s="66" t="s">
        <v>285</v>
      </c>
      <c r="F136" s="66" t="s">
        <v>55</v>
      </c>
      <c r="G136" s="67">
        <v>22.0</v>
      </c>
      <c r="H136" s="67">
        <v>21.0</v>
      </c>
      <c r="I136" s="35">
        <f t="shared" si="6"/>
        <v>43</v>
      </c>
      <c r="J136" s="68">
        <f t="shared" si="7"/>
        <v>6</v>
      </c>
      <c r="K136" s="37">
        <f>IFERROR(__xludf.DUMMYFUNCTION("IMPORTRANGE(""https://docs.google.com/spreadsheets/d/1CaLR8gtRCp0-wyyH0y5IvQnenreOSKFOo8AF4Pfpekc/edit?gid=400822622#gid=400822622"", ""GRADE 12!T""&amp;ROW(U60))"),6.0)</f>
        <v>6</v>
      </c>
      <c r="L136" s="38">
        <f>IFERROR(__xludf.DUMMYFUNCTION("IMPORTRANGE(""https://docs.google.com/spreadsheets/d/1CaLR8gtRCp0-wyyH0y5IvQnenreOSKFOo8AF4Pfpekc/edit?gid=400822622#gid=400822622"", ""GRADE 12!U""&amp;ROW(V60))"),0.0)</f>
        <v>0</v>
      </c>
      <c r="M136" s="39">
        <f>IFERROR(__xludf.DUMMYFUNCTION("IMPORTRANGE(""https://docs.google.com/spreadsheets/d/1CaLR8gtRCp0-wyyH0y5IvQnenreOSKFOo8AF4Pfpekc/edit?gid=400822622#gid=400822622"", ""GRADE 12!V""&amp;ROW(W60))"),0.0)</f>
        <v>0</v>
      </c>
      <c r="N136" s="40" t="str">
        <f t="shared" si="8"/>
        <v>COMPLETE</v>
      </c>
    </row>
    <row r="137" ht="22.5" customHeight="1">
      <c r="A137" s="63" t="s">
        <v>178</v>
      </c>
      <c r="B137" s="64">
        <v>54.0</v>
      </c>
      <c r="C137" s="64" t="s">
        <v>286</v>
      </c>
      <c r="D137" s="65" t="s">
        <v>119</v>
      </c>
      <c r="E137" s="66" t="s">
        <v>287</v>
      </c>
      <c r="F137" s="66" t="s">
        <v>27</v>
      </c>
      <c r="G137" s="67">
        <v>22.0</v>
      </c>
      <c r="H137" s="67">
        <v>20.0</v>
      </c>
      <c r="I137" s="35">
        <f t="shared" si="6"/>
        <v>42</v>
      </c>
      <c r="J137" s="68">
        <f t="shared" si="7"/>
        <v>6</v>
      </c>
      <c r="K137" s="37">
        <f>IFERROR(__xludf.DUMMYFUNCTION("IMPORTRANGE(""https://docs.google.com/spreadsheets/d/1CaLR8gtRCp0-wyyH0y5IvQnenreOSKFOo8AF4Pfpekc/edit?gid=400822622#gid=400822622"", ""GRADE 12!T""&amp;ROW(U61))"),6.0)</f>
        <v>6</v>
      </c>
      <c r="L137" s="38">
        <f>IFERROR(__xludf.DUMMYFUNCTION("IMPORTRANGE(""https://docs.google.com/spreadsheets/d/1CaLR8gtRCp0-wyyH0y5IvQnenreOSKFOo8AF4Pfpekc/edit?gid=400822622#gid=400822622"", ""GRADE 12!U""&amp;ROW(V61))"),0.0)</f>
        <v>0</v>
      </c>
      <c r="M137" s="39">
        <f>IFERROR(__xludf.DUMMYFUNCTION("IMPORTRANGE(""https://docs.google.com/spreadsheets/d/1CaLR8gtRCp0-wyyH0y5IvQnenreOSKFOo8AF4Pfpekc/edit?gid=400822622#gid=400822622"", ""GRADE 12!V""&amp;ROW(W61))"),0.0)</f>
        <v>0</v>
      </c>
      <c r="N137" s="40" t="str">
        <f t="shared" si="8"/>
        <v>COMPLETE</v>
      </c>
    </row>
    <row r="138" ht="22.5" customHeight="1">
      <c r="A138" s="63" t="s">
        <v>178</v>
      </c>
      <c r="B138" s="64">
        <v>55.0</v>
      </c>
      <c r="C138" s="64" t="s">
        <v>288</v>
      </c>
      <c r="D138" s="65" t="s">
        <v>119</v>
      </c>
      <c r="E138" s="66" t="s">
        <v>289</v>
      </c>
      <c r="F138" s="66" t="s">
        <v>27</v>
      </c>
      <c r="G138" s="67">
        <v>21.0</v>
      </c>
      <c r="H138" s="67">
        <v>22.0</v>
      </c>
      <c r="I138" s="35">
        <f t="shared" si="6"/>
        <v>43</v>
      </c>
      <c r="J138" s="68">
        <f t="shared" si="7"/>
        <v>6</v>
      </c>
      <c r="K138" s="37">
        <f>IFERROR(__xludf.DUMMYFUNCTION("IMPORTRANGE(""https://docs.google.com/spreadsheets/d/1CaLR8gtRCp0-wyyH0y5IvQnenreOSKFOo8AF4Pfpekc/edit?gid=400822622#gid=400822622"", ""GRADE 12!T""&amp;ROW(U62))"),6.0)</f>
        <v>6</v>
      </c>
      <c r="L138" s="38">
        <f>IFERROR(__xludf.DUMMYFUNCTION("IMPORTRANGE(""https://docs.google.com/spreadsheets/d/1CaLR8gtRCp0-wyyH0y5IvQnenreOSKFOo8AF4Pfpekc/edit?gid=400822622#gid=400822622"", ""GRADE 12!U""&amp;ROW(V62))"),0.0)</f>
        <v>0</v>
      </c>
      <c r="M138" s="39">
        <f>IFERROR(__xludf.DUMMYFUNCTION("IMPORTRANGE(""https://docs.google.com/spreadsheets/d/1CaLR8gtRCp0-wyyH0y5IvQnenreOSKFOo8AF4Pfpekc/edit?gid=400822622#gid=400822622"", ""GRADE 12!V""&amp;ROW(W62))"),0.0)</f>
        <v>0</v>
      </c>
      <c r="N138" s="40" t="str">
        <f t="shared" si="8"/>
        <v>COMPLETE</v>
      </c>
    </row>
    <row r="139" ht="22.5" customHeight="1">
      <c r="A139" s="63" t="s">
        <v>178</v>
      </c>
      <c r="B139" s="64">
        <v>56.0</v>
      </c>
      <c r="C139" s="64" t="s">
        <v>290</v>
      </c>
      <c r="D139" s="65" t="s">
        <v>119</v>
      </c>
      <c r="E139" s="66" t="s">
        <v>291</v>
      </c>
      <c r="F139" s="66" t="s">
        <v>21</v>
      </c>
      <c r="G139" s="67">
        <v>16.0</v>
      </c>
      <c r="H139" s="67">
        <v>23.0</v>
      </c>
      <c r="I139" s="35">
        <f t="shared" si="6"/>
        <v>39</v>
      </c>
      <c r="J139" s="68">
        <f t="shared" si="7"/>
        <v>6</v>
      </c>
      <c r="K139" s="37">
        <f>IFERROR(__xludf.DUMMYFUNCTION("IMPORTRANGE(""https://docs.google.com/spreadsheets/d/1CaLR8gtRCp0-wyyH0y5IvQnenreOSKFOo8AF4Pfpekc/edit?gid=400822622#gid=400822622"", ""GRADE 12!T""&amp;ROW(U63))"),6.0)</f>
        <v>6</v>
      </c>
      <c r="L139" s="38">
        <f>IFERROR(__xludf.DUMMYFUNCTION("IMPORTRANGE(""https://docs.google.com/spreadsheets/d/1CaLR8gtRCp0-wyyH0y5IvQnenreOSKFOo8AF4Pfpekc/edit?gid=400822622#gid=400822622"", ""GRADE 12!U""&amp;ROW(V63))"),0.0)</f>
        <v>0</v>
      </c>
      <c r="M139" s="39">
        <f>IFERROR(__xludf.DUMMYFUNCTION("IMPORTRANGE(""https://docs.google.com/spreadsheets/d/1CaLR8gtRCp0-wyyH0y5IvQnenreOSKFOo8AF4Pfpekc/edit?gid=400822622#gid=400822622"", ""GRADE 12!V""&amp;ROW(W63))"),0.0)</f>
        <v>0</v>
      </c>
      <c r="N139" s="40" t="str">
        <f t="shared" si="8"/>
        <v>COMPLETE</v>
      </c>
    </row>
    <row r="140" ht="22.5" customHeight="1">
      <c r="A140" s="63" t="s">
        <v>178</v>
      </c>
      <c r="B140" s="64">
        <v>57.0</v>
      </c>
      <c r="C140" s="64" t="s">
        <v>292</v>
      </c>
      <c r="D140" s="65" t="s">
        <v>119</v>
      </c>
      <c r="E140" s="66" t="s">
        <v>293</v>
      </c>
      <c r="F140" s="66" t="s">
        <v>283</v>
      </c>
      <c r="G140" s="67">
        <v>18.0</v>
      </c>
      <c r="H140" s="67">
        <v>22.0</v>
      </c>
      <c r="I140" s="35">
        <f t="shared" si="6"/>
        <v>40</v>
      </c>
      <c r="J140" s="68">
        <f t="shared" si="7"/>
        <v>6</v>
      </c>
      <c r="K140" s="37">
        <f>IFERROR(__xludf.DUMMYFUNCTION("IMPORTRANGE(""https://docs.google.com/spreadsheets/d/1CaLR8gtRCp0-wyyH0y5IvQnenreOSKFOo8AF4Pfpekc/edit?gid=400822622#gid=400822622"", ""GRADE 12!T""&amp;ROW(U64))"),6.0)</f>
        <v>6</v>
      </c>
      <c r="L140" s="38">
        <f>IFERROR(__xludf.DUMMYFUNCTION("IMPORTRANGE(""https://docs.google.com/spreadsheets/d/1CaLR8gtRCp0-wyyH0y5IvQnenreOSKFOo8AF4Pfpekc/edit?gid=400822622#gid=400822622"", ""GRADE 12!U""&amp;ROW(V64))"),0.0)</f>
        <v>0</v>
      </c>
      <c r="M140" s="39">
        <f>IFERROR(__xludf.DUMMYFUNCTION("IMPORTRANGE(""https://docs.google.com/spreadsheets/d/1CaLR8gtRCp0-wyyH0y5IvQnenreOSKFOo8AF4Pfpekc/edit?gid=400822622#gid=400822622"", ""GRADE 12!V""&amp;ROW(W64))"),0.0)</f>
        <v>0</v>
      </c>
      <c r="N140" s="40" t="str">
        <f t="shared" si="8"/>
        <v>COMPLETE</v>
      </c>
    </row>
    <row r="141" ht="22.5" customHeight="1">
      <c r="A141" s="63" t="s">
        <v>178</v>
      </c>
      <c r="B141" s="64">
        <v>58.0</v>
      </c>
      <c r="C141" s="64" t="s">
        <v>294</v>
      </c>
      <c r="D141" s="65" t="s">
        <v>119</v>
      </c>
      <c r="E141" s="66" t="s">
        <v>295</v>
      </c>
      <c r="F141" s="66" t="s">
        <v>55</v>
      </c>
      <c r="G141" s="67">
        <v>17.0</v>
      </c>
      <c r="H141" s="67">
        <v>18.0</v>
      </c>
      <c r="I141" s="35">
        <f t="shared" si="6"/>
        <v>35</v>
      </c>
      <c r="J141" s="68">
        <f t="shared" si="7"/>
        <v>6</v>
      </c>
      <c r="K141" s="37">
        <f>IFERROR(__xludf.DUMMYFUNCTION("IMPORTRANGE(""https://docs.google.com/spreadsheets/d/1CaLR8gtRCp0-wyyH0y5IvQnenreOSKFOo8AF4Pfpekc/edit?gid=400822622#gid=400822622"", ""GRADE 12!T""&amp;ROW(U65))"),6.0)</f>
        <v>6</v>
      </c>
      <c r="L141" s="38">
        <f>IFERROR(__xludf.DUMMYFUNCTION("IMPORTRANGE(""https://docs.google.com/spreadsheets/d/1CaLR8gtRCp0-wyyH0y5IvQnenreOSKFOo8AF4Pfpekc/edit?gid=400822622#gid=400822622"", ""GRADE 12!U""&amp;ROW(V65))"),0.0)</f>
        <v>0</v>
      </c>
      <c r="M141" s="39">
        <f>IFERROR(__xludf.DUMMYFUNCTION("IMPORTRANGE(""https://docs.google.com/spreadsheets/d/1CaLR8gtRCp0-wyyH0y5IvQnenreOSKFOo8AF4Pfpekc/edit?gid=400822622#gid=400822622"", ""GRADE 12!V""&amp;ROW(W65))"),0.0)</f>
        <v>0</v>
      </c>
      <c r="N141" s="40" t="str">
        <f t="shared" si="8"/>
        <v>COMPLETE</v>
      </c>
    </row>
    <row r="142" ht="22.5" customHeight="1">
      <c r="A142" s="63" t="s">
        <v>178</v>
      </c>
      <c r="B142" s="64">
        <v>59.0</v>
      </c>
      <c r="C142" s="64" t="s">
        <v>296</v>
      </c>
      <c r="D142" s="65" t="s">
        <v>141</v>
      </c>
      <c r="E142" s="66" t="s">
        <v>297</v>
      </c>
      <c r="F142" s="66" t="s">
        <v>21</v>
      </c>
      <c r="G142" s="67">
        <v>31.0</v>
      </c>
      <c r="H142" s="67">
        <v>16.0</v>
      </c>
      <c r="I142" s="35">
        <f t="shared" si="6"/>
        <v>47</v>
      </c>
      <c r="J142" s="68">
        <f t="shared" si="7"/>
        <v>7</v>
      </c>
      <c r="K142" s="37">
        <f>IFERROR(__xludf.DUMMYFUNCTION("IMPORTRANGE(""https://docs.google.com/spreadsheets/d/1CaLR8gtRCp0-wyyH0y5IvQnenreOSKFOo8AF4Pfpekc/edit?gid=400822622#gid=400822622"", ""GRADE 12!T""&amp;ROW(U66))"),7.0)</f>
        <v>7</v>
      </c>
      <c r="L142" s="38">
        <f>IFERROR(__xludf.DUMMYFUNCTION("IMPORTRANGE(""https://docs.google.com/spreadsheets/d/1CaLR8gtRCp0-wyyH0y5IvQnenreOSKFOo8AF4Pfpekc/edit?gid=400822622#gid=400822622"", ""GRADE 12!U""&amp;ROW(V66))"),0.0)</f>
        <v>0</v>
      </c>
      <c r="M142" s="39">
        <f>IFERROR(__xludf.DUMMYFUNCTION("IMPORTRANGE(""https://docs.google.com/spreadsheets/d/1CaLR8gtRCp0-wyyH0y5IvQnenreOSKFOo8AF4Pfpekc/edit?gid=400822622#gid=400822622"", ""GRADE 12!V""&amp;ROW(W66))"),0.0)</f>
        <v>0</v>
      </c>
      <c r="N142" s="40" t="str">
        <f t="shared" si="8"/>
        <v>COMPLETE</v>
      </c>
    </row>
    <row r="143" ht="22.5" customHeight="1">
      <c r="A143" s="63" t="s">
        <v>178</v>
      </c>
      <c r="B143" s="64">
        <v>60.0</v>
      </c>
      <c r="C143" s="64" t="s">
        <v>298</v>
      </c>
      <c r="D143" s="65" t="s">
        <v>141</v>
      </c>
      <c r="E143" s="66" t="s">
        <v>299</v>
      </c>
      <c r="F143" s="66" t="s">
        <v>27</v>
      </c>
      <c r="G143" s="67">
        <v>33.0</v>
      </c>
      <c r="H143" s="67">
        <v>12.0</v>
      </c>
      <c r="I143" s="35">
        <f t="shared" si="6"/>
        <v>45</v>
      </c>
      <c r="J143" s="68">
        <f t="shared" si="7"/>
        <v>7</v>
      </c>
      <c r="K143" s="37">
        <f>IFERROR(__xludf.DUMMYFUNCTION("IMPORTRANGE(""https://docs.google.com/spreadsheets/d/1CaLR8gtRCp0-wyyH0y5IvQnenreOSKFOo8AF4Pfpekc/edit?gid=400822622#gid=400822622"", ""GRADE 12!T""&amp;ROW(U67))"),7.0)</f>
        <v>7</v>
      </c>
      <c r="L143" s="38">
        <f>IFERROR(__xludf.DUMMYFUNCTION("IMPORTRANGE(""https://docs.google.com/spreadsheets/d/1CaLR8gtRCp0-wyyH0y5IvQnenreOSKFOo8AF4Pfpekc/edit?gid=400822622#gid=400822622"", ""GRADE 12!U""&amp;ROW(V67))"),0.0)</f>
        <v>0</v>
      </c>
      <c r="M143" s="39">
        <f>IFERROR(__xludf.DUMMYFUNCTION("IMPORTRANGE(""https://docs.google.com/spreadsheets/d/1CaLR8gtRCp0-wyyH0y5IvQnenreOSKFOo8AF4Pfpekc/edit?gid=400822622#gid=400822622"", ""GRADE 12!V""&amp;ROW(W67))"),0.0)</f>
        <v>0</v>
      </c>
      <c r="N143" s="40" t="str">
        <f t="shared" si="8"/>
        <v>COMPLETE</v>
      </c>
    </row>
    <row r="144" ht="22.5" customHeight="1">
      <c r="A144" s="63" t="s">
        <v>178</v>
      </c>
      <c r="B144" s="64">
        <v>61.0</v>
      </c>
      <c r="C144" s="64" t="s">
        <v>300</v>
      </c>
      <c r="D144" s="65" t="s">
        <v>141</v>
      </c>
      <c r="E144" s="66" t="s">
        <v>301</v>
      </c>
      <c r="F144" s="66" t="s">
        <v>30</v>
      </c>
      <c r="G144" s="67">
        <v>31.0</v>
      </c>
      <c r="H144" s="67">
        <v>16.0</v>
      </c>
      <c r="I144" s="35">
        <f t="shared" si="6"/>
        <v>47</v>
      </c>
      <c r="J144" s="68">
        <f t="shared" si="7"/>
        <v>7</v>
      </c>
      <c r="K144" s="37">
        <f>IFERROR(__xludf.DUMMYFUNCTION("IMPORTRANGE(""https://docs.google.com/spreadsheets/d/1CaLR8gtRCp0-wyyH0y5IvQnenreOSKFOo8AF4Pfpekc/edit?gid=400822622#gid=400822622"", ""GRADE 12!T""&amp;ROW(U68))"),7.0)</f>
        <v>7</v>
      </c>
      <c r="L144" s="38">
        <f>IFERROR(__xludf.DUMMYFUNCTION("IMPORTRANGE(""https://docs.google.com/spreadsheets/d/1CaLR8gtRCp0-wyyH0y5IvQnenreOSKFOo8AF4Pfpekc/edit?gid=400822622#gid=400822622"", ""GRADE 12!U""&amp;ROW(V68))"),0.0)</f>
        <v>0</v>
      </c>
      <c r="M144" s="39">
        <f>IFERROR(__xludf.DUMMYFUNCTION("IMPORTRANGE(""https://docs.google.com/spreadsheets/d/1CaLR8gtRCp0-wyyH0y5IvQnenreOSKFOo8AF4Pfpekc/edit?gid=400822622#gid=400822622"", ""GRADE 12!V""&amp;ROW(W68))"),0.0)</f>
        <v>0</v>
      </c>
      <c r="N144" s="40" t="str">
        <f t="shared" si="8"/>
        <v>COMPLETE</v>
      </c>
    </row>
    <row r="145" ht="22.5" customHeight="1">
      <c r="A145" s="63" t="s">
        <v>178</v>
      </c>
      <c r="B145" s="64">
        <v>62.0</v>
      </c>
      <c r="C145" s="64" t="s">
        <v>302</v>
      </c>
      <c r="D145" s="65" t="s">
        <v>141</v>
      </c>
      <c r="E145" s="66" t="s">
        <v>303</v>
      </c>
      <c r="F145" s="66" t="s">
        <v>27</v>
      </c>
      <c r="G145" s="67">
        <v>33.0</v>
      </c>
      <c r="H145" s="67">
        <v>13.0</v>
      </c>
      <c r="I145" s="35">
        <f t="shared" si="6"/>
        <v>46</v>
      </c>
      <c r="J145" s="68">
        <f t="shared" si="7"/>
        <v>7</v>
      </c>
      <c r="K145" s="37">
        <f>IFERROR(__xludf.DUMMYFUNCTION("IMPORTRANGE(""https://docs.google.com/spreadsheets/d/1CaLR8gtRCp0-wyyH0y5IvQnenreOSKFOo8AF4Pfpekc/edit?gid=400822622#gid=400822622"", ""GRADE 12!T""&amp;ROW(U69))"),7.0)</f>
        <v>7</v>
      </c>
      <c r="L145" s="38">
        <f>IFERROR(__xludf.DUMMYFUNCTION("IMPORTRANGE(""https://docs.google.com/spreadsheets/d/1CaLR8gtRCp0-wyyH0y5IvQnenreOSKFOo8AF4Pfpekc/edit?gid=400822622#gid=400822622"", ""GRADE 12!U""&amp;ROW(V69))"),0.0)</f>
        <v>0</v>
      </c>
      <c r="M145" s="39">
        <f>IFERROR(__xludf.DUMMYFUNCTION("IMPORTRANGE(""https://docs.google.com/spreadsheets/d/1CaLR8gtRCp0-wyyH0y5IvQnenreOSKFOo8AF4Pfpekc/edit?gid=400822622#gid=400822622"", ""GRADE 12!V""&amp;ROW(W69))"),0.0)</f>
        <v>0</v>
      </c>
      <c r="N145" s="40" t="str">
        <f t="shared" si="8"/>
        <v>COMPLETE</v>
      </c>
    </row>
    <row r="146" ht="22.5" customHeight="1">
      <c r="A146" s="63" t="s">
        <v>178</v>
      </c>
      <c r="B146" s="64">
        <v>63.0</v>
      </c>
      <c r="C146" s="64" t="s">
        <v>304</v>
      </c>
      <c r="D146" s="65" t="s">
        <v>141</v>
      </c>
      <c r="E146" s="66" t="s">
        <v>305</v>
      </c>
      <c r="F146" s="66" t="s">
        <v>55</v>
      </c>
      <c r="G146" s="67">
        <v>37.0</v>
      </c>
      <c r="H146" s="67">
        <v>11.0</v>
      </c>
      <c r="I146" s="35">
        <f t="shared" si="6"/>
        <v>48</v>
      </c>
      <c r="J146" s="68">
        <f t="shared" si="7"/>
        <v>7</v>
      </c>
      <c r="K146" s="37">
        <f>IFERROR(__xludf.DUMMYFUNCTION("IMPORTRANGE(""https://docs.google.com/spreadsheets/d/1CaLR8gtRCp0-wyyH0y5IvQnenreOSKFOo8AF4Pfpekc/edit?gid=400822622#gid=400822622"", ""GRADE 12!T""&amp;ROW(U70))"),7.0)</f>
        <v>7</v>
      </c>
      <c r="L146" s="38">
        <f>IFERROR(__xludf.DUMMYFUNCTION("IMPORTRANGE(""https://docs.google.com/spreadsheets/d/1CaLR8gtRCp0-wyyH0y5IvQnenreOSKFOo8AF4Pfpekc/edit?gid=400822622#gid=400822622"", ""GRADE 12!U""&amp;ROW(V70))"),0.0)</f>
        <v>0</v>
      </c>
      <c r="M146" s="39">
        <f>IFERROR(__xludf.DUMMYFUNCTION("IMPORTRANGE(""https://docs.google.com/spreadsheets/d/1CaLR8gtRCp0-wyyH0y5IvQnenreOSKFOo8AF4Pfpekc/edit?gid=400822622#gid=400822622"", ""GRADE 12!V""&amp;ROW(W70))"),0.0)</f>
        <v>0</v>
      </c>
      <c r="N146" s="40" t="str">
        <f t="shared" si="8"/>
        <v>COMPLETE</v>
      </c>
    </row>
    <row r="147" ht="22.5" customHeight="1">
      <c r="A147" s="63" t="s">
        <v>178</v>
      </c>
      <c r="B147" s="64">
        <v>64.0</v>
      </c>
      <c r="C147" s="64" t="s">
        <v>306</v>
      </c>
      <c r="D147" s="65" t="s">
        <v>141</v>
      </c>
      <c r="E147" s="66" t="s">
        <v>307</v>
      </c>
      <c r="F147" s="66" t="s">
        <v>55</v>
      </c>
      <c r="G147" s="67">
        <v>33.0</v>
      </c>
      <c r="H147" s="67">
        <v>14.0</v>
      </c>
      <c r="I147" s="35">
        <f t="shared" si="6"/>
        <v>47</v>
      </c>
      <c r="J147" s="68">
        <f t="shared" si="7"/>
        <v>6</v>
      </c>
      <c r="K147" s="37">
        <f>IFERROR(__xludf.DUMMYFUNCTION("IMPORTRANGE(""https://docs.google.com/spreadsheets/d/1CaLR8gtRCp0-wyyH0y5IvQnenreOSKFOo8AF4Pfpekc/edit?gid=400822622#gid=400822622"", ""GRADE 12!T""&amp;ROW(U71))"),6.0)</f>
        <v>6</v>
      </c>
      <c r="L147" s="38">
        <f>IFERROR(__xludf.DUMMYFUNCTION("IMPORTRANGE(""https://docs.google.com/spreadsheets/d/1CaLR8gtRCp0-wyyH0y5IvQnenreOSKFOo8AF4Pfpekc/edit?gid=400822622#gid=400822622"", ""GRADE 12!U""&amp;ROW(V71))"),0.0)</f>
        <v>0</v>
      </c>
      <c r="M147" s="39">
        <f>IFERROR(__xludf.DUMMYFUNCTION("IMPORTRANGE(""https://docs.google.com/spreadsheets/d/1CaLR8gtRCp0-wyyH0y5IvQnenreOSKFOo8AF4Pfpekc/edit?gid=400822622#gid=400822622"", ""GRADE 12!V""&amp;ROW(W71))"),0.0)</f>
        <v>0</v>
      </c>
      <c r="N147" s="40" t="str">
        <f t="shared" si="8"/>
        <v>COMPLETE</v>
      </c>
    </row>
    <row r="148" ht="22.5" customHeight="1">
      <c r="A148" s="63" t="s">
        <v>178</v>
      </c>
      <c r="B148" s="64">
        <v>65.0</v>
      </c>
      <c r="C148" s="64" t="s">
        <v>308</v>
      </c>
      <c r="D148" s="65" t="s">
        <v>141</v>
      </c>
      <c r="E148" s="66" t="s">
        <v>309</v>
      </c>
      <c r="F148" s="66" t="s">
        <v>27</v>
      </c>
      <c r="G148" s="67">
        <v>34.0</v>
      </c>
      <c r="H148" s="67">
        <v>12.0</v>
      </c>
      <c r="I148" s="35">
        <f t="shared" si="6"/>
        <v>46</v>
      </c>
      <c r="J148" s="68">
        <f t="shared" si="7"/>
        <v>6</v>
      </c>
      <c r="K148" s="37">
        <f>IFERROR(__xludf.DUMMYFUNCTION("IMPORTRANGE(""https://docs.google.com/spreadsheets/d/1CaLR8gtRCp0-wyyH0y5IvQnenreOSKFOo8AF4Pfpekc/edit?gid=400822622#gid=400822622"", ""GRADE 12!T""&amp;ROW(U72))"),6.0)</f>
        <v>6</v>
      </c>
      <c r="L148" s="38">
        <f>IFERROR(__xludf.DUMMYFUNCTION("IMPORTRANGE(""https://docs.google.com/spreadsheets/d/1CaLR8gtRCp0-wyyH0y5IvQnenreOSKFOo8AF4Pfpekc/edit?gid=400822622#gid=400822622"", ""GRADE 12!U""&amp;ROW(V72))"),0.0)</f>
        <v>0</v>
      </c>
      <c r="M148" s="39">
        <f>IFERROR(__xludf.DUMMYFUNCTION("IMPORTRANGE(""https://docs.google.com/spreadsheets/d/1CaLR8gtRCp0-wyyH0y5IvQnenreOSKFOo8AF4Pfpekc/edit?gid=400822622#gid=400822622"", ""GRADE 12!V""&amp;ROW(W72))"),0.0)</f>
        <v>0</v>
      </c>
      <c r="N148" s="40" t="str">
        <f t="shared" si="8"/>
        <v>COMPLETE</v>
      </c>
    </row>
    <row r="149" ht="22.5" customHeight="1">
      <c r="A149" s="63" t="s">
        <v>178</v>
      </c>
      <c r="B149" s="64">
        <v>66.0</v>
      </c>
      <c r="C149" s="64" t="s">
        <v>310</v>
      </c>
      <c r="D149" s="65" t="s">
        <v>138</v>
      </c>
      <c r="E149" s="66" t="s">
        <v>311</v>
      </c>
      <c r="F149" s="66" t="s">
        <v>21</v>
      </c>
      <c r="G149" s="67">
        <v>3.0</v>
      </c>
      <c r="H149" s="67">
        <v>37.0</v>
      </c>
      <c r="I149" s="35">
        <f t="shared" si="6"/>
        <v>40</v>
      </c>
      <c r="J149" s="68">
        <f t="shared" si="7"/>
        <v>6</v>
      </c>
      <c r="K149" s="37">
        <f>IFERROR(__xludf.DUMMYFUNCTION("IMPORTRANGE(""https://docs.google.com/spreadsheets/d/1CaLR8gtRCp0-wyyH0y5IvQnenreOSKFOo8AF4Pfpekc/edit?gid=400822622#gid=400822622"", ""GRADE 12!T""&amp;ROW(U73))"),6.0)</f>
        <v>6</v>
      </c>
      <c r="L149" s="38">
        <f>IFERROR(__xludf.DUMMYFUNCTION("IMPORTRANGE(""https://docs.google.com/spreadsheets/d/1CaLR8gtRCp0-wyyH0y5IvQnenreOSKFOo8AF4Pfpekc/edit?gid=400822622#gid=400822622"", ""GRADE 12!U""&amp;ROW(V73))"),0.0)</f>
        <v>0</v>
      </c>
      <c r="M149" s="39">
        <f>IFERROR(__xludf.DUMMYFUNCTION("IMPORTRANGE(""https://docs.google.com/spreadsheets/d/1CaLR8gtRCp0-wyyH0y5IvQnenreOSKFOo8AF4Pfpekc/edit?gid=400822622#gid=400822622"", ""GRADE 12!V""&amp;ROW(W73))"),0.0)</f>
        <v>0</v>
      </c>
      <c r="N149" s="40" t="str">
        <f t="shared" si="8"/>
        <v>COMPLETE</v>
      </c>
    </row>
    <row r="150" ht="22.5" customHeight="1">
      <c r="A150" s="63" t="s">
        <v>178</v>
      </c>
      <c r="B150" s="64">
        <v>67.0</v>
      </c>
      <c r="C150" s="64" t="s">
        <v>312</v>
      </c>
      <c r="D150" s="65" t="s">
        <v>138</v>
      </c>
      <c r="E150" s="66" t="s">
        <v>313</v>
      </c>
      <c r="F150" s="66" t="s">
        <v>283</v>
      </c>
      <c r="G150" s="67">
        <v>4.0</v>
      </c>
      <c r="H150" s="67">
        <v>29.0</v>
      </c>
      <c r="I150" s="35">
        <f t="shared" si="6"/>
        <v>33</v>
      </c>
      <c r="J150" s="68">
        <f t="shared" si="7"/>
        <v>6</v>
      </c>
      <c r="K150" s="37">
        <f>IFERROR(__xludf.DUMMYFUNCTION("IMPORTRANGE(""https://docs.google.com/spreadsheets/d/1CaLR8gtRCp0-wyyH0y5IvQnenreOSKFOo8AF4Pfpekc/edit?gid=400822622#gid=400822622"", ""GRADE 12!T""&amp;ROW(U74))"),6.0)</f>
        <v>6</v>
      </c>
      <c r="L150" s="38">
        <f>IFERROR(__xludf.DUMMYFUNCTION("IMPORTRANGE(""https://docs.google.com/spreadsheets/d/1CaLR8gtRCp0-wyyH0y5IvQnenreOSKFOo8AF4Pfpekc/edit?gid=400822622#gid=400822622"", ""GRADE 12!U""&amp;ROW(V74))"),0.0)</f>
        <v>0</v>
      </c>
      <c r="M150" s="39">
        <f>IFERROR(__xludf.DUMMYFUNCTION("IMPORTRANGE(""https://docs.google.com/spreadsheets/d/1CaLR8gtRCp0-wyyH0y5IvQnenreOSKFOo8AF4Pfpekc/edit?gid=400822622#gid=400822622"", ""GRADE 12!V""&amp;ROW(W74))"),0.0)</f>
        <v>0</v>
      </c>
      <c r="N150" s="40" t="str">
        <f t="shared" si="8"/>
        <v>COMPLETE</v>
      </c>
    </row>
    <row r="151" ht="22.5" customHeight="1">
      <c r="A151" s="63" t="s">
        <v>178</v>
      </c>
      <c r="B151" s="64">
        <v>68.0</v>
      </c>
      <c r="C151" s="64" t="s">
        <v>314</v>
      </c>
      <c r="D151" s="65" t="s">
        <v>171</v>
      </c>
      <c r="E151" s="66" t="s">
        <v>315</v>
      </c>
      <c r="F151" s="66" t="s">
        <v>283</v>
      </c>
      <c r="G151" s="67">
        <v>8.0</v>
      </c>
      <c r="H151" s="67">
        <v>10.0</v>
      </c>
      <c r="I151" s="35">
        <f t="shared" si="6"/>
        <v>18</v>
      </c>
      <c r="J151" s="68">
        <f t="shared" si="7"/>
        <v>6</v>
      </c>
      <c r="K151" s="37">
        <f>IFERROR(__xludf.DUMMYFUNCTION("IMPORTRANGE(""https://docs.google.com/spreadsheets/d/1CaLR8gtRCp0-wyyH0y5IvQnenreOSKFOo8AF4Pfpekc/edit?gid=400822622#gid=400822622"", ""GRADE 12!T""&amp;ROW(U75))"),6.0)</f>
        <v>6</v>
      </c>
      <c r="L151" s="38">
        <f>IFERROR(__xludf.DUMMYFUNCTION("IMPORTRANGE(""https://docs.google.com/spreadsheets/d/1CaLR8gtRCp0-wyyH0y5IvQnenreOSKFOo8AF4Pfpekc/edit?gid=400822622#gid=400822622"", ""GRADE 12!U""&amp;ROW(V75))"),0.0)</f>
        <v>0</v>
      </c>
      <c r="M151" s="39">
        <f>IFERROR(__xludf.DUMMYFUNCTION("IMPORTRANGE(""https://docs.google.com/spreadsheets/d/1CaLR8gtRCp0-wyyH0y5IvQnenreOSKFOo8AF4Pfpekc/edit?gid=400822622#gid=400822622"", ""GRADE 12!V""&amp;ROW(W75))"),0.0)</f>
        <v>0</v>
      </c>
      <c r="N151" s="40" t="str">
        <f t="shared" si="8"/>
        <v>COMPLETE</v>
      </c>
    </row>
    <row r="152" ht="22.5" customHeight="1">
      <c r="A152" s="63" t="s">
        <v>178</v>
      </c>
      <c r="B152" s="64">
        <v>69.0</v>
      </c>
      <c r="C152" s="64" t="s">
        <v>316</v>
      </c>
      <c r="D152" s="65" t="s">
        <v>168</v>
      </c>
      <c r="E152" s="66" t="s">
        <v>317</v>
      </c>
      <c r="F152" s="66" t="s">
        <v>21</v>
      </c>
      <c r="G152" s="67">
        <v>50.0</v>
      </c>
      <c r="H152" s="67">
        <v>2.0</v>
      </c>
      <c r="I152" s="35">
        <f t="shared" si="6"/>
        <v>52</v>
      </c>
      <c r="J152" s="68">
        <f t="shared" si="7"/>
        <v>6</v>
      </c>
      <c r="K152" s="37">
        <f>IFERROR(__xludf.DUMMYFUNCTION("IMPORTRANGE(""https://docs.google.com/spreadsheets/d/1CaLR8gtRCp0-wyyH0y5IvQnenreOSKFOo8AF4Pfpekc/edit?gid=400822622#gid=400822622"", ""GRADE 12!T""&amp;ROW(U76))"),0.0)</f>
        <v>0</v>
      </c>
      <c r="L152" s="38">
        <f>IFERROR(__xludf.DUMMYFUNCTION("IMPORTRANGE(""https://docs.google.com/spreadsheets/d/1CaLR8gtRCp0-wyyH0y5IvQnenreOSKFOo8AF4Pfpekc/edit?gid=400822622#gid=400822622"", ""GRADE 12!U""&amp;ROW(V76))"),6.0)</f>
        <v>6</v>
      </c>
      <c r="M152" s="39">
        <f>IFERROR(__xludf.DUMMYFUNCTION("IMPORTRANGE(""https://docs.google.com/spreadsheets/d/1CaLR8gtRCp0-wyyH0y5IvQnenreOSKFOo8AF4Pfpekc/edit?gid=400822622#gid=400822622"", ""GRADE 12!V""&amp;ROW(W76))"),-6.0)</f>
        <v>-6</v>
      </c>
      <c r="N152" s="40" t="str">
        <f t="shared" si="8"/>
        <v>INCOMPLETE</v>
      </c>
    </row>
    <row r="153" ht="22.5" customHeight="1">
      <c r="A153" s="63" t="s">
        <v>178</v>
      </c>
      <c r="B153" s="64">
        <v>70.0</v>
      </c>
      <c r="C153" s="64" t="s">
        <v>318</v>
      </c>
      <c r="D153" s="65" t="s">
        <v>160</v>
      </c>
      <c r="E153" s="66" t="s">
        <v>319</v>
      </c>
      <c r="F153" s="66" t="s">
        <v>27</v>
      </c>
      <c r="G153" s="67">
        <v>35.0</v>
      </c>
      <c r="H153" s="67">
        <v>5.0</v>
      </c>
      <c r="I153" s="35">
        <f t="shared" si="6"/>
        <v>40</v>
      </c>
      <c r="J153" s="68">
        <f t="shared" si="7"/>
        <v>6</v>
      </c>
      <c r="K153" s="37">
        <f>IFERROR(__xludf.DUMMYFUNCTION("IMPORTRANGE(""https://docs.google.com/spreadsheets/d/1CaLR8gtRCp0-wyyH0y5IvQnenreOSKFOo8AF4Pfpekc/edit?gid=400822622#gid=400822622"", ""GRADE 12!T""&amp;ROW(U77))"),6.0)</f>
        <v>6</v>
      </c>
      <c r="L153" s="38">
        <f>IFERROR(__xludf.DUMMYFUNCTION("IMPORTRANGE(""https://docs.google.com/spreadsheets/d/1CaLR8gtRCp0-wyyH0y5IvQnenreOSKFOo8AF4Pfpekc/edit?gid=400822622#gid=400822622"", ""GRADE 12!U""&amp;ROW(V77))"),0.0)</f>
        <v>0</v>
      </c>
      <c r="M153" s="39">
        <f>IFERROR(__xludf.DUMMYFUNCTION("IMPORTRANGE(""https://docs.google.com/spreadsheets/d/1CaLR8gtRCp0-wyyH0y5IvQnenreOSKFOo8AF4Pfpekc/edit?gid=400822622#gid=400822622"", ""GRADE 12!V""&amp;ROW(W77))"),0.0)</f>
        <v>0</v>
      </c>
      <c r="N153" s="40" t="str">
        <f t="shared" si="8"/>
        <v>COMPLETE</v>
      </c>
    </row>
    <row r="154" ht="22.5" customHeight="1">
      <c r="A154" s="63" t="s">
        <v>178</v>
      </c>
      <c r="B154" s="64">
        <v>71.0</v>
      </c>
      <c r="C154" s="64" t="s">
        <v>173</v>
      </c>
      <c r="D154" s="65" t="s">
        <v>168</v>
      </c>
      <c r="E154" s="66" t="s">
        <v>320</v>
      </c>
      <c r="F154" s="66" t="s">
        <v>55</v>
      </c>
      <c r="G154" s="67">
        <v>26.0</v>
      </c>
      <c r="H154" s="67">
        <v>7.0</v>
      </c>
      <c r="I154" s="35">
        <f t="shared" si="6"/>
        <v>33</v>
      </c>
      <c r="J154" s="68">
        <f t="shared" si="7"/>
        <v>7</v>
      </c>
      <c r="K154" s="37">
        <f>IFERROR(__xludf.DUMMYFUNCTION("IMPORTRANGE(""https://docs.google.com/spreadsheets/d/1CaLR8gtRCp0-wyyH0y5IvQnenreOSKFOo8AF4Pfpekc/edit?gid=400822622#gid=400822622"", ""GRADE 12!T""&amp;ROW(U78))"),7.0)</f>
        <v>7</v>
      </c>
      <c r="L154" s="38">
        <f>IFERROR(__xludf.DUMMYFUNCTION("IMPORTRANGE(""https://docs.google.com/spreadsheets/d/1CaLR8gtRCp0-wyyH0y5IvQnenreOSKFOo8AF4Pfpekc/edit?gid=400822622#gid=400822622"", ""GRADE 12!U""&amp;ROW(V78))"),0.0)</f>
        <v>0</v>
      </c>
      <c r="M154" s="39">
        <f>IFERROR(__xludf.DUMMYFUNCTION("IMPORTRANGE(""https://docs.google.com/spreadsheets/d/1CaLR8gtRCp0-wyyH0y5IvQnenreOSKFOo8AF4Pfpekc/edit?gid=400822622#gid=400822622"", ""GRADE 12!V""&amp;ROW(W78))"),0.0)</f>
        <v>0</v>
      </c>
      <c r="N154" s="40" t="str">
        <f t="shared" si="8"/>
        <v>COMPLETE</v>
      </c>
    </row>
    <row r="155" ht="22.5" customHeight="1">
      <c r="A155" s="63" t="s">
        <v>178</v>
      </c>
      <c r="B155" s="64">
        <v>72.0</v>
      </c>
      <c r="C155" s="64" t="s">
        <v>175</v>
      </c>
      <c r="D155" s="65" t="s">
        <v>119</v>
      </c>
      <c r="E155" s="66" t="s">
        <v>321</v>
      </c>
      <c r="F155" s="66" t="s">
        <v>21</v>
      </c>
      <c r="G155" s="67">
        <v>10.0</v>
      </c>
      <c r="H155" s="67">
        <v>26.0</v>
      </c>
      <c r="I155" s="35">
        <f t="shared" si="6"/>
        <v>36</v>
      </c>
      <c r="J155" s="68">
        <f t="shared" si="7"/>
        <v>7</v>
      </c>
      <c r="K155" s="37">
        <f>IFERROR(__xludf.DUMMYFUNCTION("IMPORTRANGE(""https://docs.google.com/spreadsheets/d/1CaLR8gtRCp0-wyyH0y5IvQnenreOSKFOo8AF4Pfpekc/edit?gid=400822622#gid=400822622"", ""GRADE 12!T""&amp;ROW(U79))"),0.0)</f>
        <v>0</v>
      </c>
      <c r="L155" s="38">
        <f>IFERROR(__xludf.DUMMYFUNCTION("IMPORTRANGE(""https://docs.google.com/spreadsheets/d/1CaLR8gtRCp0-wyyH0y5IvQnenreOSKFOo8AF4Pfpekc/edit?gid=400822622#gid=400822622"", ""GRADE 12!U""&amp;ROW(V79))"),7.0)</f>
        <v>7</v>
      </c>
      <c r="M155" s="39">
        <f>IFERROR(__xludf.DUMMYFUNCTION("IMPORTRANGE(""https://docs.google.com/spreadsheets/d/1CaLR8gtRCp0-wyyH0y5IvQnenreOSKFOo8AF4Pfpekc/edit?gid=400822622#gid=400822622"", ""GRADE 12!V""&amp;ROW(W79))"),21.0)</f>
        <v>21</v>
      </c>
      <c r="N155" s="40" t="str">
        <f t="shared" si="8"/>
        <v>INCOMPLETE</v>
      </c>
    </row>
    <row r="156" ht="22.5" customHeight="1">
      <c r="A156" s="63" t="s">
        <v>178</v>
      </c>
      <c r="B156" s="64">
        <v>73.0</v>
      </c>
      <c r="C156" s="64" t="s">
        <v>322</v>
      </c>
      <c r="D156" s="65" t="s">
        <v>119</v>
      </c>
      <c r="E156" s="66" t="s">
        <v>323</v>
      </c>
      <c r="F156" s="66" t="s">
        <v>27</v>
      </c>
      <c r="G156" s="67">
        <v>0.0</v>
      </c>
      <c r="H156" s="67">
        <v>47.0</v>
      </c>
      <c r="I156" s="35">
        <f t="shared" si="6"/>
        <v>47</v>
      </c>
      <c r="J156" s="68">
        <f t="shared" si="7"/>
        <v>7</v>
      </c>
      <c r="K156" s="37">
        <f>IFERROR(__xludf.DUMMYFUNCTION("IMPORTRANGE(""https://docs.google.com/spreadsheets/d/1CaLR8gtRCp0-wyyH0y5IvQnenreOSKFOo8AF4Pfpekc/edit?gid=400822622#gid=400822622"", ""GRADE 12!T""&amp;ROW(U80))"),7.0)</f>
        <v>7</v>
      </c>
      <c r="L156" s="38">
        <f>IFERROR(__xludf.DUMMYFUNCTION("IMPORTRANGE(""https://docs.google.com/spreadsheets/d/1CaLR8gtRCp0-wyyH0y5IvQnenreOSKFOo8AF4Pfpekc/edit?gid=400822622#gid=400822622"", ""GRADE 12!U""&amp;ROW(V80))"),0.0)</f>
        <v>0</v>
      </c>
      <c r="M156" s="39">
        <f>IFERROR(__xludf.DUMMYFUNCTION("IMPORTRANGE(""https://docs.google.com/spreadsheets/d/1CaLR8gtRCp0-wyyH0y5IvQnenreOSKFOo8AF4Pfpekc/edit?gid=400822622#gid=400822622"", ""GRADE 12!V""&amp;ROW(W80))"),0.0)</f>
        <v>0</v>
      </c>
      <c r="N156" s="40" t="str">
        <f t="shared" si="8"/>
        <v>COMPLETE</v>
      </c>
    </row>
    <row r="157">
      <c r="A157" s="69" t="s">
        <v>324</v>
      </c>
      <c r="B157" s="13"/>
      <c r="C157" s="13"/>
      <c r="D157" s="13"/>
      <c r="E157" s="14"/>
      <c r="F157" s="70">
        <f>COUNTA(F84:F156)</f>
        <v>73</v>
      </c>
      <c r="G157" s="71">
        <f t="shared" ref="G157:I157" si="9">SUM(G84:G156)</f>
        <v>1696</v>
      </c>
      <c r="H157" s="71">
        <f t="shared" si="9"/>
        <v>1686</v>
      </c>
      <c r="I157" s="72">
        <f t="shared" si="9"/>
        <v>3382</v>
      </c>
      <c r="J157" s="73"/>
      <c r="K157" s="71">
        <f t="shared" ref="K157:M157" si="10">SUM(K84:K156)</f>
        <v>508</v>
      </c>
      <c r="L157" s="71">
        <f t="shared" si="10"/>
        <v>13</v>
      </c>
      <c r="M157" s="71">
        <f t="shared" si="10"/>
        <v>15</v>
      </c>
      <c r="N157" s="40" t="str">
        <f t="shared" ref="N157:N158" si="13">IFS(J157=K157,"COMPLETE", K157=0,"NO INPUT", TRUE,"INCOMPLETE")</f>
        <v>INCOMPLETE</v>
      </c>
    </row>
    <row r="158" ht="21.75" customHeight="1">
      <c r="A158" s="74" t="s">
        <v>325</v>
      </c>
      <c r="B158" s="13"/>
      <c r="C158" s="13"/>
      <c r="D158" s="13"/>
      <c r="E158" s="14"/>
      <c r="F158" s="75">
        <f t="shared" ref="F158:I158" si="11">SUM(F82,F157)</f>
        <v>144</v>
      </c>
      <c r="G158" s="71">
        <f t="shared" si="11"/>
        <v>3186</v>
      </c>
      <c r="H158" s="71">
        <f t="shared" si="11"/>
        <v>3191</v>
      </c>
      <c r="I158" s="72">
        <f t="shared" si="11"/>
        <v>6377</v>
      </c>
      <c r="J158" s="73"/>
      <c r="K158" s="71">
        <f t="shared" ref="K158:M158" si="12">SUM(K82,K157)</f>
        <v>1039</v>
      </c>
      <c r="L158" s="71">
        <f t="shared" si="12"/>
        <v>63</v>
      </c>
      <c r="M158" s="71">
        <f t="shared" si="12"/>
        <v>-33</v>
      </c>
      <c r="N158" s="40" t="str">
        <f t="shared" si="13"/>
        <v>INCOMPLETE</v>
      </c>
    </row>
    <row r="159">
      <c r="A159" s="76"/>
      <c r="B159" s="77"/>
      <c r="C159" s="77"/>
      <c r="D159" s="77"/>
      <c r="E159" s="76"/>
      <c r="F159" s="76"/>
      <c r="G159" s="78"/>
      <c r="H159" s="79"/>
      <c r="I159" s="79"/>
      <c r="J159" s="79"/>
      <c r="K159" s="79"/>
      <c r="L159" s="79"/>
      <c r="M159" s="79"/>
      <c r="N159" s="79"/>
    </row>
    <row r="160" ht="30.75" customHeight="1">
      <c r="A160" s="80"/>
      <c r="B160" s="81"/>
      <c r="C160" s="81"/>
      <c r="D160" s="81"/>
      <c r="E160" s="82" t="s">
        <v>9</v>
      </c>
      <c r="F160" s="83" t="s">
        <v>326</v>
      </c>
      <c r="G160" s="84" t="s">
        <v>327</v>
      </c>
      <c r="H160" s="13"/>
      <c r="I160" s="13"/>
      <c r="J160" s="85" t="s">
        <v>328</v>
      </c>
      <c r="K160" s="13"/>
      <c r="L160" s="14"/>
      <c r="M160" s="86"/>
      <c r="N160" s="86"/>
    </row>
    <row r="161">
      <c r="A161" s="77"/>
      <c r="B161" s="77"/>
      <c r="C161" s="77"/>
      <c r="D161" s="77"/>
      <c r="E161" s="20"/>
      <c r="F161" s="20"/>
      <c r="G161" s="87" t="s">
        <v>16</v>
      </c>
      <c r="H161" s="87" t="s">
        <v>17</v>
      </c>
      <c r="I161" s="87" t="s">
        <v>18</v>
      </c>
      <c r="J161" s="88" t="s">
        <v>329</v>
      </c>
      <c r="K161" s="89" t="s">
        <v>330</v>
      </c>
      <c r="L161" s="90" t="s">
        <v>331</v>
      </c>
      <c r="M161" s="91"/>
      <c r="N161" s="91"/>
    </row>
    <row r="162">
      <c r="A162" s="77"/>
      <c r="B162" s="77"/>
      <c r="C162" s="77"/>
      <c r="D162" s="77"/>
      <c r="E162" s="92" t="s">
        <v>21</v>
      </c>
      <c r="F162" s="93">
        <f>COUNTIF(F$10:F$156, "ABM")</f>
        <v>23</v>
      </c>
      <c r="G162" s="94">
        <f t="shared" ref="G162:I162" si="14">SUMIFS(G$10:G$156, $F$10:$F$156,$E162)</f>
        <v>496</v>
      </c>
      <c r="H162" s="94">
        <f t="shared" si="14"/>
        <v>557</v>
      </c>
      <c r="I162" s="94">
        <f t="shared" si="14"/>
        <v>1053</v>
      </c>
      <c r="J162" s="94">
        <f t="shared" ref="J162:J169" si="16">COUNTIFS($F$10:$F$156, $E162, $N$10:$N$156, "COMPLETE")</f>
        <v>20</v>
      </c>
      <c r="K162" s="94">
        <f t="shared" ref="K162:K169" si="17">COUNTIFS($F$10:$F$156, $E162, $N$10:$N$156, "INCOMPLETE")</f>
        <v>3</v>
      </c>
      <c r="L162" s="94">
        <f t="shared" ref="L162:L169" si="18">COUNTIFS($F$10:$F$156, $E162, $N$10:$N$156, "NO INPUT")</f>
        <v>0</v>
      </c>
      <c r="M162" s="95"/>
      <c r="N162" s="95"/>
    </row>
    <row r="163">
      <c r="A163" s="96"/>
      <c r="B163" s="77"/>
      <c r="C163" s="77"/>
      <c r="D163" s="77"/>
      <c r="E163" s="92" t="s">
        <v>27</v>
      </c>
      <c r="F163" s="93">
        <f>COUNTIF(F$10:F$156, "ENGLISH")</f>
        <v>48</v>
      </c>
      <c r="G163" s="94">
        <f t="shared" ref="G163:I163" si="15">SUMIFS(G$10:G$156, $F$10:$F$156,$E163)</f>
        <v>1140</v>
      </c>
      <c r="H163" s="94">
        <f t="shared" si="15"/>
        <v>1095</v>
      </c>
      <c r="I163" s="94">
        <f t="shared" si="15"/>
        <v>2235</v>
      </c>
      <c r="J163" s="94">
        <f t="shared" si="16"/>
        <v>47</v>
      </c>
      <c r="K163" s="94">
        <f t="shared" si="17"/>
        <v>1</v>
      </c>
      <c r="L163" s="94">
        <f t="shared" si="18"/>
        <v>0</v>
      </c>
      <c r="M163" s="95"/>
      <c r="N163" s="95"/>
    </row>
    <row r="164" ht="18.0" customHeight="1">
      <c r="A164" s="97"/>
      <c r="B164" s="77"/>
      <c r="C164" s="77"/>
      <c r="D164" s="77"/>
      <c r="E164" s="92" t="s">
        <v>61</v>
      </c>
      <c r="F164" s="93">
        <f>COUNTIF(F$10:F$156, "ESP")</f>
        <v>3</v>
      </c>
      <c r="G164" s="94">
        <f t="shared" ref="G164:I164" si="19">SUMIFS(G$10:G$156, $F$10:$F$156,$E164)</f>
        <v>73</v>
      </c>
      <c r="H164" s="94">
        <f t="shared" si="19"/>
        <v>55</v>
      </c>
      <c r="I164" s="94">
        <f t="shared" si="19"/>
        <v>128</v>
      </c>
      <c r="J164" s="94">
        <f t="shared" si="16"/>
        <v>3</v>
      </c>
      <c r="K164" s="94">
        <f t="shared" si="17"/>
        <v>0</v>
      </c>
      <c r="L164" s="94">
        <f t="shared" si="18"/>
        <v>0</v>
      </c>
      <c r="M164" s="95"/>
      <c r="N164" s="95"/>
    </row>
    <row r="165">
      <c r="A165" s="77"/>
      <c r="B165" s="77"/>
      <c r="C165" s="77"/>
      <c r="D165" s="77"/>
      <c r="E165" s="92" t="s">
        <v>30</v>
      </c>
      <c r="F165" s="93">
        <f>COUNTIF(F$10:F$156, "FILIPINO")</f>
        <v>16</v>
      </c>
      <c r="G165" s="94">
        <f t="shared" ref="G165:I165" si="20">SUMIFS(G$10:G$156, $F$10:$F$156,$E165)</f>
        <v>368</v>
      </c>
      <c r="H165" s="94">
        <f t="shared" si="20"/>
        <v>355</v>
      </c>
      <c r="I165" s="94">
        <f t="shared" si="20"/>
        <v>723</v>
      </c>
      <c r="J165" s="94">
        <f t="shared" si="16"/>
        <v>14</v>
      </c>
      <c r="K165" s="94">
        <f t="shared" si="17"/>
        <v>2</v>
      </c>
      <c r="L165" s="94">
        <f t="shared" si="18"/>
        <v>0</v>
      </c>
      <c r="M165" s="95"/>
      <c r="N165" s="95"/>
    </row>
    <row r="166">
      <c r="A166" s="77"/>
      <c r="B166" s="77"/>
      <c r="C166" s="77"/>
      <c r="D166" s="77"/>
      <c r="E166" s="92" t="s">
        <v>55</v>
      </c>
      <c r="F166" s="93">
        <f>COUNTIF(F$10:F$156, "HUMSS")</f>
        <v>21</v>
      </c>
      <c r="G166" s="94">
        <f t="shared" ref="G166:I166" si="21">SUMIFS(G$10:G$156, $F$10:$F$156,$E166)</f>
        <v>513</v>
      </c>
      <c r="H166" s="94">
        <f t="shared" si="21"/>
        <v>442</v>
      </c>
      <c r="I166" s="94">
        <f t="shared" si="21"/>
        <v>955</v>
      </c>
      <c r="J166" s="94">
        <f t="shared" si="16"/>
        <v>21</v>
      </c>
      <c r="K166" s="94">
        <f t="shared" si="17"/>
        <v>0</v>
      </c>
      <c r="L166" s="94">
        <f t="shared" si="18"/>
        <v>0</v>
      </c>
      <c r="M166" s="95"/>
      <c r="N166" s="95"/>
    </row>
    <row r="167">
      <c r="A167" s="77"/>
      <c r="B167" s="77"/>
      <c r="C167" s="77"/>
      <c r="D167" s="77"/>
      <c r="E167" s="92" t="s">
        <v>72</v>
      </c>
      <c r="F167" s="93">
        <f>COUNTIF(F$10:F$156, "MATH")</f>
        <v>11</v>
      </c>
      <c r="G167" s="94">
        <f t="shared" ref="G167:I167" si="22">SUMIFS(G$10:G$156, $F$10:$F$156,$E167)</f>
        <v>203</v>
      </c>
      <c r="H167" s="94">
        <f t="shared" si="22"/>
        <v>246</v>
      </c>
      <c r="I167" s="94">
        <f t="shared" si="22"/>
        <v>449</v>
      </c>
      <c r="J167" s="94">
        <f t="shared" si="16"/>
        <v>10</v>
      </c>
      <c r="K167" s="94">
        <f t="shared" si="17"/>
        <v>1</v>
      </c>
      <c r="L167" s="94">
        <f t="shared" si="18"/>
        <v>0</v>
      </c>
      <c r="M167" s="95"/>
      <c r="N167" s="95"/>
    </row>
    <row r="168">
      <c r="A168" s="77"/>
      <c r="B168" s="77"/>
      <c r="C168" s="77"/>
      <c r="D168" s="77"/>
      <c r="E168" s="92" t="s">
        <v>43</v>
      </c>
      <c r="F168" s="93">
        <f>COUNTIF(F$10:F$156, "SCIENCE")</f>
        <v>18</v>
      </c>
      <c r="G168" s="94">
        <f t="shared" ref="G168:I168" si="23">SUMIFS(G$10:G$156, $F$10:$F$156,$E168)</f>
        <v>343</v>
      </c>
      <c r="H168" s="94">
        <f t="shared" si="23"/>
        <v>357</v>
      </c>
      <c r="I168" s="94">
        <f t="shared" si="23"/>
        <v>700</v>
      </c>
      <c r="J168" s="94">
        <f t="shared" si="16"/>
        <v>17</v>
      </c>
      <c r="K168" s="94">
        <f t="shared" si="17"/>
        <v>1</v>
      </c>
      <c r="L168" s="94">
        <f t="shared" si="18"/>
        <v>0</v>
      </c>
      <c r="M168" s="95"/>
      <c r="N168" s="95"/>
    </row>
    <row r="169">
      <c r="A169" s="77"/>
      <c r="B169" s="77"/>
      <c r="C169" s="77"/>
      <c r="D169" s="77"/>
      <c r="E169" s="98" t="s">
        <v>283</v>
      </c>
      <c r="F169" s="99">
        <f>COUNTIF(F$10:F$156, "TVL - ICT")</f>
        <v>4</v>
      </c>
      <c r="G169" s="94">
        <f t="shared" ref="G169:I169" si="24">SUMIFS(G$10:G$156, $F$10:$F$156,$E169)</f>
        <v>50</v>
      </c>
      <c r="H169" s="94">
        <f t="shared" si="24"/>
        <v>84</v>
      </c>
      <c r="I169" s="94">
        <f t="shared" si="24"/>
        <v>134</v>
      </c>
      <c r="J169" s="94">
        <f t="shared" si="16"/>
        <v>4</v>
      </c>
      <c r="K169" s="94">
        <f t="shared" si="17"/>
        <v>0</v>
      </c>
      <c r="L169" s="94">
        <f t="shared" si="18"/>
        <v>0</v>
      </c>
      <c r="M169" s="95"/>
      <c r="N169" s="95"/>
    </row>
    <row r="170">
      <c r="A170" s="77"/>
      <c r="B170" s="77"/>
      <c r="C170" s="77"/>
      <c r="D170" s="77"/>
      <c r="E170" s="100" t="s">
        <v>18</v>
      </c>
      <c r="F170" s="101">
        <f t="shared" ref="F170:L170" si="25">SUM(F162:F169)</f>
        <v>144</v>
      </c>
      <c r="G170" s="101">
        <f t="shared" si="25"/>
        <v>3186</v>
      </c>
      <c r="H170" s="101">
        <f t="shared" si="25"/>
        <v>3191</v>
      </c>
      <c r="I170" s="101">
        <f t="shared" si="25"/>
        <v>6377</v>
      </c>
      <c r="J170" s="101">
        <f t="shared" si="25"/>
        <v>136</v>
      </c>
      <c r="K170" s="101">
        <f t="shared" si="25"/>
        <v>8</v>
      </c>
      <c r="L170" s="101">
        <f t="shared" si="25"/>
        <v>0</v>
      </c>
      <c r="M170" s="102"/>
      <c r="N170" s="102"/>
    </row>
    <row r="171">
      <c r="A171" s="77"/>
      <c r="B171" s="77"/>
      <c r="C171" s="77"/>
      <c r="D171" s="77"/>
      <c r="E171" s="76"/>
      <c r="F171" s="103"/>
      <c r="G171" s="104"/>
      <c r="H171" s="104"/>
      <c r="I171" s="104"/>
      <c r="J171" s="104"/>
      <c r="K171" s="104"/>
      <c r="L171" s="104"/>
      <c r="M171" s="104"/>
      <c r="N171" s="104"/>
    </row>
    <row r="172" hidden="1">
      <c r="C172" s="105" t="s">
        <v>332</v>
      </c>
      <c r="D172" s="105"/>
      <c r="E172" s="106"/>
      <c r="F172" s="106" t="s">
        <v>333</v>
      </c>
      <c r="H172" s="105"/>
      <c r="I172" s="105"/>
      <c r="J172" s="77"/>
      <c r="K172" s="77" t="s">
        <v>334</v>
      </c>
      <c r="L172" s="77"/>
      <c r="M172" s="104"/>
      <c r="N172" s="104"/>
    </row>
    <row r="173" hidden="1">
      <c r="C173" s="105"/>
      <c r="D173" s="105"/>
      <c r="E173" s="105"/>
      <c r="F173" s="106"/>
      <c r="H173" s="105"/>
      <c r="I173" s="105"/>
      <c r="J173" s="77"/>
      <c r="K173" s="77"/>
      <c r="L173" s="77"/>
      <c r="M173" s="104"/>
      <c r="N173" s="104"/>
    </row>
    <row r="174" hidden="1">
      <c r="C174" s="107" t="s">
        <v>335</v>
      </c>
      <c r="D174" s="105"/>
      <c r="E174" s="106"/>
      <c r="F174" s="108" t="s">
        <v>336</v>
      </c>
      <c r="H174" s="105"/>
      <c r="I174" s="105"/>
      <c r="J174" s="103"/>
      <c r="K174" s="103" t="s">
        <v>337</v>
      </c>
      <c r="L174" s="77"/>
      <c r="M174" s="104"/>
      <c r="N174" s="104"/>
    </row>
    <row r="175" hidden="1">
      <c r="C175" s="105" t="s">
        <v>338</v>
      </c>
      <c r="D175" s="105"/>
      <c r="E175" s="105"/>
      <c r="F175" s="106" t="s">
        <v>339</v>
      </c>
      <c r="H175" s="105"/>
      <c r="I175" s="105"/>
      <c r="J175" s="77"/>
      <c r="K175" s="77" t="s">
        <v>340</v>
      </c>
      <c r="L175" s="77"/>
      <c r="M175" s="104"/>
      <c r="N175" s="104"/>
    </row>
    <row r="176" hidden="1">
      <c r="C176" s="105"/>
      <c r="D176" s="105"/>
      <c r="E176" s="105"/>
      <c r="F176" s="106"/>
      <c r="H176" s="105"/>
      <c r="I176" s="105"/>
      <c r="J176" s="105"/>
      <c r="K176" s="105"/>
      <c r="L176" s="105"/>
      <c r="M176" s="104"/>
      <c r="N176" s="104"/>
    </row>
    <row r="177" hidden="1">
      <c r="C177" s="109"/>
      <c r="D177" s="105"/>
      <c r="E177" s="105"/>
      <c r="F177" s="108" t="s">
        <v>341</v>
      </c>
      <c r="I177" s="105"/>
      <c r="J177" s="105"/>
      <c r="K177" s="105"/>
      <c r="L177" s="105"/>
      <c r="M177" s="104"/>
      <c r="N177" s="104"/>
    </row>
    <row r="178" hidden="1">
      <c r="C178" s="110"/>
      <c r="D178" s="105"/>
      <c r="E178" s="105"/>
      <c r="F178" s="106" t="s">
        <v>342</v>
      </c>
      <c r="I178" s="105"/>
      <c r="J178" s="105"/>
      <c r="K178" s="105"/>
      <c r="L178" s="105"/>
      <c r="M178" s="104"/>
      <c r="N178" s="104"/>
    </row>
    <row r="179">
      <c r="C179" s="105"/>
      <c r="D179" s="105"/>
      <c r="E179" s="105"/>
      <c r="F179" s="105"/>
      <c r="G179" s="106"/>
      <c r="H179" s="105"/>
      <c r="I179" s="77"/>
      <c r="J179" s="77"/>
      <c r="K179" s="77"/>
      <c r="L179" s="77"/>
      <c r="M179" s="104"/>
      <c r="N179" s="104"/>
    </row>
    <row r="181">
      <c r="A181" s="111" t="s">
        <v>343</v>
      </c>
      <c r="C181" s="105"/>
      <c r="D181" s="105"/>
      <c r="E181" s="105"/>
      <c r="F181" s="105"/>
      <c r="G181" s="106"/>
      <c r="H181" s="105"/>
      <c r="I181" s="77"/>
      <c r="J181" s="77"/>
      <c r="K181" s="77"/>
      <c r="L181" s="77"/>
      <c r="M181" s="104"/>
      <c r="N181" s="104"/>
    </row>
    <row r="182" hidden="1">
      <c r="C182" s="105"/>
      <c r="D182" s="105"/>
      <c r="E182" s="105"/>
      <c r="F182" s="105"/>
      <c r="G182" s="106"/>
      <c r="H182" s="105"/>
      <c r="I182" s="77"/>
      <c r="J182" s="77"/>
      <c r="K182" s="77"/>
      <c r="L182" s="77"/>
      <c r="M182" s="104"/>
      <c r="N182" s="104"/>
    </row>
    <row r="183" hidden="1">
      <c r="C183" s="105"/>
      <c r="D183" s="105"/>
      <c r="E183" s="105"/>
      <c r="F183" s="105"/>
      <c r="G183" s="106"/>
      <c r="H183" s="105"/>
      <c r="I183" s="77"/>
      <c r="J183" s="77"/>
      <c r="K183" s="77"/>
      <c r="L183" s="77"/>
      <c r="M183" s="104"/>
      <c r="N183" s="104"/>
    </row>
    <row r="184" hidden="1">
      <c r="C184" s="105"/>
      <c r="D184" s="105"/>
      <c r="E184" s="105"/>
      <c r="F184" s="105"/>
      <c r="G184" s="106"/>
      <c r="H184" s="105"/>
      <c r="I184" s="77"/>
      <c r="J184" s="77"/>
      <c r="K184" s="77"/>
      <c r="L184" s="77"/>
      <c r="M184" s="104"/>
      <c r="N184" s="104"/>
    </row>
  </sheetData>
  <mergeCells count="26">
    <mergeCell ref="F8:F9"/>
    <mergeCell ref="G8:I8"/>
    <mergeCell ref="J8:J9"/>
    <mergeCell ref="K8:K9"/>
    <mergeCell ref="L8:L9"/>
    <mergeCell ref="M8:M9"/>
    <mergeCell ref="N8:N9"/>
    <mergeCell ref="M83:N83"/>
    <mergeCell ref="A1:M1"/>
    <mergeCell ref="A2:M2"/>
    <mergeCell ref="A3:M3"/>
    <mergeCell ref="A4:M4"/>
    <mergeCell ref="A5:M5"/>
    <mergeCell ref="A8:A9"/>
    <mergeCell ref="B8:C9"/>
    <mergeCell ref="A10:F10"/>
    <mergeCell ref="F160:F161"/>
    <mergeCell ref="G160:I160"/>
    <mergeCell ref="J160:L160"/>
    <mergeCell ref="D8:D9"/>
    <mergeCell ref="E8:E9"/>
    <mergeCell ref="A82:E82"/>
    <mergeCell ref="A83:F83"/>
    <mergeCell ref="A157:E157"/>
    <mergeCell ref="A158:E158"/>
    <mergeCell ref="E160:E161"/>
  </mergeCells>
  <conditionalFormatting sqref="J162:J170">
    <cfRule type="expression" dxfId="0" priority="1">
      <formula>J162=$F162</formula>
    </cfRule>
  </conditionalFormatting>
  <conditionalFormatting sqref="N11:N82 N84:N158">
    <cfRule type="cellIs" dxfId="0" priority="2" operator="equal">
      <formula>"COMPLETE"</formula>
    </cfRule>
  </conditionalFormatting>
  <conditionalFormatting sqref="N11:N82 N84:N158">
    <cfRule type="cellIs" dxfId="1" priority="3" operator="equal">
      <formula>"INCOMPLETE"</formula>
    </cfRule>
  </conditionalFormatting>
  <conditionalFormatting sqref="N11:N82 N84:N158">
    <cfRule type="cellIs" dxfId="2" priority="4" operator="equal">
      <formula>"NO INPUT"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9.63"/>
    <col customWidth="1" min="2" max="2" width="4.5"/>
    <col customWidth="1" min="3" max="3" width="14.5"/>
    <col customWidth="1" min="4" max="4" width="15.88"/>
    <col customWidth="1" min="5" max="5" width="29.88"/>
    <col customWidth="1" min="6" max="6" width="11.0"/>
    <col customWidth="1" min="7" max="9" width="8.5"/>
    <col customWidth="1" min="10" max="25" width="7.13"/>
    <col customWidth="1" min="26" max="26" width="11.5"/>
    <col customWidth="1" min="27" max="27" width="13.63"/>
    <col customWidth="1" min="28" max="28" width="11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 ht="23.25" customHeight="1">
      <c r="A4" s="2" t="s">
        <v>3</v>
      </c>
    </row>
    <row r="5" ht="45.0" customHeight="1">
      <c r="A5" s="3" t="s">
        <v>4</v>
      </c>
    </row>
    <row r="6" ht="5.25" customHeight="1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8.5" customHeight="1">
      <c r="A8" s="8" t="s">
        <v>5</v>
      </c>
      <c r="B8" s="9" t="s">
        <v>6</v>
      </c>
      <c r="C8" s="10"/>
      <c r="D8" s="11" t="s">
        <v>7</v>
      </c>
      <c r="E8" s="11" t="s">
        <v>8</v>
      </c>
      <c r="F8" s="11" t="s">
        <v>9</v>
      </c>
      <c r="G8" s="12" t="s">
        <v>10</v>
      </c>
      <c r="H8" s="13"/>
      <c r="I8" s="14"/>
      <c r="J8" s="112" t="s">
        <v>344</v>
      </c>
      <c r="K8" s="112" t="s">
        <v>344</v>
      </c>
      <c r="L8" s="112" t="s">
        <v>344</v>
      </c>
      <c r="M8" s="112" t="s">
        <v>344</v>
      </c>
      <c r="N8" s="112" t="s">
        <v>344</v>
      </c>
      <c r="O8" s="112" t="s">
        <v>344</v>
      </c>
      <c r="P8" s="112" t="s">
        <v>344</v>
      </c>
      <c r="Q8" s="112" t="s">
        <v>345</v>
      </c>
      <c r="R8" s="112" t="s">
        <v>344</v>
      </c>
      <c r="S8" s="112" t="s">
        <v>344</v>
      </c>
      <c r="T8" s="112" t="s">
        <v>344</v>
      </c>
      <c r="U8" s="112" t="s">
        <v>344</v>
      </c>
      <c r="V8" s="112" t="s">
        <v>344</v>
      </c>
      <c r="W8" s="112" t="s">
        <v>345</v>
      </c>
      <c r="X8" s="112" t="s">
        <v>346</v>
      </c>
      <c r="Y8" s="113" t="s">
        <v>345</v>
      </c>
      <c r="Z8" s="114" t="s">
        <v>12</v>
      </c>
      <c r="AA8" s="115" t="s">
        <v>13</v>
      </c>
      <c r="AB8" s="116" t="s">
        <v>347</v>
      </c>
    </row>
    <row r="9">
      <c r="A9" s="20"/>
      <c r="B9" s="21"/>
      <c r="C9" s="22"/>
      <c r="D9" s="20"/>
      <c r="E9" s="20"/>
      <c r="F9" s="20"/>
      <c r="G9" s="23" t="s">
        <v>16</v>
      </c>
      <c r="H9" s="24" t="s">
        <v>17</v>
      </c>
      <c r="I9" s="24" t="s">
        <v>18</v>
      </c>
      <c r="J9" s="112" t="s">
        <v>348</v>
      </c>
      <c r="K9" s="112" t="s">
        <v>349</v>
      </c>
      <c r="L9" s="112" t="s">
        <v>350</v>
      </c>
      <c r="M9" s="112" t="s">
        <v>351</v>
      </c>
      <c r="N9" s="112" t="s">
        <v>352</v>
      </c>
      <c r="O9" s="112" t="s">
        <v>353</v>
      </c>
      <c r="P9" s="112" t="s">
        <v>354</v>
      </c>
      <c r="Q9" s="112" t="s">
        <v>355</v>
      </c>
      <c r="R9" s="112" t="s">
        <v>356</v>
      </c>
      <c r="S9" s="112" t="s">
        <v>357</v>
      </c>
      <c r="T9" s="112" t="s">
        <v>72</v>
      </c>
      <c r="U9" s="112" t="s">
        <v>358</v>
      </c>
      <c r="V9" s="112" t="s">
        <v>359</v>
      </c>
      <c r="W9" s="112" t="s">
        <v>360</v>
      </c>
      <c r="X9" s="112" t="s">
        <v>361</v>
      </c>
      <c r="Y9" s="117" t="s">
        <v>362</v>
      </c>
      <c r="Z9" s="20"/>
      <c r="AA9" s="20"/>
      <c r="AB9" s="20"/>
    </row>
    <row r="10">
      <c r="A10" s="25" t="s">
        <v>19</v>
      </c>
      <c r="B10" s="13"/>
      <c r="C10" s="13"/>
      <c r="D10" s="13"/>
      <c r="E10" s="13"/>
      <c r="F10" s="13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7"/>
    </row>
    <row r="11">
      <c r="A11" s="28" t="s">
        <v>19</v>
      </c>
      <c r="B11" s="29">
        <v>1.0</v>
      </c>
      <c r="C11" s="30" t="s">
        <v>20</v>
      </c>
      <c r="D11" s="118" t="s">
        <v>21</v>
      </c>
      <c r="E11" s="32" t="s">
        <v>22</v>
      </c>
      <c r="F11" s="32" t="s">
        <v>21</v>
      </c>
      <c r="G11" s="34">
        <v>21.0</v>
      </c>
      <c r="H11" s="34">
        <v>23.0</v>
      </c>
      <c r="I11" s="35">
        <f t="shared" ref="I11:I81" si="1">SUM(G11:H11)</f>
        <v>44</v>
      </c>
      <c r="J11" s="119">
        <f>IFERROR(__xludf.DUMMYFUNCTION("IMPORTRANGE(""https://docs.google.com/spreadsheets/d/1CaLR8gtRCp0-wyyH0y5IvQnenreOSKFOo8AF4Pfpekc/edit?gid=400822622#gid=400822622"", ""GRADE 11!H""&amp;ROW(H8))"),0.0)</f>
        <v>0</v>
      </c>
      <c r="K11" s="119">
        <f>IFERROR(__xludf.DUMMYFUNCTION("IMPORTRANGE(""https://docs.google.com/spreadsheets/d/1CaLR8gtRCp0-wyyH0y5IvQnenreOSKFOo8AF4Pfpekc/edit?gid=400822622#gid=400822622"", ""GRADE 11!I""&amp;ROW(I8))"),0.0)</f>
        <v>0</v>
      </c>
      <c r="L11" s="119">
        <f>IFERROR(__xludf.DUMMYFUNCTION("IMPORTRANGE(""https://docs.google.com/spreadsheets/d/1CaLR8gtRCp0-wyyH0y5IvQnenreOSKFOo8AF4Pfpekc/edit?gid=400822622#gid=400822622"", ""GRADE 11!J""&amp;ROW(J8))"),0.0)</f>
        <v>0</v>
      </c>
      <c r="M11" s="119">
        <f>IFERROR(__xludf.DUMMYFUNCTION("IMPORTRANGE(""https://docs.google.com/spreadsheets/d/1CaLR8gtRCp0-wyyH0y5IvQnenreOSKFOo8AF4Pfpekc/edit?gid=400822622#gid=400822622"", ""GRADE 11!K""&amp;ROW(K8))"),0.0)</f>
        <v>0</v>
      </c>
      <c r="N11" s="119">
        <f>IFERROR(__xludf.DUMMYFUNCTION("IMPORTRANGE(""https://docs.google.com/spreadsheets/d/1CaLR8gtRCp0-wyyH0y5IvQnenreOSKFOo8AF4Pfpekc/edit?gid=400822622#gid=400822622"", ""GRADE 11!L""&amp;ROW(L8))"),0.0)</f>
        <v>0</v>
      </c>
      <c r="O11" s="119">
        <f>IFERROR(__xludf.DUMMYFUNCTION("IMPORTRANGE(""https://docs.google.com/spreadsheets/d/1CaLR8gtRCp0-wyyH0y5IvQnenreOSKFOo8AF4Pfpekc/edit?gid=400822622#gid=400822622"", ""GRADE 11!M""&amp;ROW(M8))"),0.0)</f>
        <v>0</v>
      </c>
      <c r="P11" s="119" t="str">
        <f>IFERROR(__xludf.DUMMYFUNCTION("IMPORTRANGE(""https://docs.google.com/spreadsheets/d/1CaLR8gtRCp0-wyyH0y5IvQnenreOSKFOo8AF4Pfpekc/edit?gid=400822622#gid=400822622"", ""GRADE 11!N""&amp;ROW(N8))"),"")</f>
        <v/>
      </c>
      <c r="Q11" s="119">
        <f>IFERROR(__xludf.DUMMYFUNCTION("IMPORTRANGE(""https://docs.google.com/spreadsheets/d/1CaLR8gtRCp0-wyyH0y5IvQnenreOSKFOo8AF4Pfpekc/edit?gid=400822622#gid=400822622"", ""GRADE 11!O""&amp;ROW(O8))"),0.0)</f>
        <v>0</v>
      </c>
      <c r="R11" s="119" t="str">
        <f>IFERROR(__xludf.DUMMYFUNCTION("IMPORTRANGE(""https://docs.google.com/spreadsheets/d/1CaLR8gtRCp0-wyyH0y5IvQnenreOSKFOo8AF4Pfpekc/edit?gid=400822622#gid=400822622"", ""GRADE 11!P""&amp;ROW(P8))"),"")</f>
        <v/>
      </c>
      <c r="S11" s="119" t="str">
        <f>IFERROR(__xludf.DUMMYFUNCTION("IMPORTRANGE(""https://docs.google.com/spreadsheets/d/1CaLR8gtRCp0-wyyH0y5IvQnenreOSKFOo8AF4Pfpekc/edit?gid=400822622#gid=400822622"", ""GRADE 11!Q""&amp;ROW(Q8))"),"")</f>
        <v/>
      </c>
      <c r="T11" s="119" t="str">
        <f>IFERROR(__xludf.DUMMYFUNCTION("IMPORTRANGE(""https://docs.google.com/spreadsheets/d/1CaLR8gtRCp0-wyyH0y5IvQnenreOSKFOo8AF4Pfpekc/edit?gid=400822622#gid=400822622"", ""GRADE 11!R""&amp;ROW(R8))"),"")</f>
        <v/>
      </c>
      <c r="U11" s="119" t="str">
        <f>IFERROR(__xludf.DUMMYFUNCTION("IMPORTRANGE(""https://docs.google.com/spreadsheets/d/1CaLR8gtRCp0-wyyH0y5IvQnenreOSKFOo8AF4Pfpekc/edit?gid=400822622#gid=400822622"", ""GRADE 11!S""&amp;ROW(S8))"),"")</f>
        <v/>
      </c>
      <c r="V11" s="119" t="str">
        <f>IFERROR(__xludf.DUMMYFUNCTION("IMPORTRANGE(""https://docs.google.com/spreadsheets/d/1CaLR8gtRCp0-wyyH0y5IvQnenreOSKFOo8AF4Pfpekc/edit?gid=400822622#gid=400822622"", ""GRADE 11!T""&amp;ROW(T8))"),"")</f>
        <v/>
      </c>
      <c r="W11" s="119" t="str">
        <f>IFERROR(__xludf.DUMMYFUNCTION("IMPORTRANGE(""https://docs.google.com/spreadsheets/d/1CaLR8gtRCp0-wyyH0y5IvQnenreOSKFOo8AF4Pfpekc/edit?gid=400822622#gid=400822622"", ""GRADE 11!U""&amp;ROW(U8))"),"")</f>
        <v/>
      </c>
      <c r="X11" s="119">
        <f>IFERROR(__xludf.DUMMYFUNCTION("IMPORTRANGE(""https://docs.google.com/spreadsheets/d/1CaLR8gtRCp0-wyyH0y5IvQnenreOSKFOo8AF4Pfpekc/edit?gid=400822622#gid=400822622"", ""GRADE 11!V""&amp;ROW(V8))"),0.0)</f>
        <v>0</v>
      </c>
      <c r="Y11" s="119">
        <f>IFERROR(__xludf.DUMMYFUNCTION("IMPORTRANGE(""https://docs.google.com/spreadsheets/d/1CaLR8gtRCp0-wyyH0y5IvQnenreOSKFOo8AF4Pfpekc/edit?gid=400822622#gid=400822622"", ""GRADE 11!W""&amp;ROW(W8))"),0.0)</f>
        <v>0</v>
      </c>
      <c r="Z11" s="120">
        <f>IFERROR(__xludf.DUMMYFUNCTION("IMPORTRANGE(""https://docs.google.com/spreadsheets/d/1CaLR8gtRCp0-wyyH0y5IvQnenreOSKFOo8AF4Pfpekc/edit?gid=400822622#gid=400822622"", ""GRADE 11!X""&amp;ROW(X8))"),9.0)</f>
        <v>9</v>
      </c>
      <c r="AA11" s="121">
        <f>IFERROR(__xludf.DUMMYFUNCTION("IMPORTRANGE(""https://docs.google.com/spreadsheets/d/1CaLR8gtRCp0-wyyH0y5IvQnenreOSKFOo8AF4Pfpekc/edit?gid=400822622#gid=400822622"", ""GRADE 11!Y""&amp;ROW(Y8))"),0.0)</f>
        <v>0</v>
      </c>
      <c r="AB11" s="39">
        <f>IFERROR(__xludf.DUMMYFUNCTION("IMPORTRANGE(""https://docs.google.com/spreadsheets/d/1CaLR8gtRCp0-wyyH0y5IvQnenreOSKFOo8AF4Pfpekc/edit?gid=400822622#gid=400822622"", ""GRADE 11!Z""&amp;ROW(Z8))"),0.0)</f>
        <v>0</v>
      </c>
    </row>
    <row r="12">
      <c r="A12" s="28" t="s">
        <v>19</v>
      </c>
      <c r="B12" s="29">
        <v>2.0</v>
      </c>
      <c r="C12" s="30" t="s">
        <v>23</v>
      </c>
      <c r="D12" s="118" t="s">
        <v>21</v>
      </c>
      <c r="E12" s="32" t="s">
        <v>24</v>
      </c>
      <c r="F12" s="32" t="s">
        <v>21</v>
      </c>
      <c r="G12" s="34">
        <v>15.0</v>
      </c>
      <c r="H12" s="34">
        <v>25.0</v>
      </c>
      <c r="I12" s="35">
        <f t="shared" si="1"/>
        <v>40</v>
      </c>
      <c r="J12" s="119">
        <f>IFERROR(__xludf.DUMMYFUNCTION("IMPORTRANGE(""https://docs.google.com/spreadsheets/d/1CaLR8gtRCp0-wyyH0y5IvQnenreOSKFOo8AF4Pfpekc/edit?gid=400822622#gid=400822622"", ""GRADE 11!H""&amp;ROW(H9))"),-1.0)</f>
        <v>-1</v>
      </c>
      <c r="K12" s="119">
        <f>IFERROR(__xludf.DUMMYFUNCTION("IMPORTRANGE(""https://docs.google.com/spreadsheets/d/1CaLR8gtRCp0-wyyH0y5IvQnenreOSKFOo8AF4Pfpekc/edit?gid=400822622#gid=400822622"", ""GRADE 11!I""&amp;ROW(I9))"),-1.0)</f>
        <v>-1</v>
      </c>
      <c r="L12" s="119">
        <f>IFERROR(__xludf.DUMMYFUNCTION("IMPORTRANGE(""https://docs.google.com/spreadsheets/d/1CaLR8gtRCp0-wyyH0y5IvQnenreOSKFOo8AF4Pfpekc/edit?gid=400822622#gid=400822622"", ""GRADE 11!J""&amp;ROW(J9))"),-1.0)</f>
        <v>-1</v>
      </c>
      <c r="M12" s="119">
        <f>IFERROR(__xludf.DUMMYFUNCTION("IMPORTRANGE(""https://docs.google.com/spreadsheets/d/1CaLR8gtRCp0-wyyH0y5IvQnenreOSKFOo8AF4Pfpekc/edit?gid=400822622#gid=400822622"", ""GRADE 11!K""&amp;ROW(K9))"),-1.0)</f>
        <v>-1</v>
      </c>
      <c r="N12" s="119">
        <f>IFERROR(__xludf.DUMMYFUNCTION("IMPORTRANGE(""https://docs.google.com/spreadsheets/d/1CaLR8gtRCp0-wyyH0y5IvQnenreOSKFOo8AF4Pfpekc/edit?gid=400822622#gid=400822622"", ""GRADE 11!L""&amp;ROW(L9))"),-1.0)</f>
        <v>-1</v>
      </c>
      <c r="O12" s="119">
        <f>IFERROR(__xludf.DUMMYFUNCTION("IMPORTRANGE(""https://docs.google.com/spreadsheets/d/1CaLR8gtRCp0-wyyH0y5IvQnenreOSKFOo8AF4Pfpekc/edit?gid=400822622#gid=400822622"", ""GRADE 11!M""&amp;ROW(M9))"),-1.0)</f>
        <v>-1</v>
      </c>
      <c r="P12" s="119" t="str">
        <f>IFERROR(__xludf.DUMMYFUNCTION("IMPORTRANGE(""https://docs.google.com/spreadsheets/d/1CaLR8gtRCp0-wyyH0y5IvQnenreOSKFOo8AF4Pfpekc/edit?gid=400822622#gid=400822622"", ""GRADE 11!N""&amp;ROW(N9))"),"")</f>
        <v/>
      </c>
      <c r="Q12" s="119">
        <f>IFERROR(__xludf.DUMMYFUNCTION("IMPORTRANGE(""https://docs.google.com/spreadsheets/d/1CaLR8gtRCp0-wyyH0y5IvQnenreOSKFOo8AF4Pfpekc/edit?gid=400822622#gid=400822622"", ""GRADE 11!O""&amp;ROW(O9))"),-1.0)</f>
        <v>-1</v>
      </c>
      <c r="R12" s="119" t="str">
        <f>IFERROR(__xludf.DUMMYFUNCTION("IMPORTRANGE(""https://docs.google.com/spreadsheets/d/1CaLR8gtRCp0-wyyH0y5IvQnenreOSKFOo8AF4Pfpekc/edit?gid=400822622#gid=400822622"", ""GRADE 11!P""&amp;ROW(P9))"),"")</f>
        <v/>
      </c>
      <c r="S12" s="119" t="str">
        <f>IFERROR(__xludf.DUMMYFUNCTION("IMPORTRANGE(""https://docs.google.com/spreadsheets/d/1CaLR8gtRCp0-wyyH0y5IvQnenreOSKFOo8AF4Pfpekc/edit?gid=400822622#gid=400822622"", ""GRADE 11!Q""&amp;ROW(Q9))"),"")</f>
        <v/>
      </c>
      <c r="T12" s="119" t="str">
        <f>IFERROR(__xludf.DUMMYFUNCTION("IMPORTRANGE(""https://docs.google.com/spreadsheets/d/1CaLR8gtRCp0-wyyH0y5IvQnenreOSKFOo8AF4Pfpekc/edit?gid=400822622#gid=400822622"", ""GRADE 11!R""&amp;ROW(R9))"),"")</f>
        <v/>
      </c>
      <c r="U12" s="119" t="str">
        <f>IFERROR(__xludf.DUMMYFUNCTION("IMPORTRANGE(""https://docs.google.com/spreadsheets/d/1CaLR8gtRCp0-wyyH0y5IvQnenreOSKFOo8AF4Pfpekc/edit?gid=400822622#gid=400822622"", ""GRADE 11!S""&amp;ROW(S9))"),"")</f>
        <v/>
      </c>
      <c r="V12" s="119" t="str">
        <f>IFERROR(__xludf.DUMMYFUNCTION("IMPORTRANGE(""https://docs.google.com/spreadsheets/d/1CaLR8gtRCp0-wyyH0y5IvQnenreOSKFOo8AF4Pfpekc/edit?gid=400822622#gid=400822622"", ""GRADE 11!T""&amp;ROW(T9))"),"")</f>
        <v/>
      </c>
      <c r="W12" s="119" t="str">
        <f>IFERROR(__xludf.DUMMYFUNCTION("IMPORTRANGE(""https://docs.google.com/spreadsheets/d/1CaLR8gtRCp0-wyyH0y5IvQnenreOSKFOo8AF4Pfpekc/edit?gid=400822622#gid=400822622"", ""GRADE 11!U""&amp;ROW(U9))"),"")</f>
        <v/>
      </c>
      <c r="X12" s="119">
        <f>IFERROR(__xludf.DUMMYFUNCTION("IMPORTRANGE(""https://docs.google.com/spreadsheets/d/1CaLR8gtRCp0-wyyH0y5IvQnenreOSKFOo8AF4Pfpekc/edit?gid=400822622#gid=400822622"", ""GRADE 11!V""&amp;ROW(V9))"),-1.0)</f>
        <v>-1</v>
      </c>
      <c r="Y12" s="119">
        <f>IFERROR(__xludf.DUMMYFUNCTION("IMPORTRANGE(""https://docs.google.com/spreadsheets/d/1CaLR8gtRCp0-wyyH0y5IvQnenreOSKFOo8AF4Pfpekc/edit?gid=400822622#gid=400822622"", ""GRADE 11!W""&amp;ROW(W9))"),-1.0)</f>
        <v>-1</v>
      </c>
      <c r="Z12" s="120">
        <f>IFERROR(__xludf.DUMMYFUNCTION("IMPORTRANGE(""https://docs.google.com/spreadsheets/d/1CaLR8gtRCp0-wyyH0y5IvQnenreOSKFOo8AF4Pfpekc/edit?gid=400822622#gid=400822622"", ""GRADE 11!X""&amp;ROW(X9))"),0.0)</f>
        <v>0</v>
      </c>
      <c r="AA12" s="121">
        <f>IFERROR(__xludf.DUMMYFUNCTION("IMPORTRANGE(""https://docs.google.com/spreadsheets/d/1CaLR8gtRCp0-wyyH0y5IvQnenreOSKFOo8AF4Pfpekc/edit?gid=400822622#gid=400822622"", ""GRADE 11!Y""&amp;ROW(Y9))"),9.0)</f>
        <v>9</v>
      </c>
      <c r="AB12" s="39">
        <f>IFERROR(__xludf.DUMMYFUNCTION("IMPORTRANGE(""https://docs.google.com/spreadsheets/d/1CaLR8gtRCp0-wyyH0y5IvQnenreOSKFOo8AF4Pfpekc/edit?gid=400822622#gid=400822622"", ""GRADE 11!Z""&amp;ROW(Z9))"),9.0)</f>
        <v>9</v>
      </c>
    </row>
    <row r="13">
      <c r="A13" s="28" t="s">
        <v>19</v>
      </c>
      <c r="B13" s="29">
        <v>3.0</v>
      </c>
      <c r="C13" s="30" t="s">
        <v>25</v>
      </c>
      <c r="D13" s="118" t="s">
        <v>21</v>
      </c>
      <c r="E13" s="32" t="s">
        <v>26</v>
      </c>
      <c r="F13" s="32" t="s">
        <v>27</v>
      </c>
      <c r="G13" s="34">
        <v>19.0</v>
      </c>
      <c r="H13" s="34">
        <v>27.0</v>
      </c>
      <c r="I13" s="35">
        <f t="shared" si="1"/>
        <v>46</v>
      </c>
      <c r="J13" s="119">
        <f>IFERROR(__xludf.DUMMYFUNCTION("IMPORTRANGE(""https://docs.google.com/spreadsheets/d/1CaLR8gtRCp0-wyyH0y5IvQnenreOSKFOo8AF4Pfpekc/edit?gid=400822622#gid=400822622"", ""GRADE 11!H""&amp;ROW(H10))"),0.0)</f>
        <v>0</v>
      </c>
      <c r="K13" s="119">
        <f>IFERROR(__xludf.DUMMYFUNCTION("IMPORTRANGE(""https://docs.google.com/spreadsheets/d/1CaLR8gtRCp0-wyyH0y5IvQnenreOSKFOo8AF4Pfpekc/edit?gid=400822622#gid=400822622"", ""GRADE 11!I""&amp;ROW(I10))"),0.0)</f>
        <v>0</v>
      </c>
      <c r="L13" s="119">
        <f>IFERROR(__xludf.DUMMYFUNCTION("IMPORTRANGE(""https://docs.google.com/spreadsheets/d/1CaLR8gtRCp0-wyyH0y5IvQnenreOSKFOo8AF4Pfpekc/edit?gid=400822622#gid=400822622"", ""GRADE 11!J""&amp;ROW(J10))"),0.0)</f>
        <v>0</v>
      </c>
      <c r="M13" s="119">
        <f>IFERROR(__xludf.DUMMYFUNCTION("IMPORTRANGE(""https://docs.google.com/spreadsheets/d/1CaLR8gtRCp0-wyyH0y5IvQnenreOSKFOo8AF4Pfpekc/edit?gid=400822622#gid=400822622"", ""GRADE 11!K""&amp;ROW(K10))"),0.0)</f>
        <v>0</v>
      </c>
      <c r="N13" s="119">
        <f>IFERROR(__xludf.DUMMYFUNCTION("IMPORTRANGE(""https://docs.google.com/spreadsheets/d/1CaLR8gtRCp0-wyyH0y5IvQnenreOSKFOo8AF4Pfpekc/edit?gid=400822622#gid=400822622"", ""GRADE 11!L""&amp;ROW(L10))"),0.0)</f>
        <v>0</v>
      </c>
      <c r="O13" s="119">
        <f>IFERROR(__xludf.DUMMYFUNCTION("IMPORTRANGE(""https://docs.google.com/spreadsheets/d/1CaLR8gtRCp0-wyyH0y5IvQnenreOSKFOo8AF4Pfpekc/edit?gid=400822622#gid=400822622"", ""GRADE 11!M""&amp;ROW(M10))"),0.0)</f>
        <v>0</v>
      </c>
      <c r="P13" s="119" t="str">
        <f>IFERROR(__xludf.DUMMYFUNCTION("IMPORTRANGE(""https://docs.google.com/spreadsheets/d/1CaLR8gtRCp0-wyyH0y5IvQnenreOSKFOo8AF4Pfpekc/edit?gid=400822622#gid=400822622"", ""GRADE 11!N""&amp;ROW(N10))"),"")</f>
        <v/>
      </c>
      <c r="Q13" s="119">
        <f>IFERROR(__xludf.DUMMYFUNCTION("IMPORTRANGE(""https://docs.google.com/spreadsheets/d/1CaLR8gtRCp0-wyyH0y5IvQnenreOSKFOo8AF4Pfpekc/edit?gid=400822622#gid=400822622"", ""GRADE 11!O""&amp;ROW(O10))"),0.0)</f>
        <v>0</v>
      </c>
      <c r="R13" s="119" t="str">
        <f>IFERROR(__xludf.DUMMYFUNCTION("IMPORTRANGE(""https://docs.google.com/spreadsheets/d/1CaLR8gtRCp0-wyyH0y5IvQnenreOSKFOo8AF4Pfpekc/edit?gid=400822622#gid=400822622"", ""GRADE 11!P""&amp;ROW(P10))"),"")</f>
        <v/>
      </c>
      <c r="S13" s="119" t="str">
        <f>IFERROR(__xludf.DUMMYFUNCTION("IMPORTRANGE(""https://docs.google.com/spreadsheets/d/1CaLR8gtRCp0-wyyH0y5IvQnenreOSKFOo8AF4Pfpekc/edit?gid=400822622#gid=400822622"", ""GRADE 11!Q""&amp;ROW(Q10))"),"")</f>
        <v/>
      </c>
      <c r="T13" s="119" t="str">
        <f>IFERROR(__xludf.DUMMYFUNCTION("IMPORTRANGE(""https://docs.google.com/spreadsheets/d/1CaLR8gtRCp0-wyyH0y5IvQnenreOSKFOo8AF4Pfpekc/edit?gid=400822622#gid=400822622"", ""GRADE 11!R""&amp;ROW(R10))"),"")</f>
        <v/>
      </c>
      <c r="U13" s="119" t="str">
        <f>IFERROR(__xludf.DUMMYFUNCTION("IMPORTRANGE(""https://docs.google.com/spreadsheets/d/1CaLR8gtRCp0-wyyH0y5IvQnenreOSKFOo8AF4Pfpekc/edit?gid=400822622#gid=400822622"", ""GRADE 11!S""&amp;ROW(S10))"),"")</f>
        <v/>
      </c>
      <c r="V13" s="119" t="str">
        <f>IFERROR(__xludf.DUMMYFUNCTION("IMPORTRANGE(""https://docs.google.com/spreadsheets/d/1CaLR8gtRCp0-wyyH0y5IvQnenreOSKFOo8AF4Pfpekc/edit?gid=400822622#gid=400822622"", ""GRADE 11!T""&amp;ROW(T10))"),"")</f>
        <v/>
      </c>
      <c r="W13" s="119" t="str">
        <f>IFERROR(__xludf.DUMMYFUNCTION("IMPORTRANGE(""https://docs.google.com/spreadsheets/d/1CaLR8gtRCp0-wyyH0y5IvQnenreOSKFOo8AF4Pfpekc/edit?gid=400822622#gid=400822622"", ""GRADE 11!U""&amp;ROW(U10))"),"")</f>
        <v/>
      </c>
      <c r="X13" s="119">
        <f>IFERROR(__xludf.DUMMYFUNCTION("IMPORTRANGE(""https://docs.google.com/spreadsheets/d/1CaLR8gtRCp0-wyyH0y5IvQnenreOSKFOo8AF4Pfpekc/edit?gid=400822622#gid=400822622"", ""GRADE 11!V""&amp;ROW(V10))"),0.0)</f>
        <v>0</v>
      </c>
      <c r="Y13" s="119">
        <f>IFERROR(__xludf.DUMMYFUNCTION("IMPORTRANGE(""https://docs.google.com/spreadsheets/d/1CaLR8gtRCp0-wyyH0y5IvQnenreOSKFOo8AF4Pfpekc/edit?gid=400822622#gid=400822622"", ""GRADE 11!W""&amp;ROW(W10))"),0.0)</f>
        <v>0</v>
      </c>
      <c r="Z13" s="120">
        <f>IFERROR(__xludf.DUMMYFUNCTION("IMPORTRANGE(""https://docs.google.com/spreadsheets/d/1CaLR8gtRCp0-wyyH0y5IvQnenreOSKFOo8AF4Pfpekc/edit?gid=400822622#gid=400822622"", ""GRADE 11!X""&amp;ROW(X10))"),9.0)</f>
        <v>9</v>
      </c>
      <c r="AA13" s="121">
        <f>IFERROR(__xludf.DUMMYFUNCTION("IMPORTRANGE(""https://docs.google.com/spreadsheets/d/1CaLR8gtRCp0-wyyH0y5IvQnenreOSKFOo8AF4Pfpekc/edit?gid=400822622#gid=400822622"", ""GRADE 11!Y""&amp;ROW(Y10))"),0.0)</f>
        <v>0</v>
      </c>
      <c r="AB13" s="39">
        <f>IFERROR(__xludf.DUMMYFUNCTION("IMPORTRANGE(""https://docs.google.com/spreadsheets/d/1CaLR8gtRCp0-wyyH0y5IvQnenreOSKFOo8AF4Pfpekc/edit?gid=400822622#gid=400822622"", ""GRADE 11!Z""&amp;ROW(Z10))"),0.0)</f>
        <v>0</v>
      </c>
    </row>
    <row r="14">
      <c r="A14" s="28" t="s">
        <v>19</v>
      </c>
      <c r="B14" s="29">
        <v>4.0</v>
      </c>
      <c r="C14" s="30" t="s">
        <v>28</v>
      </c>
      <c r="D14" s="118" t="s">
        <v>21</v>
      </c>
      <c r="E14" s="32" t="s">
        <v>29</v>
      </c>
      <c r="F14" s="32" t="s">
        <v>30</v>
      </c>
      <c r="G14" s="34">
        <v>19.0</v>
      </c>
      <c r="H14" s="34">
        <v>26.0</v>
      </c>
      <c r="I14" s="35">
        <f t="shared" si="1"/>
        <v>45</v>
      </c>
      <c r="J14" s="119">
        <f>IFERROR(__xludf.DUMMYFUNCTION("IMPORTRANGE(""https://docs.google.com/spreadsheets/d/1CaLR8gtRCp0-wyyH0y5IvQnenreOSKFOo8AF4Pfpekc/edit?gid=400822622#gid=400822622"", ""GRADE 11!H""&amp;ROW(H11))"),0.0)</f>
        <v>0</v>
      </c>
      <c r="K14" s="119">
        <f>IFERROR(__xludf.DUMMYFUNCTION("IMPORTRANGE(""https://docs.google.com/spreadsheets/d/1CaLR8gtRCp0-wyyH0y5IvQnenreOSKFOo8AF4Pfpekc/edit?gid=400822622#gid=400822622"", ""GRADE 11!I""&amp;ROW(I11))"),0.0)</f>
        <v>0</v>
      </c>
      <c r="L14" s="119">
        <f>IFERROR(__xludf.DUMMYFUNCTION("IMPORTRANGE(""https://docs.google.com/spreadsheets/d/1CaLR8gtRCp0-wyyH0y5IvQnenreOSKFOo8AF4Pfpekc/edit?gid=400822622#gid=400822622"", ""GRADE 11!J""&amp;ROW(J11))"),0.0)</f>
        <v>0</v>
      </c>
      <c r="M14" s="119">
        <f>IFERROR(__xludf.DUMMYFUNCTION("IMPORTRANGE(""https://docs.google.com/spreadsheets/d/1CaLR8gtRCp0-wyyH0y5IvQnenreOSKFOo8AF4Pfpekc/edit?gid=400822622#gid=400822622"", ""GRADE 11!K""&amp;ROW(K11))"),0.0)</f>
        <v>0</v>
      </c>
      <c r="N14" s="119">
        <f>IFERROR(__xludf.DUMMYFUNCTION("IMPORTRANGE(""https://docs.google.com/spreadsheets/d/1CaLR8gtRCp0-wyyH0y5IvQnenreOSKFOo8AF4Pfpekc/edit?gid=400822622#gid=400822622"", ""GRADE 11!L""&amp;ROW(L11))"),0.0)</f>
        <v>0</v>
      </c>
      <c r="O14" s="119">
        <f>IFERROR(__xludf.DUMMYFUNCTION("IMPORTRANGE(""https://docs.google.com/spreadsheets/d/1CaLR8gtRCp0-wyyH0y5IvQnenreOSKFOo8AF4Pfpekc/edit?gid=400822622#gid=400822622"", ""GRADE 11!M""&amp;ROW(M11))"),0.0)</f>
        <v>0</v>
      </c>
      <c r="P14" s="119" t="str">
        <f>IFERROR(__xludf.DUMMYFUNCTION("IMPORTRANGE(""https://docs.google.com/spreadsheets/d/1CaLR8gtRCp0-wyyH0y5IvQnenreOSKFOo8AF4Pfpekc/edit?gid=400822622#gid=400822622"", ""GRADE 11!N""&amp;ROW(N11))"),"")</f>
        <v/>
      </c>
      <c r="Q14" s="119">
        <f>IFERROR(__xludf.DUMMYFUNCTION("IMPORTRANGE(""https://docs.google.com/spreadsheets/d/1CaLR8gtRCp0-wyyH0y5IvQnenreOSKFOo8AF4Pfpekc/edit?gid=400822622#gid=400822622"", ""GRADE 11!O""&amp;ROW(O11))"),0.0)</f>
        <v>0</v>
      </c>
      <c r="R14" s="119" t="str">
        <f>IFERROR(__xludf.DUMMYFUNCTION("IMPORTRANGE(""https://docs.google.com/spreadsheets/d/1CaLR8gtRCp0-wyyH0y5IvQnenreOSKFOo8AF4Pfpekc/edit?gid=400822622#gid=400822622"", ""GRADE 11!P""&amp;ROW(P11))"),"")</f>
        <v/>
      </c>
      <c r="S14" s="119" t="str">
        <f>IFERROR(__xludf.DUMMYFUNCTION("IMPORTRANGE(""https://docs.google.com/spreadsheets/d/1CaLR8gtRCp0-wyyH0y5IvQnenreOSKFOo8AF4Pfpekc/edit?gid=400822622#gid=400822622"", ""GRADE 11!Q""&amp;ROW(Q11))"),"")</f>
        <v/>
      </c>
      <c r="T14" s="119" t="str">
        <f>IFERROR(__xludf.DUMMYFUNCTION("IMPORTRANGE(""https://docs.google.com/spreadsheets/d/1CaLR8gtRCp0-wyyH0y5IvQnenreOSKFOo8AF4Pfpekc/edit?gid=400822622#gid=400822622"", ""GRADE 11!R""&amp;ROW(R11))"),"")</f>
        <v/>
      </c>
      <c r="U14" s="119" t="str">
        <f>IFERROR(__xludf.DUMMYFUNCTION("IMPORTRANGE(""https://docs.google.com/spreadsheets/d/1CaLR8gtRCp0-wyyH0y5IvQnenreOSKFOo8AF4Pfpekc/edit?gid=400822622#gid=400822622"", ""GRADE 11!S""&amp;ROW(S11))"),"")</f>
        <v/>
      </c>
      <c r="V14" s="119" t="str">
        <f>IFERROR(__xludf.DUMMYFUNCTION("IMPORTRANGE(""https://docs.google.com/spreadsheets/d/1CaLR8gtRCp0-wyyH0y5IvQnenreOSKFOo8AF4Pfpekc/edit?gid=400822622#gid=400822622"", ""GRADE 11!T""&amp;ROW(T11))"),"")</f>
        <v/>
      </c>
      <c r="W14" s="119" t="str">
        <f>IFERROR(__xludf.DUMMYFUNCTION("IMPORTRANGE(""https://docs.google.com/spreadsheets/d/1CaLR8gtRCp0-wyyH0y5IvQnenreOSKFOo8AF4Pfpekc/edit?gid=400822622#gid=400822622"", ""GRADE 11!U""&amp;ROW(U11))"),"")</f>
        <v/>
      </c>
      <c r="X14" s="119">
        <f>IFERROR(__xludf.DUMMYFUNCTION("IMPORTRANGE(""https://docs.google.com/spreadsheets/d/1CaLR8gtRCp0-wyyH0y5IvQnenreOSKFOo8AF4Pfpekc/edit?gid=400822622#gid=400822622"", ""GRADE 11!V""&amp;ROW(V11))"),0.0)</f>
        <v>0</v>
      </c>
      <c r="Y14" s="119">
        <f>IFERROR(__xludf.DUMMYFUNCTION("IMPORTRANGE(""https://docs.google.com/spreadsheets/d/1CaLR8gtRCp0-wyyH0y5IvQnenreOSKFOo8AF4Pfpekc/edit?gid=400822622#gid=400822622"", ""GRADE 11!W""&amp;ROW(W11))"),0.0)</f>
        <v>0</v>
      </c>
      <c r="Z14" s="120">
        <f>IFERROR(__xludf.DUMMYFUNCTION("IMPORTRANGE(""https://docs.google.com/spreadsheets/d/1CaLR8gtRCp0-wyyH0y5IvQnenreOSKFOo8AF4Pfpekc/edit?gid=400822622#gid=400822622"", ""GRADE 11!X""&amp;ROW(X11))"),9.0)</f>
        <v>9</v>
      </c>
      <c r="AA14" s="121">
        <f>IFERROR(__xludf.DUMMYFUNCTION("IMPORTRANGE(""https://docs.google.com/spreadsheets/d/1CaLR8gtRCp0-wyyH0y5IvQnenreOSKFOo8AF4Pfpekc/edit?gid=400822622#gid=400822622"", ""GRADE 11!Y""&amp;ROW(Y11))"),0.0)</f>
        <v>0</v>
      </c>
      <c r="AB14" s="39">
        <f>IFERROR(__xludf.DUMMYFUNCTION("IMPORTRANGE(""https://docs.google.com/spreadsheets/d/1CaLR8gtRCp0-wyyH0y5IvQnenreOSKFOo8AF4Pfpekc/edit?gid=400822622#gid=400822622"", ""GRADE 11!Z""&amp;ROW(Z11))"),0.0)</f>
        <v>0</v>
      </c>
    </row>
    <row r="15">
      <c r="A15" s="28" t="s">
        <v>19</v>
      </c>
      <c r="B15" s="29">
        <v>5.0</v>
      </c>
      <c r="C15" s="30" t="s">
        <v>31</v>
      </c>
      <c r="D15" s="118" t="s">
        <v>21</v>
      </c>
      <c r="E15" s="32" t="s">
        <v>32</v>
      </c>
      <c r="F15" s="32" t="s">
        <v>27</v>
      </c>
      <c r="G15" s="34">
        <v>19.0</v>
      </c>
      <c r="H15" s="34">
        <v>24.0</v>
      </c>
      <c r="I15" s="35">
        <f t="shared" si="1"/>
        <v>43</v>
      </c>
      <c r="J15" s="119">
        <f>IFERROR(__xludf.DUMMYFUNCTION("IMPORTRANGE(""https://docs.google.com/spreadsheets/d/1CaLR8gtRCp0-wyyH0y5IvQnenreOSKFOo8AF4Pfpekc/edit?gid=400822622#gid=400822622"", ""GRADE 11!H""&amp;ROW(H12))"),0.0)</f>
        <v>0</v>
      </c>
      <c r="K15" s="119">
        <f>IFERROR(__xludf.DUMMYFUNCTION("IMPORTRANGE(""https://docs.google.com/spreadsheets/d/1CaLR8gtRCp0-wyyH0y5IvQnenreOSKFOo8AF4Pfpekc/edit?gid=400822622#gid=400822622"", ""GRADE 11!I""&amp;ROW(I12))"),0.0)</f>
        <v>0</v>
      </c>
      <c r="L15" s="119">
        <f>IFERROR(__xludf.DUMMYFUNCTION("IMPORTRANGE(""https://docs.google.com/spreadsheets/d/1CaLR8gtRCp0-wyyH0y5IvQnenreOSKFOo8AF4Pfpekc/edit?gid=400822622#gid=400822622"", ""GRADE 11!J""&amp;ROW(J12))"),0.0)</f>
        <v>0</v>
      </c>
      <c r="M15" s="119">
        <f>IFERROR(__xludf.DUMMYFUNCTION("IMPORTRANGE(""https://docs.google.com/spreadsheets/d/1CaLR8gtRCp0-wyyH0y5IvQnenreOSKFOo8AF4Pfpekc/edit?gid=400822622#gid=400822622"", ""GRADE 11!K""&amp;ROW(K12))"),0.0)</f>
        <v>0</v>
      </c>
      <c r="N15" s="119">
        <f>IFERROR(__xludf.DUMMYFUNCTION("IMPORTRANGE(""https://docs.google.com/spreadsheets/d/1CaLR8gtRCp0-wyyH0y5IvQnenreOSKFOo8AF4Pfpekc/edit?gid=400822622#gid=400822622"", ""GRADE 11!L""&amp;ROW(L12))"),0.0)</f>
        <v>0</v>
      </c>
      <c r="O15" s="119">
        <f>IFERROR(__xludf.DUMMYFUNCTION("IMPORTRANGE(""https://docs.google.com/spreadsheets/d/1CaLR8gtRCp0-wyyH0y5IvQnenreOSKFOo8AF4Pfpekc/edit?gid=400822622#gid=400822622"", ""GRADE 11!M""&amp;ROW(M12))"),0.0)</f>
        <v>0</v>
      </c>
      <c r="P15" s="119" t="str">
        <f>IFERROR(__xludf.DUMMYFUNCTION("IMPORTRANGE(""https://docs.google.com/spreadsheets/d/1CaLR8gtRCp0-wyyH0y5IvQnenreOSKFOo8AF4Pfpekc/edit?gid=400822622#gid=400822622"", ""GRADE 11!N""&amp;ROW(N12))"),"")</f>
        <v/>
      </c>
      <c r="Q15" s="119">
        <f>IFERROR(__xludf.DUMMYFUNCTION("IMPORTRANGE(""https://docs.google.com/spreadsheets/d/1CaLR8gtRCp0-wyyH0y5IvQnenreOSKFOo8AF4Pfpekc/edit?gid=400822622#gid=400822622"", ""GRADE 11!O""&amp;ROW(O12))"),0.0)</f>
        <v>0</v>
      </c>
      <c r="R15" s="119" t="str">
        <f>IFERROR(__xludf.DUMMYFUNCTION("IMPORTRANGE(""https://docs.google.com/spreadsheets/d/1CaLR8gtRCp0-wyyH0y5IvQnenreOSKFOo8AF4Pfpekc/edit?gid=400822622#gid=400822622"", ""GRADE 11!P""&amp;ROW(P12))"),"")</f>
        <v/>
      </c>
      <c r="S15" s="119" t="str">
        <f>IFERROR(__xludf.DUMMYFUNCTION("IMPORTRANGE(""https://docs.google.com/spreadsheets/d/1CaLR8gtRCp0-wyyH0y5IvQnenreOSKFOo8AF4Pfpekc/edit?gid=400822622#gid=400822622"", ""GRADE 11!Q""&amp;ROW(Q12))"),"")</f>
        <v/>
      </c>
      <c r="T15" s="119" t="str">
        <f>IFERROR(__xludf.DUMMYFUNCTION("IMPORTRANGE(""https://docs.google.com/spreadsheets/d/1CaLR8gtRCp0-wyyH0y5IvQnenreOSKFOo8AF4Pfpekc/edit?gid=400822622#gid=400822622"", ""GRADE 11!R""&amp;ROW(R12))"),"")</f>
        <v/>
      </c>
      <c r="U15" s="119" t="str">
        <f>IFERROR(__xludf.DUMMYFUNCTION("IMPORTRANGE(""https://docs.google.com/spreadsheets/d/1CaLR8gtRCp0-wyyH0y5IvQnenreOSKFOo8AF4Pfpekc/edit?gid=400822622#gid=400822622"", ""GRADE 11!S""&amp;ROW(S12))"),"")</f>
        <v/>
      </c>
      <c r="V15" s="119" t="str">
        <f>IFERROR(__xludf.DUMMYFUNCTION("IMPORTRANGE(""https://docs.google.com/spreadsheets/d/1CaLR8gtRCp0-wyyH0y5IvQnenreOSKFOo8AF4Pfpekc/edit?gid=400822622#gid=400822622"", ""GRADE 11!T""&amp;ROW(T12))"),"")</f>
        <v/>
      </c>
      <c r="W15" s="119" t="str">
        <f>IFERROR(__xludf.DUMMYFUNCTION("IMPORTRANGE(""https://docs.google.com/spreadsheets/d/1CaLR8gtRCp0-wyyH0y5IvQnenreOSKFOo8AF4Pfpekc/edit?gid=400822622#gid=400822622"", ""GRADE 11!U""&amp;ROW(U12))"),"")</f>
        <v/>
      </c>
      <c r="X15" s="119">
        <f>IFERROR(__xludf.DUMMYFUNCTION("IMPORTRANGE(""https://docs.google.com/spreadsheets/d/1CaLR8gtRCp0-wyyH0y5IvQnenreOSKFOo8AF4Pfpekc/edit?gid=400822622#gid=400822622"", ""GRADE 11!V""&amp;ROW(V12))"),0.0)</f>
        <v>0</v>
      </c>
      <c r="Y15" s="119">
        <f>IFERROR(__xludf.DUMMYFUNCTION("IMPORTRANGE(""https://docs.google.com/spreadsheets/d/1CaLR8gtRCp0-wyyH0y5IvQnenreOSKFOo8AF4Pfpekc/edit?gid=400822622#gid=400822622"", ""GRADE 11!W""&amp;ROW(W12))"),0.0)</f>
        <v>0</v>
      </c>
      <c r="Z15" s="120">
        <f>IFERROR(__xludf.DUMMYFUNCTION("IMPORTRANGE(""https://docs.google.com/spreadsheets/d/1CaLR8gtRCp0-wyyH0y5IvQnenreOSKFOo8AF4Pfpekc/edit?gid=400822622#gid=400822622"", ""GRADE 11!X""&amp;ROW(X12))"),9.0)</f>
        <v>9</v>
      </c>
      <c r="AA15" s="121">
        <f>IFERROR(__xludf.DUMMYFUNCTION("IMPORTRANGE(""https://docs.google.com/spreadsheets/d/1CaLR8gtRCp0-wyyH0y5IvQnenreOSKFOo8AF4Pfpekc/edit?gid=400822622#gid=400822622"", ""GRADE 11!Y""&amp;ROW(Y12))"),0.0)</f>
        <v>0</v>
      </c>
      <c r="AB15" s="39">
        <f>IFERROR(__xludf.DUMMYFUNCTION("IMPORTRANGE(""https://docs.google.com/spreadsheets/d/1CaLR8gtRCp0-wyyH0y5IvQnenreOSKFOo8AF4Pfpekc/edit?gid=400822622#gid=400822622"", ""GRADE 11!Z""&amp;ROW(Z12))"),0.0)</f>
        <v>0</v>
      </c>
    </row>
    <row r="16">
      <c r="A16" s="28" t="s">
        <v>19</v>
      </c>
      <c r="B16" s="29">
        <v>6.0</v>
      </c>
      <c r="C16" s="30" t="s">
        <v>33</v>
      </c>
      <c r="D16" s="118" t="s">
        <v>21</v>
      </c>
      <c r="E16" s="32" t="s">
        <v>34</v>
      </c>
      <c r="F16" s="32" t="s">
        <v>27</v>
      </c>
      <c r="G16" s="34">
        <v>15.0</v>
      </c>
      <c r="H16" s="34">
        <v>30.0</v>
      </c>
      <c r="I16" s="35">
        <f t="shared" si="1"/>
        <v>45</v>
      </c>
      <c r="J16" s="119">
        <f>IFERROR(__xludf.DUMMYFUNCTION("IMPORTRANGE(""https://docs.google.com/spreadsheets/d/1CaLR8gtRCp0-wyyH0y5IvQnenreOSKFOo8AF4Pfpekc/edit?gid=400822622#gid=400822622"", ""GRADE 11!H""&amp;ROW(H13))"),0.0)</f>
        <v>0</v>
      </c>
      <c r="K16" s="119">
        <f>IFERROR(__xludf.DUMMYFUNCTION("IMPORTRANGE(""https://docs.google.com/spreadsheets/d/1CaLR8gtRCp0-wyyH0y5IvQnenreOSKFOo8AF4Pfpekc/edit?gid=400822622#gid=400822622"", ""GRADE 11!I""&amp;ROW(I13))"),0.0)</f>
        <v>0</v>
      </c>
      <c r="L16" s="119">
        <f>IFERROR(__xludf.DUMMYFUNCTION("IMPORTRANGE(""https://docs.google.com/spreadsheets/d/1CaLR8gtRCp0-wyyH0y5IvQnenreOSKFOo8AF4Pfpekc/edit?gid=400822622#gid=400822622"", ""GRADE 11!J""&amp;ROW(J13))"),0.0)</f>
        <v>0</v>
      </c>
      <c r="M16" s="119">
        <f>IFERROR(__xludf.DUMMYFUNCTION("IMPORTRANGE(""https://docs.google.com/spreadsheets/d/1CaLR8gtRCp0-wyyH0y5IvQnenreOSKFOo8AF4Pfpekc/edit?gid=400822622#gid=400822622"", ""GRADE 11!K""&amp;ROW(K13))"),0.0)</f>
        <v>0</v>
      </c>
      <c r="N16" s="119">
        <f>IFERROR(__xludf.DUMMYFUNCTION("IMPORTRANGE(""https://docs.google.com/spreadsheets/d/1CaLR8gtRCp0-wyyH0y5IvQnenreOSKFOo8AF4Pfpekc/edit?gid=400822622#gid=400822622"", ""GRADE 11!L""&amp;ROW(L13))"),0.0)</f>
        <v>0</v>
      </c>
      <c r="O16" s="119">
        <f>IFERROR(__xludf.DUMMYFUNCTION("IMPORTRANGE(""https://docs.google.com/spreadsheets/d/1CaLR8gtRCp0-wyyH0y5IvQnenreOSKFOo8AF4Pfpekc/edit?gid=400822622#gid=400822622"", ""GRADE 11!M""&amp;ROW(M13))"),0.0)</f>
        <v>0</v>
      </c>
      <c r="P16" s="119" t="str">
        <f>IFERROR(__xludf.DUMMYFUNCTION("IMPORTRANGE(""https://docs.google.com/spreadsheets/d/1CaLR8gtRCp0-wyyH0y5IvQnenreOSKFOo8AF4Pfpekc/edit?gid=400822622#gid=400822622"", ""GRADE 11!N""&amp;ROW(N13))"),"")</f>
        <v/>
      </c>
      <c r="Q16" s="119">
        <f>IFERROR(__xludf.DUMMYFUNCTION("IMPORTRANGE(""https://docs.google.com/spreadsheets/d/1CaLR8gtRCp0-wyyH0y5IvQnenreOSKFOo8AF4Pfpekc/edit?gid=400822622#gid=400822622"", ""GRADE 11!O""&amp;ROW(O13))"),0.0)</f>
        <v>0</v>
      </c>
      <c r="R16" s="119" t="str">
        <f>IFERROR(__xludf.DUMMYFUNCTION("IMPORTRANGE(""https://docs.google.com/spreadsheets/d/1CaLR8gtRCp0-wyyH0y5IvQnenreOSKFOo8AF4Pfpekc/edit?gid=400822622#gid=400822622"", ""GRADE 11!P""&amp;ROW(P13))"),"")</f>
        <v/>
      </c>
      <c r="S16" s="119" t="str">
        <f>IFERROR(__xludf.DUMMYFUNCTION("IMPORTRANGE(""https://docs.google.com/spreadsheets/d/1CaLR8gtRCp0-wyyH0y5IvQnenreOSKFOo8AF4Pfpekc/edit?gid=400822622#gid=400822622"", ""GRADE 11!Q""&amp;ROW(Q13))"),"")</f>
        <v/>
      </c>
      <c r="T16" s="119" t="str">
        <f>IFERROR(__xludf.DUMMYFUNCTION("IMPORTRANGE(""https://docs.google.com/spreadsheets/d/1CaLR8gtRCp0-wyyH0y5IvQnenreOSKFOo8AF4Pfpekc/edit?gid=400822622#gid=400822622"", ""GRADE 11!R""&amp;ROW(R13))"),"")</f>
        <v/>
      </c>
      <c r="U16" s="119" t="str">
        <f>IFERROR(__xludf.DUMMYFUNCTION("IMPORTRANGE(""https://docs.google.com/spreadsheets/d/1CaLR8gtRCp0-wyyH0y5IvQnenreOSKFOo8AF4Pfpekc/edit?gid=400822622#gid=400822622"", ""GRADE 11!S""&amp;ROW(S13))"),"")</f>
        <v/>
      </c>
      <c r="V16" s="119" t="str">
        <f>IFERROR(__xludf.DUMMYFUNCTION("IMPORTRANGE(""https://docs.google.com/spreadsheets/d/1CaLR8gtRCp0-wyyH0y5IvQnenreOSKFOo8AF4Pfpekc/edit?gid=400822622#gid=400822622"", ""GRADE 11!T""&amp;ROW(T13))"),"")</f>
        <v/>
      </c>
      <c r="W16" s="119" t="str">
        <f>IFERROR(__xludf.DUMMYFUNCTION("IMPORTRANGE(""https://docs.google.com/spreadsheets/d/1CaLR8gtRCp0-wyyH0y5IvQnenreOSKFOo8AF4Pfpekc/edit?gid=400822622#gid=400822622"", ""GRADE 11!U""&amp;ROW(U13))"),"")</f>
        <v/>
      </c>
      <c r="X16" s="119">
        <f>IFERROR(__xludf.DUMMYFUNCTION("IMPORTRANGE(""https://docs.google.com/spreadsheets/d/1CaLR8gtRCp0-wyyH0y5IvQnenreOSKFOo8AF4Pfpekc/edit?gid=400822622#gid=400822622"", ""GRADE 11!V""&amp;ROW(V13))"),0.0)</f>
        <v>0</v>
      </c>
      <c r="Y16" s="119">
        <f>IFERROR(__xludf.DUMMYFUNCTION("IMPORTRANGE(""https://docs.google.com/spreadsheets/d/1CaLR8gtRCp0-wyyH0y5IvQnenreOSKFOo8AF4Pfpekc/edit?gid=400822622#gid=400822622"", ""GRADE 11!W""&amp;ROW(W13))"),0.0)</f>
        <v>0</v>
      </c>
      <c r="Z16" s="120">
        <f>IFERROR(__xludf.DUMMYFUNCTION("IMPORTRANGE(""https://docs.google.com/spreadsheets/d/1CaLR8gtRCp0-wyyH0y5IvQnenreOSKFOo8AF4Pfpekc/edit?gid=400822622#gid=400822622"", ""GRADE 11!X""&amp;ROW(X13))"),9.0)</f>
        <v>9</v>
      </c>
      <c r="AA16" s="121">
        <f>IFERROR(__xludf.DUMMYFUNCTION("IMPORTRANGE(""https://docs.google.com/spreadsheets/d/1CaLR8gtRCp0-wyyH0y5IvQnenreOSKFOo8AF4Pfpekc/edit?gid=400822622#gid=400822622"", ""GRADE 11!Y""&amp;ROW(Y13))"),0.0)</f>
        <v>0</v>
      </c>
      <c r="AB16" s="39">
        <f>IFERROR(__xludf.DUMMYFUNCTION("IMPORTRANGE(""https://docs.google.com/spreadsheets/d/1CaLR8gtRCp0-wyyH0y5IvQnenreOSKFOo8AF4Pfpekc/edit?gid=400822622#gid=400822622"", ""GRADE 11!Z""&amp;ROW(Z13))"),0.0)</f>
        <v>0</v>
      </c>
    </row>
    <row r="17" ht="23.25" customHeight="1">
      <c r="A17" s="28" t="s">
        <v>19</v>
      </c>
      <c r="B17" s="29">
        <v>7.0</v>
      </c>
      <c r="C17" s="30" t="s">
        <v>35</v>
      </c>
      <c r="D17" s="118" t="s">
        <v>21</v>
      </c>
      <c r="E17" s="32" t="s">
        <v>36</v>
      </c>
      <c r="F17" s="32" t="s">
        <v>21</v>
      </c>
      <c r="G17" s="34">
        <v>18.0</v>
      </c>
      <c r="H17" s="34">
        <v>28.0</v>
      </c>
      <c r="I17" s="35">
        <f t="shared" si="1"/>
        <v>46</v>
      </c>
      <c r="J17" s="119">
        <f>IFERROR(__xludf.DUMMYFUNCTION("IMPORTRANGE(""https://docs.google.com/spreadsheets/d/1CaLR8gtRCp0-wyyH0y5IvQnenreOSKFOo8AF4Pfpekc/edit?gid=400822622#gid=400822622"", ""GRADE 11!H""&amp;ROW(H14))"),0.0)</f>
        <v>0</v>
      </c>
      <c r="K17" s="119">
        <f>IFERROR(__xludf.DUMMYFUNCTION("IMPORTRANGE(""https://docs.google.com/spreadsheets/d/1CaLR8gtRCp0-wyyH0y5IvQnenreOSKFOo8AF4Pfpekc/edit?gid=400822622#gid=400822622"", ""GRADE 11!I""&amp;ROW(I14))"),0.0)</f>
        <v>0</v>
      </c>
      <c r="L17" s="119">
        <f>IFERROR(__xludf.DUMMYFUNCTION("IMPORTRANGE(""https://docs.google.com/spreadsheets/d/1CaLR8gtRCp0-wyyH0y5IvQnenreOSKFOo8AF4Pfpekc/edit?gid=400822622#gid=400822622"", ""GRADE 11!J""&amp;ROW(J14))"),0.0)</f>
        <v>0</v>
      </c>
      <c r="M17" s="119">
        <f>IFERROR(__xludf.DUMMYFUNCTION("IMPORTRANGE(""https://docs.google.com/spreadsheets/d/1CaLR8gtRCp0-wyyH0y5IvQnenreOSKFOo8AF4Pfpekc/edit?gid=400822622#gid=400822622"", ""GRADE 11!K""&amp;ROW(K14))"),0.0)</f>
        <v>0</v>
      </c>
      <c r="N17" s="119">
        <f>IFERROR(__xludf.DUMMYFUNCTION("IMPORTRANGE(""https://docs.google.com/spreadsheets/d/1CaLR8gtRCp0-wyyH0y5IvQnenreOSKFOo8AF4Pfpekc/edit?gid=400822622#gid=400822622"", ""GRADE 11!L""&amp;ROW(L14))"),0.0)</f>
        <v>0</v>
      </c>
      <c r="O17" s="119">
        <f>IFERROR(__xludf.DUMMYFUNCTION("IMPORTRANGE(""https://docs.google.com/spreadsheets/d/1CaLR8gtRCp0-wyyH0y5IvQnenreOSKFOo8AF4Pfpekc/edit?gid=400822622#gid=400822622"", ""GRADE 11!M""&amp;ROW(M14))"),0.0)</f>
        <v>0</v>
      </c>
      <c r="P17" s="119" t="str">
        <f>IFERROR(__xludf.DUMMYFUNCTION("IMPORTRANGE(""https://docs.google.com/spreadsheets/d/1CaLR8gtRCp0-wyyH0y5IvQnenreOSKFOo8AF4Pfpekc/edit?gid=400822622#gid=400822622"", ""GRADE 11!N""&amp;ROW(N14))"),"")</f>
        <v/>
      </c>
      <c r="Q17" s="119">
        <f>IFERROR(__xludf.DUMMYFUNCTION("IMPORTRANGE(""https://docs.google.com/spreadsheets/d/1CaLR8gtRCp0-wyyH0y5IvQnenreOSKFOo8AF4Pfpekc/edit?gid=400822622#gid=400822622"", ""GRADE 11!O""&amp;ROW(O14))"),0.0)</f>
        <v>0</v>
      </c>
      <c r="R17" s="119" t="str">
        <f>IFERROR(__xludf.DUMMYFUNCTION("IMPORTRANGE(""https://docs.google.com/spreadsheets/d/1CaLR8gtRCp0-wyyH0y5IvQnenreOSKFOo8AF4Pfpekc/edit?gid=400822622#gid=400822622"", ""GRADE 11!P""&amp;ROW(P14))"),"")</f>
        <v/>
      </c>
      <c r="S17" s="119" t="str">
        <f>IFERROR(__xludf.DUMMYFUNCTION("IMPORTRANGE(""https://docs.google.com/spreadsheets/d/1CaLR8gtRCp0-wyyH0y5IvQnenreOSKFOo8AF4Pfpekc/edit?gid=400822622#gid=400822622"", ""GRADE 11!Q""&amp;ROW(Q14))"),"")</f>
        <v/>
      </c>
      <c r="T17" s="119" t="str">
        <f>IFERROR(__xludf.DUMMYFUNCTION("IMPORTRANGE(""https://docs.google.com/spreadsheets/d/1CaLR8gtRCp0-wyyH0y5IvQnenreOSKFOo8AF4Pfpekc/edit?gid=400822622#gid=400822622"", ""GRADE 11!R""&amp;ROW(R14))"),"")</f>
        <v/>
      </c>
      <c r="U17" s="119" t="str">
        <f>IFERROR(__xludf.DUMMYFUNCTION("IMPORTRANGE(""https://docs.google.com/spreadsheets/d/1CaLR8gtRCp0-wyyH0y5IvQnenreOSKFOo8AF4Pfpekc/edit?gid=400822622#gid=400822622"", ""GRADE 11!S""&amp;ROW(S14))"),"")</f>
        <v/>
      </c>
      <c r="V17" s="119" t="str">
        <f>IFERROR(__xludf.DUMMYFUNCTION("IMPORTRANGE(""https://docs.google.com/spreadsheets/d/1CaLR8gtRCp0-wyyH0y5IvQnenreOSKFOo8AF4Pfpekc/edit?gid=400822622#gid=400822622"", ""GRADE 11!T""&amp;ROW(T14))"),"")</f>
        <v/>
      </c>
      <c r="W17" s="119" t="str">
        <f>IFERROR(__xludf.DUMMYFUNCTION("IMPORTRANGE(""https://docs.google.com/spreadsheets/d/1CaLR8gtRCp0-wyyH0y5IvQnenreOSKFOo8AF4Pfpekc/edit?gid=400822622#gid=400822622"", ""GRADE 11!U""&amp;ROW(U14))"),"")</f>
        <v/>
      </c>
      <c r="X17" s="119">
        <f>IFERROR(__xludf.DUMMYFUNCTION("IMPORTRANGE(""https://docs.google.com/spreadsheets/d/1CaLR8gtRCp0-wyyH0y5IvQnenreOSKFOo8AF4Pfpekc/edit?gid=400822622#gid=400822622"", ""GRADE 11!V""&amp;ROW(V14))"),0.0)</f>
        <v>0</v>
      </c>
      <c r="Y17" s="119">
        <f>IFERROR(__xludf.DUMMYFUNCTION("IMPORTRANGE(""https://docs.google.com/spreadsheets/d/1CaLR8gtRCp0-wyyH0y5IvQnenreOSKFOo8AF4Pfpekc/edit?gid=400822622#gid=400822622"", ""GRADE 11!W""&amp;ROW(W14))"),0.0)</f>
        <v>0</v>
      </c>
      <c r="Z17" s="120">
        <f>IFERROR(__xludf.DUMMYFUNCTION("IMPORTRANGE(""https://docs.google.com/spreadsheets/d/1CaLR8gtRCp0-wyyH0y5IvQnenreOSKFOo8AF4Pfpekc/edit?gid=400822622#gid=400822622"", ""GRADE 11!X""&amp;ROW(X14))"),9.0)</f>
        <v>9</v>
      </c>
      <c r="AA17" s="121">
        <f>IFERROR(__xludf.DUMMYFUNCTION("IMPORTRANGE(""https://docs.google.com/spreadsheets/d/1CaLR8gtRCp0-wyyH0y5IvQnenreOSKFOo8AF4Pfpekc/edit?gid=400822622#gid=400822622"", ""GRADE 11!Y""&amp;ROW(Y14))"),0.0)</f>
        <v>0</v>
      </c>
      <c r="AB17" s="39">
        <f>IFERROR(__xludf.DUMMYFUNCTION("IMPORTRANGE(""https://docs.google.com/spreadsheets/d/1CaLR8gtRCp0-wyyH0y5IvQnenreOSKFOo8AF4Pfpekc/edit?gid=400822622#gid=400822622"", ""GRADE 11!Z""&amp;ROW(Z14))"),0.0)</f>
        <v>0</v>
      </c>
    </row>
    <row r="18">
      <c r="A18" s="28" t="s">
        <v>19</v>
      </c>
      <c r="B18" s="29">
        <v>8.0</v>
      </c>
      <c r="C18" s="30" t="s">
        <v>37</v>
      </c>
      <c r="D18" s="118" t="s">
        <v>21</v>
      </c>
      <c r="E18" s="32" t="s">
        <v>38</v>
      </c>
      <c r="F18" s="32" t="s">
        <v>27</v>
      </c>
      <c r="G18" s="34">
        <v>17.0</v>
      </c>
      <c r="H18" s="34">
        <v>29.0</v>
      </c>
      <c r="I18" s="35">
        <f t="shared" si="1"/>
        <v>46</v>
      </c>
      <c r="J18" s="119">
        <f>IFERROR(__xludf.DUMMYFUNCTION("IMPORTRANGE(""https://docs.google.com/spreadsheets/d/1CaLR8gtRCp0-wyyH0y5IvQnenreOSKFOo8AF4Pfpekc/edit?gid=400822622#gid=400822622"", ""GRADE 11!H""&amp;ROW(H15))"),0.0)</f>
        <v>0</v>
      </c>
      <c r="K18" s="119">
        <f>IFERROR(__xludf.DUMMYFUNCTION("IMPORTRANGE(""https://docs.google.com/spreadsheets/d/1CaLR8gtRCp0-wyyH0y5IvQnenreOSKFOo8AF4Pfpekc/edit?gid=400822622#gid=400822622"", ""GRADE 11!I""&amp;ROW(I15))"),0.0)</f>
        <v>0</v>
      </c>
      <c r="L18" s="119">
        <f>IFERROR(__xludf.DUMMYFUNCTION("IMPORTRANGE(""https://docs.google.com/spreadsheets/d/1CaLR8gtRCp0-wyyH0y5IvQnenreOSKFOo8AF4Pfpekc/edit?gid=400822622#gid=400822622"", ""GRADE 11!J""&amp;ROW(J15))"),0.0)</f>
        <v>0</v>
      </c>
      <c r="M18" s="119">
        <f>IFERROR(__xludf.DUMMYFUNCTION("IMPORTRANGE(""https://docs.google.com/spreadsheets/d/1CaLR8gtRCp0-wyyH0y5IvQnenreOSKFOo8AF4Pfpekc/edit?gid=400822622#gid=400822622"", ""GRADE 11!K""&amp;ROW(K15))"),0.0)</f>
        <v>0</v>
      </c>
      <c r="N18" s="119">
        <f>IFERROR(__xludf.DUMMYFUNCTION("IMPORTRANGE(""https://docs.google.com/spreadsheets/d/1CaLR8gtRCp0-wyyH0y5IvQnenreOSKFOo8AF4Pfpekc/edit?gid=400822622#gid=400822622"", ""GRADE 11!L""&amp;ROW(L15))"),0.0)</f>
        <v>0</v>
      </c>
      <c r="O18" s="119">
        <f>IFERROR(__xludf.DUMMYFUNCTION("IMPORTRANGE(""https://docs.google.com/spreadsheets/d/1CaLR8gtRCp0-wyyH0y5IvQnenreOSKFOo8AF4Pfpekc/edit?gid=400822622#gid=400822622"", ""GRADE 11!M""&amp;ROW(M15))"),0.0)</f>
        <v>0</v>
      </c>
      <c r="P18" s="119" t="str">
        <f>IFERROR(__xludf.DUMMYFUNCTION("IMPORTRANGE(""https://docs.google.com/spreadsheets/d/1CaLR8gtRCp0-wyyH0y5IvQnenreOSKFOo8AF4Pfpekc/edit?gid=400822622#gid=400822622"", ""GRADE 11!N""&amp;ROW(N15))"),"")</f>
        <v/>
      </c>
      <c r="Q18" s="119">
        <f>IFERROR(__xludf.DUMMYFUNCTION("IMPORTRANGE(""https://docs.google.com/spreadsheets/d/1CaLR8gtRCp0-wyyH0y5IvQnenreOSKFOo8AF4Pfpekc/edit?gid=400822622#gid=400822622"", ""GRADE 11!O""&amp;ROW(O15))"),0.0)</f>
        <v>0</v>
      </c>
      <c r="R18" s="119" t="str">
        <f>IFERROR(__xludf.DUMMYFUNCTION("IMPORTRANGE(""https://docs.google.com/spreadsheets/d/1CaLR8gtRCp0-wyyH0y5IvQnenreOSKFOo8AF4Pfpekc/edit?gid=400822622#gid=400822622"", ""GRADE 11!P""&amp;ROW(P15))"),"")</f>
        <v/>
      </c>
      <c r="S18" s="119" t="str">
        <f>IFERROR(__xludf.DUMMYFUNCTION("IMPORTRANGE(""https://docs.google.com/spreadsheets/d/1CaLR8gtRCp0-wyyH0y5IvQnenreOSKFOo8AF4Pfpekc/edit?gid=400822622#gid=400822622"", ""GRADE 11!Q""&amp;ROW(Q15))"),"")</f>
        <v/>
      </c>
      <c r="T18" s="119" t="str">
        <f>IFERROR(__xludf.DUMMYFUNCTION("IMPORTRANGE(""https://docs.google.com/spreadsheets/d/1CaLR8gtRCp0-wyyH0y5IvQnenreOSKFOo8AF4Pfpekc/edit?gid=400822622#gid=400822622"", ""GRADE 11!R""&amp;ROW(R15))"),"")</f>
        <v/>
      </c>
      <c r="U18" s="119" t="str">
        <f>IFERROR(__xludf.DUMMYFUNCTION("IMPORTRANGE(""https://docs.google.com/spreadsheets/d/1CaLR8gtRCp0-wyyH0y5IvQnenreOSKFOo8AF4Pfpekc/edit?gid=400822622#gid=400822622"", ""GRADE 11!S""&amp;ROW(S15))"),"")</f>
        <v/>
      </c>
      <c r="V18" s="119" t="str">
        <f>IFERROR(__xludf.DUMMYFUNCTION("IMPORTRANGE(""https://docs.google.com/spreadsheets/d/1CaLR8gtRCp0-wyyH0y5IvQnenreOSKFOo8AF4Pfpekc/edit?gid=400822622#gid=400822622"", ""GRADE 11!T""&amp;ROW(T15))"),"")</f>
        <v/>
      </c>
      <c r="W18" s="119" t="str">
        <f>IFERROR(__xludf.DUMMYFUNCTION("IMPORTRANGE(""https://docs.google.com/spreadsheets/d/1CaLR8gtRCp0-wyyH0y5IvQnenreOSKFOo8AF4Pfpekc/edit?gid=400822622#gid=400822622"", ""GRADE 11!U""&amp;ROW(U15))"),"")</f>
        <v/>
      </c>
      <c r="X18" s="119">
        <f>IFERROR(__xludf.DUMMYFUNCTION("IMPORTRANGE(""https://docs.google.com/spreadsheets/d/1CaLR8gtRCp0-wyyH0y5IvQnenreOSKFOo8AF4Pfpekc/edit?gid=400822622#gid=400822622"", ""GRADE 11!V""&amp;ROW(V15))"),0.0)</f>
        <v>0</v>
      </c>
      <c r="Y18" s="119">
        <f>IFERROR(__xludf.DUMMYFUNCTION("IMPORTRANGE(""https://docs.google.com/spreadsheets/d/1CaLR8gtRCp0-wyyH0y5IvQnenreOSKFOo8AF4Pfpekc/edit?gid=400822622#gid=400822622"", ""GRADE 11!W""&amp;ROW(W15))"),0.0)</f>
        <v>0</v>
      </c>
      <c r="Z18" s="120">
        <f>IFERROR(__xludf.DUMMYFUNCTION("IMPORTRANGE(""https://docs.google.com/spreadsheets/d/1CaLR8gtRCp0-wyyH0y5IvQnenreOSKFOo8AF4Pfpekc/edit?gid=400822622#gid=400822622"", ""GRADE 11!X""&amp;ROW(X15))"),9.0)</f>
        <v>9</v>
      </c>
      <c r="AA18" s="121">
        <f>IFERROR(__xludf.DUMMYFUNCTION("IMPORTRANGE(""https://docs.google.com/spreadsheets/d/1CaLR8gtRCp0-wyyH0y5IvQnenreOSKFOo8AF4Pfpekc/edit?gid=400822622#gid=400822622"", ""GRADE 11!Y""&amp;ROW(Y15))"),0.0)</f>
        <v>0</v>
      </c>
      <c r="AB18" s="39">
        <f>IFERROR(__xludf.DUMMYFUNCTION("IMPORTRANGE(""https://docs.google.com/spreadsheets/d/1CaLR8gtRCp0-wyyH0y5IvQnenreOSKFOo8AF4Pfpekc/edit?gid=400822622#gid=400822622"", ""GRADE 11!Z""&amp;ROW(Z15))"),0.0)</f>
        <v>0</v>
      </c>
    </row>
    <row r="19" ht="24.75" customHeight="1">
      <c r="A19" s="28" t="s">
        <v>19</v>
      </c>
      <c r="B19" s="29">
        <v>9.0</v>
      </c>
      <c r="C19" s="30" t="s">
        <v>39</v>
      </c>
      <c r="D19" s="118" t="s">
        <v>21</v>
      </c>
      <c r="E19" s="32" t="s">
        <v>40</v>
      </c>
      <c r="F19" s="32" t="s">
        <v>30</v>
      </c>
      <c r="G19" s="34">
        <v>19.0</v>
      </c>
      <c r="H19" s="34">
        <v>26.0</v>
      </c>
      <c r="I19" s="35">
        <f t="shared" si="1"/>
        <v>45</v>
      </c>
      <c r="J19" s="119">
        <f>IFERROR(__xludf.DUMMYFUNCTION("IMPORTRANGE(""https://docs.google.com/spreadsheets/d/1CaLR8gtRCp0-wyyH0y5IvQnenreOSKFOo8AF4Pfpekc/edit?gid=400822622#gid=400822622"", ""GRADE 11!H""&amp;ROW(H16))"),0.0)</f>
        <v>0</v>
      </c>
      <c r="K19" s="119">
        <f>IFERROR(__xludf.DUMMYFUNCTION("IMPORTRANGE(""https://docs.google.com/spreadsheets/d/1CaLR8gtRCp0-wyyH0y5IvQnenreOSKFOo8AF4Pfpekc/edit?gid=400822622#gid=400822622"", ""GRADE 11!I""&amp;ROW(I16))"),0.0)</f>
        <v>0</v>
      </c>
      <c r="L19" s="119">
        <f>IFERROR(__xludf.DUMMYFUNCTION("IMPORTRANGE(""https://docs.google.com/spreadsheets/d/1CaLR8gtRCp0-wyyH0y5IvQnenreOSKFOo8AF4Pfpekc/edit?gid=400822622#gid=400822622"", ""GRADE 11!J""&amp;ROW(J16))"),0.0)</f>
        <v>0</v>
      </c>
      <c r="M19" s="119">
        <f>IFERROR(__xludf.DUMMYFUNCTION("IMPORTRANGE(""https://docs.google.com/spreadsheets/d/1CaLR8gtRCp0-wyyH0y5IvQnenreOSKFOo8AF4Pfpekc/edit?gid=400822622#gid=400822622"", ""GRADE 11!K""&amp;ROW(K16))"),0.0)</f>
        <v>0</v>
      </c>
      <c r="N19" s="119">
        <f>IFERROR(__xludf.DUMMYFUNCTION("IMPORTRANGE(""https://docs.google.com/spreadsheets/d/1CaLR8gtRCp0-wyyH0y5IvQnenreOSKFOo8AF4Pfpekc/edit?gid=400822622#gid=400822622"", ""GRADE 11!L""&amp;ROW(L16))"),0.0)</f>
        <v>0</v>
      </c>
      <c r="O19" s="119">
        <f>IFERROR(__xludf.DUMMYFUNCTION("IMPORTRANGE(""https://docs.google.com/spreadsheets/d/1CaLR8gtRCp0-wyyH0y5IvQnenreOSKFOo8AF4Pfpekc/edit?gid=400822622#gid=400822622"", ""GRADE 11!M""&amp;ROW(M16))"),0.0)</f>
        <v>0</v>
      </c>
      <c r="P19" s="119" t="str">
        <f>IFERROR(__xludf.DUMMYFUNCTION("IMPORTRANGE(""https://docs.google.com/spreadsheets/d/1CaLR8gtRCp0-wyyH0y5IvQnenreOSKFOo8AF4Pfpekc/edit?gid=400822622#gid=400822622"", ""GRADE 11!N""&amp;ROW(N16))"),"")</f>
        <v/>
      </c>
      <c r="Q19" s="119">
        <f>IFERROR(__xludf.DUMMYFUNCTION("IMPORTRANGE(""https://docs.google.com/spreadsheets/d/1CaLR8gtRCp0-wyyH0y5IvQnenreOSKFOo8AF4Pfpekc/edit?gid=400822622#gid=400822622"", ""GRADE 11!O""&amp;ROW(O16))"),0.0)</f>
        <v>0</v>
      </c>
      <c r="R19" s="119" t="str">
        <f>IFERROR(__xludf.DUMMYFUNCTION("IMPORTRANGE(""https://docs.google.com/spreadsheets/d/1CaLR8gtRCp0-wyyH0y5IvQnenreOSKFOo8AF4Pfpekc/edit?gid=400822622#gid=400822622"", ""GRADE 11!P""&amp;ROW(P16))"),"")</f>
        <v/>
      </c>
      <c r="S19" s="119" t="str">
        <f>IFERROR(__xludf.DUMMYFUNCTION("IMPORTRANGE(""https://docs.google.com/spreadsheets/d/1CaLR8gtRCp0-wyyH0y5IvQnenreOSKFOo8AF4Pfpekc/edit?gid=400822622#gid=400822622"", ""GRADE 11!Q""&amp;ROW(Q16))"),"")</f>
        <v/>
      </c>
      <c r="T19" s="119" t="str">
        <f>IFERROR(__xludf.DUMMYFUNCTION("IMPORTRANGE(""https://docs.google.com/spreadsheets/d/1CaLR8gtRCp0-wyyH0y5IvQnenreOSKFOo8AF4Pfpekc/edit?gid=400822622#gid=400822622"", ""GRADE 11!R""&amp;ROW(R16))"),"")</f>
        <v/>
      </c>
      <c r="U19" s="119" t="str">
        <f>IFERROR(__xludf.DUMMYFUNCTION("IMPORTRANGE(""https://docs.google.com/spreadsheets/d/1CaLR8gtRCp0-wyyH0y5IvQnenreOSKFOo8AF4Pfpekc/edit?gid=400822622#gid=400822622"", ""GRADE 11!S""&amp;ROW(S16))"),"")</f>
        <v/>
      </c>
      <c r="V19" s="119" t="str">
        <f>IFERROR(__xludf.DUMMYFUNCTION("IMPORTRANGE(""https://docs.google.com/spreadsheets/d/1CaLR8gtRCp0-wyyH0y5IvQnenreOSKFOo8AF4Pfpekc/edit?gid=400822622#gid=400822622"", ""GRADE 11!T""&amp;ROW(T16))"),"")</f>
        <v/>
      </c>
      <c r="W19" s="119" t="str">
        <f>IFERROR(__xludf.DUMMYFUNCTION("IMPORTRANGE(""https://docs.google.com/spreadsheets/d/1CaLR8gtRCp0-wyyH0y5IvQnenreOSKFOo8AF4Pfpekc/edit?gid=400822622#gid=400822622"", ""GRADE 11!U""&amp;ROW(U16))"),"")</f>
        <v/>
      </c>
      <c r="X19" s="119">
        <f>IFERROR(__xludf.DUMMYFUNCTION("IMPORTRANGE(""https://docs.google.com/spreadsheets/d/1CaLR8gtRCp0-wyyH0y5IvQnenreOSKFOo8AF4Pfpekc/edit?gid=400822622#gid=400822622"", ""GRADE 11!V""&amp;ROW(V16))"),0.0)</f>
        <v>0</v>
      </c>
      <c r="Y19" s="119">
        <f>IFERROR(__xludf.DUMMYFUNCTION("IMPORTRANGE(""https://docs.google.com/spreadsheets/d/1CaLR8gtRCp0-wyyH0y5IvQnenreOSKFOo8AF4Pfpekc/edit?gid=400822622#gid=400822622"", ""GRADE 11!W""&amp;ROW(W16))"),0.0)</f>
        <v>0</v>
      </c>
      <c r="Z19" s="120">
        <f>IFERROR(__xludf.DUMMYFUNCTION("IMPORTRANGE(""https://docs.google.com/spreadsheets/d/1CaLR8gtRCp0-wyyH0y5IvQnenreOSKFOo8AF4Pfpekc/edit?gid=400822622#gid=400822622"", ""GRADE 11!X""&amp;ROW(X16))"),9.0)</f>
        <v>9</v>
      </c>
      <c r="AA19" s="121">
        <f>IFERROR(__xludf.DUMMYFUNCTION("IMPORTRANGE(""https://docs.google.com/spreadsheets/d/1CaLR8gtRCp0-wyyH0y5IvQnenreOSKFOo8AF4Pfpekc/edit?gid=400822622#gid=400822622"", ""GRADE 11!Y""&amp;ROW(Y16))"),0.0)</f>
        <v>0</v>
      </c>
      <c r="AB19" s="39">
        <f>IFERROR(__xludf.DUMMYFUNCTION("IMPORTRANGE(""https://docs.google.com/spreadsheets/d/1CaLR8gtRCp0-wyyH0y5IvQnenreOSKFOo8AF4Pfpekc/edit?gid=400822622#gid=400822622"", ""GRADE 11!Z""&amp;ROW(Z16))"),0.0)</f>
        <v>0</v>
      </c>
    </row>
    <row r="20">
      <c r="A20" s="28" t="s">
        <v>19</v>
      </c>
      <c r="B20" s="29">
        <v>10.0</v>
      </c>
      <c r="C20" s="30" t="s">
        <v>41</v>
      </c>
      <c r="D20" s="118" t="s">
        <v>21</v>
      </c>
      <c r="E20" s="32" t="s">
        <v>42</v>
      </c>
      <c r="F20" s="32" t="s">
        <v>43</v>
      </c>
      <c r="G20" s="34">
        <v>14.0</v>
      </c>
      <c r="H20" s="34">
        <v>31.0</v>
      </c>
      <c r="I20" s="35">
        <f t="shared" si="1"/>
        <v>45</v>
      </c>
      <c r="J20" s="119">
        <f>IFERROR(__xludf.DUMMYFUNCTION("IMPORTRANGE(""https://docs.google.com/spreadsheets/d/1CaLR8gtRCp0-wyyH0y5IvQnenreOSKFOo8AF4Pfpekc/edit?gid=400822622#gid=400822622"", ""GRADE 11!H""&amp;ROW(H17))"),0.0)</f>
        <v>0</v>
      </c>
      <c r="K20" s="119">
        <f>IFERROR(__xludf.DUMMYFUNCTION("IMPORTRANGE(""https://docs.google.com/spreadsheets/d/1CaLR8gtRCp0-wyyH0y5IvQnenreOSKFOo8AF4Pfpekc/edit?gid=400822622#gid=400822622"", ""GRADE 11!I""&amp;ROW(I17))"),0.0)</f>
        <v>0</v>
      </c>
      <c r="L20" s="119">
        <f>IFERROR(__xludf.DUMMYFUNCTION("IMPORTRANGE(""https://docs.google.com/spreadsheets/d/1CaLR8gtRCp0-wyyH0y5IvQnenreOSKFOo8AF4Pfpekc/edit?gid=400822622#gid=400822622"", ""GRADE 11!J""&amp;ROW(J17))"),0.0)</f>
        <v>0</v>
      </c>
      <c r="M20" s="119">
        <f>IFERROR(__xludf.DUMMYFUNCTION("IMPORTRANGE(""https://docs.google.com/spreadsheets/d/1CaLR8gtRCp0-wyyH0y5IvQnenreOSKFOo8AF4Pfpekc/edit?gid=400822622#gid=400822622"", ""GRADE 11!K""&amp;ROW(K17))"),0.0)</f>
        <v>0</v>
      </c>
      <c r="N20" s="119">
        <f>IFERROR(__xludf.DUMMYFUNCTION("IMPORTRANGE(""https://docs.google.com/spreadsheets/d/1CaLR8gtRCp0-wyyH0y5IvQnenreOSKFOo8AF4Pfpekc/edit?gid=400822622#gid=400822622"", ""GRADE 11!L""&amp;ROW(L17))"),0.0)</f>
        <v>0</v>
      </c>
      <c r="O20" s="119">
        <f>IFERROR(__xludf.DUMMYFUNCTION("IMPORTRANGE(""https://docs.google.com/spreadsheets/d/1CaLR8gtRCp0-wyyH0y5IvQnenreOSKFOo8AF4Pfpekc/edit?gid=400822622#gid=400822622"", ""GRADE 11!M""&amp;ROW(M17))"),0.0)</f>
        <v>0</v>
      </c>
      <c r="P20" s="119" t="str">
        <f>IFERROR(__xludf.DUMMYFUNCTION("IMPORTRANGE(""https://docs.google.com/spreadsheets/d/1CaLR8gtRCp0-wyyH0y5IvQnenreOSKFOo8AF4Pfpekc/edit?gid=400822622#gid=400822622"", ""GRADE 11!N""&amp;ROW(N17))"),"")</f>
        <v/>
      </c>
      <c r="Q20" s="119">
        <f>IFERROR(__xludf.DUMMYFUNCTION("IMPORTRANGE(""https://docs.google.com/spreadsheets/d/1CaLR8gtRCp0-wyyH0y5IvQnenreOSKFOo8AF4Pfpekc/edit?gid=400822622#gid=400822622"", ""GRADE 11!O""&amp;ROW(O17))"),0.0)</f>
        <v>0</v>
      </c>
      <c r="R20" s="119" t="str">
        <f>IFERROR(__xludf.DUMMYFUNCTION("IMPORTRANGE(""https://docs.google.com/spreadsheets/d/1CaLR8gtRCp0-wyyH0y5IvQnenreOSKFOo8AF4Pfpekc/edit?gid=400822622#gid=400822622"", ""GRADE 11!P""&amp;ROW(P17))"),"")</f>
        <v/>
      </c>
      <c r="S20" s="119" t="str">
        <f>IFERROR(__xludf.DUMMYFUNCTION("IMPORTRANGE(""https://docs.google.com/spreadsheets/d/1CaLR8gtRCp0-wyyH0y5IvQnenreOSKFOo8AF4Pfpekc/edit?gid=400822622#gid=400822622"", ""GRADE 11!Q""&amp;ROW(Q17))"),"")</f>
        <v/>
      </c>
      <c r="T20" s="119" t="str">
        <f>IFERROR(__xludf.DUMMYFUNCTION("IMPORTRANGE(""https://docs.google.com/spreadsheets/d/1CaLR8gtRCp0-wyyH0y5IvQnenreOSKFOo8AF4Pfpekc/edit?gid=400822622#gid=400822622"", ""GRADE 11!R""&amp;ROW(R17))"),"")</f>
        <v/>
      </c>
      <c r="U20" s="119" t="str">
        <f>IFERROR(__xludf.DUMMYFUNCTION("IMPORTRANGE(""https://docs.google.com/spreadsheets/d/1CaLR8gtRCp0-wyyH0y5IvQnenreOSKFOo8AF4Pfpekc/edit?gid=400822622#gid=400822622"", ""GRADE 11!S""&amp;ROW(S17))"),"")</f>
        <v/>
      </c>
      <c r="V20" s="119" t="str">
        <f>IFERROR(__xludf.DUMMYFUNCTION("IMPORTRANGE(""https://docs.google.com/spreadsheets/d/1CaLR8gtRCp0-wyyH0y5IvQnenreOSKFOo8AF4Pfpekc/edit?gid=400822622#gid=400822622"", ""GRADE 11!T""&amp;ROW(T17))"),"")</f>
        <v/>
      </c>
      <c r="W20" s="119" t="str">
        <f>IFERROR(__xludf.DUMMYFUNCTION("IMPORTRANGE(""https://docs.google.com/spreadsheets/d/1CaLR8gtRCp0-wyyH0y5IvQnenreOSKFOo8AF4Pfpekc/edit?gid=400822622#gid=400822622"", ""GRADE 11!U""&amp;ROW(U17))"),"")</f>
        <v/>
      </c>
      <c r="X20" s="119">
        <f>IFERROR(__xludf.DUMMYFUNCTION("IMPORTRANGE(""https://docs.google.com/spreadsheets/d/1CaLR8gtRCp0-wyyH0y5IvQnenreOSKFOo8AF4Pfpekc/edit?gid=400822622#gid=400822622"", ""GRADE 11!V""&amp;ROW(V17))"),0.0)</f>
        <v>0</v>
      </c>
      <c r="Y20" s="119">
        <f>IFERROR(__xludf.DUMMYFUNCTION("IMPORTRANGE(""https://docs.google.com/spreadsheets/d/1CaLR8gtRCp0-wyyH0y5IvQnenreOSKFOo8AF4Pfpekc/edit?gid=400822622#gid=400822622"", ""GRADE 11!W""&amp;ROW(W17))"),0.0)</f>
        <v>0</v>
      </c>
      <c r="Z20" s="120">
        <f>IFERROR(__xludf.DUMMYFUNCTION("IMPORTRANGE(""https://docs.google.com/spreadsheets/d/1CaLR8gtRCp0-wyyH0y5IvQnenreOSKFOo8AF4Pfpekc/edit?gid=400822622#gid=400822622"", ""GRADE 11!X""&amp;ROW(X17))"),9.0)</f>
        <v>9</v>
      </c>
      <c r="AA20" s="121">
        <f>IFERROR(__xludf.DUMMYFUNCTION("IMPORTRANGE(""https://docs.google.com/spreadsheets/d/1CaLR8gtRCp0-wyyH0y5IvQnenreOSKFOo8AF4Pfpekc/edit?gid=400822622#gid=400822622"", ""GRADE 11!Y""&amp;ROW(Y17))"),0.0)</f>
        <v>0</v>
      </c>
      <c r="AB20" s="39">
        <f>IFERROR(__xludf.DUMMYFUNCTION("IMPORTRANGE(""https://docs.google.com/spreadsheets/d/1CaLR8gtRCp0-wyyH0y5IvQnenreOSKFOo8AF4Pfpekc/edit?gid=400822622#gid=400822622"", ""GRADE 11!Z""&amp;ROW(Z17))"),0.0)</f>
        <v>0</v>
      </c>
    </row>
    <row r="21">
      <c r="A21" s="28" t="s">
        <v>19</v>
      </c>
      <c r="B21" s="29">
        <v>11.0</v>
      </c>
      <c r="C21" s="30" t="s">
        <v>44</v>
      </c>
      <c r="D21" s="118" t="s">
        <v>21</v>
      </c>
      <c r="E21" s="32" t="s">
        <v>45</v>
      </c>
      <c r="F21" s="32" t="s">
        <v>27</v>
      </c>
      <c r="G21" s="34">
        <v>17.0</v>
      </c>
      <c r="H21" s="34">
        <v>27.0</v>
      </c>
      <c r="I21" s="35">
        <f t="shared" si="1"/>
        <v>44</v>
      </c>
      <c r="J21" s="119" t="str">
        <f>IFERROR(__xludf.DUMMYFUNCTION("IMPORTRANGE(""https://docs.google.com/spreadsheets/d/1CaLR8gtRCp0-wyyH0y5IvQnenreOSKFOo8AF4Pfpekc/edit?gid=400822622#gid=400822622"", ""GRADE 11!H""&amp;ROW(H18))"),"")</f>
        <v/>
      </c>
      <c r="K21" s="119" t="str">
        <f>IFERROR(__xludf.DUMMYFUNCTION("IMPORTRANGE(""https://docs.google.com/spreadsheets/d/1CaLR8gtRCp0-wyyH0y5IvQnenreOSKFOo8AF4Pfpekc/edit?gid=400822622#gid=400822622"", ""GRADE 11!I""&amp;ROW(I18))"),"")</f>
        <v/>
      </c>
      <c r="L21" s="119" t="str">
        <f>IFERROR(__xludf.DUMMYFUNCTION("IMPORTRANGE(""https://docs.google.com/spreadsheets/d/1CaLR8gtRCp0-wyyH0y5IvQnenreOSKFOo8AF4Pfpekc/edit?gid=400822622#gid=400822622"", ""GRADE 11!J""&amp;ROW(J18))"),"")</f>
        <v/>
      </c>
      <c r="M21" s="119" t="str">
        <f>IFERROR(__xludf.DUMMYFUNCTION("IMPORTRANGE(""https://docs.google.com/spreadsheets/d/1CaLR8gtRCp0-wyyH0y5IvQnenreOSKFOo8AF4Pfpekc/edit?gid=400822622#gid=400822622"", ""GRADE 11!K""&amp;ROW(K18))"),"")</f>
        <v/>
      </c>
      <c r="N21" s="119" t="str">
        <f>IFERROR(__xludf.DUMMYFUNCTION("IMPORTRANGE(""https://docs.google.com/spreadsheets/d/1CaLR8gtRCp0-wyyH0y5IvQnenreOSKFOo8AF4Pfpekc/edit?gid=400822622#gid=400822622"", ""GRADE 11!L""&amp;ROW(L18))"),"")</f>
        <v/>
      </c>
      <c r="O21" s="119" t="str">
        <f>IFERROR(__xludf.DUMMYFUNCTION("IMPORTRANGE(""https://docs.google.com/spreadsheets/d/1CaLR8gtRCp0-wyyH0y5IvQnenreOSKFOo8AF4Pfpekc/edit?gid=400822622#gid=400822622"", ""GRADE 11!M""&amp;ROW(M18))"),"")</f>
        <v/>
      </c>
      <c r="P21" s="119" t="str">
        <f>IFERROR(__xludf.DUMMYFUNCTION("IMPORTRANGE(""https://docs.google.com/spreadsheets/d/1CaLR8gtRCp0-wyyH0y5IvQnenreOSKFOo8AF4Pfpekc/edit?gid=400822622#gid=400822622"", ""GRADE 11!N""&amp;ROW(N18))"),"")</f>
        <v/>
      </c>
      <c r="Q21" s="119" t="str">
        <f>IFERROR(__xludf.DUMMYFUNCTION("IMPORTRANGE(""https://docs.google.com/spreadsheets/d/1CaLR8gtRCp0-wyyH0y5IvQnenreOSKFOo8AF4Pfpekc/edit?gid=400822622#gid=400822622"", ""GRADE 11!O""&amp;ROW(O18))"),"")</f>
        <v/>
      </c>
      <c r="R21" s="119">
        <f>IFERROR(__xludf.DUMMYFUNCTION("IMPORTRANGE(""https://docs.google.com/spreadsheets/d/1CaLR8gtRCp0-wyyH0y5IvQnenreOSKFOo8AF4Pfpekc/edit?gid=400822622#gid=400822622"", ""GRADE 11!P""&amp;ROW(P18))"),0.0)</f>
        <v>0</v>
      </c>
      <c r="S21" s="119">
        <f>IFERROR(__xludf.DUMMYFUNCTION("IMPORTRANGE(""https://docs.google.com/spreadsheets/d/1CaLR8gtRCp0-wyyH0y5IvQnenreOSKFOo8AF4Pfpekc/edit?gid=400822622#gid=400822622"", ""GRADE 11!Q""&amp;ROW(Q18))"),0.0)</f>
        <v>0</v>
      </c>
      <c r="T21" s="119">
        <f>IFERROR(__xludf.DUMMYFUNCTION("IMPORTRANGE(""https://docs.google.com/spreadsheets/d/1CaLR8gtRCp0-wyyH0y5IvQnenreOSKFOo8AF4Pfpekc/edit?gid=400822622#gid=400822622"", ""GRADE 11!R""&amp;ROW(R18))"),0.0)</f>
        <v>0</v>
      </c>
      <c r="U21" s="119">
        <f>IFERROR(__xludf.DUMMYFUNCTION("IMPORTRANGE(""https://docs.google.com/spreadsheets/d/1CaLR8gtRCp0-wyyH0y5IvQnenreOSKFOo8AF4Pfpekc/edit?gid=400822622#gid=400822622"", ""GRADE 11!S""&amp;ROW(S18))"),0.0)</f>
        <v>0</v>
      </c>
      <c r="V21" s="119">
        <f>IFERROR(__xludf.DUMMYFUNCTION("IMPORTRANGE(""https://docs.google.com/spreadsheets/d/1CaLR8gtRCp0-wyyH0y5IvQnenreOSKFOo8AF4Pfpekc/edit?gid=400822622#gid=400822622"", ""GRADE 11!T""&amp;ROW(T18))"),0.0)</f>
        <v>0</v>
      </c>
      <c r="W21" s="119">
        <f>IFERROR(__xludf.DUMMYFUNCTION("IMPORTRANGE(""https://docs.google.com/spreadsheets/d/1CaLR8gtRCp0-wyyH0y5IvQnenreOSKFOo8AF4Pfpekc/edit?gid=400822622#gid=400822622"", ""GRADE 11!U""&amp;ROW(U18))"),0.0)</f>
        <v>0</v>
      </c>
      <c r="X21" s="119">
        <f>IFERROR(__xludf.DUMMYFUNCTION("IMPORTRANGE(""https://docs.google.com/spreadsheets/d/1CaLR8gtRCp0-wyyH0y5IvQnenreOSKFOo8AF4Pfpekc/edit?gid=400822622#gid=400822622"", ""GRADE 11!V""&amp;ROW(V18))"),0.0)</f>
        <v>0</v>
      </c>
      <c r="Y21" s="119">
        <f>IFERROR(__xludf.DUMMYFUNCTION("IMPORTRANGE(""https://docs.google.com/spreadsheets/d/1CaLR8gtRCp0-wyyH0y5IvQnenreOSKFOo8AF4Pfpekc/edit?gid=400822622#gid=400822622"", ""GRADE 11!W""&amp;ROW(W18))"),0.0)</f>
        <v>0</v>
      </c>
      <c r="Z21" s="120">
        <f>IFERROR(__xludf.DUMMYFUNCTION("IMPORTRANGE(""https://docs.google.com/spreadsheets/d/1CaLR8gtRCp0-wyyH0y5IvQnenreOSKFOo8AF4Pfpekc/edit?gid=400822622#gid=400822622"", ""GRADE 11!X""&amp;ROW(X18))"),8.0)</f>
        <v>8</v>
      </c>
      <c r="AA21" s="121">
        <f>IFERROR(__xludf.DUMMYFUNCTION("IMPORTRANGE(""https://docs.google.com/spreadsheets/d/1CaLR8gtRCp0-wyyH0y5IvQnenreOSKFOo8AF4Pfpekc/edit?gid=400822622#gid=400822622"", ""GRADE 11!Y""&amp;ROW(Y18))"),0.0)</f>
        <v>0</v>
      </c>
      <c r="AB21" s="39">
        <f>IFERROR(__xludf.DUMMYFUNCTION("IMPORTRANGE(""https://docs.google.com/spreadsheets/d/1CaLR8gtRCp0-wyyH0y5IvQnenreOSKFOo8AF4Pfpekc/edit?gid=400822622#gid=400822622"", ""GRADE 11!Z""&amp;ROW(Z18))"),0.0)</f>
        <v>0</v>
      </c>
    </row>
    <row r="22" ht="20.25" customHeight="1">
      <c r="A22" s="28" t="s">
        <v>19</v>
      </c>
      <c r="B22" s="29">
        <v>12.0</v>
      </c>
      <c r="C22" s="30" t="s">
        <v>46</v>
      </c>
      <c r="D22" s="118" t="s">
        <v>21</v>
      </c>
      <c r="E22" s="32" t="s">
        <v>47</v>
      </c>
      <c r="F22" s="32" t="s">
        <v>30</v>
      </c>
      <c r="G22" s="34">
        <v>16.0</v>
      </c>
      <c r="H22" s="34">
        <v>27.0</v>
      </c>
      <c r="I22" s="35">
        <f t="shared" si="1"/>
        <v>43</v>
      </c>
      <c r="J22" s="119" t="str">
        <f>IFERROR(__xludf.DUMMYFUNCTION("IMPORTRANGE(""https://docs.google.com/spreadsheets/d/1CaLR8gtRCp0-wyyH0y5IvQnenreOSKFOo8AF4Pfpekc/edit?gid=400822622#gid=400822622"", ""GRADE 11!H""&amp;ROW(H19))"),"")</f>
        <v/>
      </c>
      <c r="K22" s="119" t="str">
        <f>IFERROR(__xludf.DUMMYFUNCTION("IMPORTRANGE(""https://docs.google.com/spreadsheets/d/1CaLR8gtRCp0-wyyH0y5IvQnenreOSKFOo8AF4Pfpekc/edit?gid=400822622#gid=400822622"", ""GRADE 11!I""&amp;ROW(I19))"),"")</f>
        <v/>
      </c>
      <c r="L22" s="119" t="str">
        <f>IFERROR(__xludf.DUMMYFUNCTION("IMPORTRANGE(""https://docs.google.com/spreadsheets/d/1CaLR8gtRCp0-wyyH0y5IvQnenreOSKFOo8AF4Pfpekc/edit?gid=400822622#gid=400822622"", ""GRADE 11!J""&amp;ROW(J19))"),"")</f>
        <v/>
      </c>
      <c r="M22" s="119" t="str">
        <f>IFERROR(__xludf.DUMMYFUNCTION("IMPORTRANGE(""https://docs.google.com/spreadsheets/d/1CaLR8gtRCp0-wyyH0y5IvQnenreOSKFOo8AF4Pfpekc/edit?gid=400822622#gid=400822622"", ""GRADE 11!K""&amp;ROW(K19))"),"")</f>
        <v/>
      </c>
      <c r="N22" s="119" t="str">
        <f>IFERROR(__xludf.DUMMYFUNCTION("IMPORTRANGE(""https://docs.google.com/spreadsheets/d/1CaLR8gtRCp0-wyyH0y5IvQnenreOSKFOo8AF4Pfpekc/edit?gid=400822622#gid=400822622"", ""GRADE 11!L""&amp;ROW(L19))"),"")</f>
        <v/>
      </c>
      <c r="O22" s="119" t="str">
        <f>IFERROR(__xludf.DUMMYFUNCTION("IMPORTRANGE(""https://docs.google.com/spreadsheets/d/1CaLR8gtRCp0-wyyH0y5IvQnenreOSKFOo8AF4Pfpekc/edit?gid=400822622#gid=400822622"", ""GRADE 11!M""&amp;ROW(M19))"),"")</f>
        <v/>
      </c>
      <c r="P22" s="119" t="str">
        <f>IFERROR(__xludf.DUMMYFUNCTION("IMPORTRANGE(""https://docs.google.com/spreadsheets/d/1CaLR8gtRCp0-wyyH0y5IvQnenreOSKFOo8AF4Pfpekc/edit?gid=400822622#gid=400822622"", ""GRADE 11!N""&amp;ROW(N19))"),"")</f>
        <v/>
      </c>
      <c r="Q22" s="119" t="str">
        <f>IFERROR(__xludf.DUMMYFUNCTION("IMPORTRANGE(""https://docs.google.com/spreadsheets/d/1CaLR8gtRCp0-wyyH0y5IvQnenreOSKFOo8AF4Pfpekc/edit?gid=400822622#gid=400822622"", ""GRADE 11!O""&amp;ROW(O19))"),"")</f>
        <v/>
      </c>
      <c r="R22" s="119">
        <f>IFERROR(__xludf.DUMMYFUNCTION("IMPORTRANGE(""https://docs.google.com/spreadsheets/d/1CaLR8gtRCp0-wyyH0y5IvQnenreOSKFOo8AF4Pfpekc/edit?gid=400822622#gid=400822622"", ""GRADE 11!P""&amp;ROW(P19))"),0.0)</f>
        <v>0</v>
      </c>
      <c r="S22" s="119">
        <f>IFERROR(__xludf.DUMMYFUNCTION("IMPORTRANGE(""https://docs.google.com/spreadsheets/d/1CaLR8gtRCp0-wyyH0y5IvQnenreOSKFOo8AF4Pfpekc/edit?gid=400822622#gid=400822622"", ""GRADE 11!Q""&amp;ROW(Q19))"),0.0)</f>
        <v>0</v>
      </c>
      <c r="T22" s="119">
        <f>IFERROR(__xludf.DUMMYFUNCTION("IMPORTRANGE(""https://docs.google.com/spreadsheets/d/1CaLR8gtRCp0-wyyH0y5IvQnenreOSKFOo8AF4Pfpekc/edit?gid=400822622#gid=400822622"", ""GRADE 11!R""&amp;ROW(R19))"),0.0)</f>
        <v>0</v>
      </c>
      <c r="U22" s="119">
        <f>IFERROR(__xludf.DUMMYFUNCTION("IMPORTRANGE(""https://docs.google.com/spreadsheets/d/1CaLR8gtRCp0-wyyH0y5IvQnenreOSKFOo8AF4Pfpekc/edit?gid=400822622#gid=400822622"", ""GRADE 11!S""&amp;ROW(S19))"),0.0)</f>
        <v>0</v>
      </c>
      <c r="V22" s="119">
        <f>IFERROR(__xludf.DUMMYFUNCTION("IMPORTRANGE(""https://docs.google.com/spreadsheets/d/1CaLR8gtRCp0-wyyH0y5IvQnenreOSKFOo8AF4Pfpekc/edit?gid=400822622#gid=400822622"", ""GRADE 11!T""&amp;ROW(T19))"),0.0)</f>
        <v>0</v>
      </c>
      <c r="W22" s="119">
        <f>IFERROR(__xludf.DUMMYFUNCTION("IMPORTRANGE(""https://docs.google.com/spreadsheets/d/1CaLR8gtRCp0-wyyH0y5IvQnenreOSKFOo8AF4Pfpekc/edit?gid=400822622#gid=400822622"", ""GRADE 11!U""&amp;ROW(U19))"),0.0)</f>
        <v>0</v>
      </c>
      <c r="X22" s="119">
        <f>IFERROR(__xludf.DUMMYFUNCTION("IMPORTRANGE(""https://docs.google.com/spreadsheets/d/1CaLR8gtRCp0-wyyH0y5IvQnenreOSKFOo8AF4Pfpekc/edit?gid=400822622#gid=400822622"", ""GRADE 11!V""&amp;ROW(V19))"),0.0)</f>
        <v>0</v>
      </c>
      <c r="Y22" s="119">
        <f>IFERROR(__xludf.DUMMYFUNCTION("IMPORTRANGE(""https://docs.google.com/spreadsheets/d/1CaLR8gtRCp0-wyyH0y5IvQnenreOSKFOo8AF4Pfpekc/edit?gid=400822622#gid=400822622"", ""GRADE 11!W""&amp;ROW(W19))"),0.0)</f>
        <v>0</v>
      </c>
      <c r="Z22" s="120">
        <f>IFERROR(__xludf.DUMMYFUNCTION("IMPORTRANGE(""https://docs.google.com/spreadsheets/d/1CaLR8gtRCp0-wyyH0y5IvQnenreOSKFOo8AF4Pfpekc/edit?gid=400822622#gid=400822622"", ""GRADE 11!X""&amp;ROW(X19))"),8.0)</f>
        <v>8</v>
      </c>
      <c r="AA22" s="121">
        <f>IFERROR(__xludf.DUMMYFUNCTION("IMPORTRANGE(""https://docs.google.com/spreadsheets/d/1CaLR8gtRCp0-wyyH0y5IvQnenreOSKFOo8AF4Pfpekc/edit?gid=400822622#gid=400822622"", ""GRADE 11!Y""&amp;ROW(Y19))"),0.0)</f>
        <v>0</v>
      </c>
      <c r="AB22" s="39">
        <f>IFERROR(__xludf.DUMMYFUNCTION("IMPORTRANGE(""https://docs.google.com/spreadsheets/d/1CaLR8gtRCp0-wyyH0y5IvQnenreOSKFOo8AF4Pfpekc/edit?gid=400822622#gid=400822622"", ""GRADE 11!Z""&amp;ROW(Z19))"),0.0)</f>
        <v>0</v>
      </c>
    </row>
    <row r="23">
      <c r="A23" s="28" t="s">
        <v>19</v>
      </c>
      <c r="B23" s="29">
        <v>13.0</v>
      </c>
      <c r="C23" s="30" t="s">
        <v>48</v>
      </c>
      <c r="D23" s="118" t="s">
        <v>21</v>
      </c>
      <c r="E23" s="32" t="s">
        <v>49</v>
      </c>
      <c r="F23" s="32" t="s">
        <v>43</v>
      </c>
      <c r="G23" s="34">
        <v>15.0</v>
      </c>
      <c r="H23" s="34">
        <v>28.0</v>
      </c>
      <c r="I23" s="35">
        <f t="shared" si="1"/>
        <v>43</v>
      </c>
      <c r="J23" s="119" t="str">
        <f>IFERROR(__xludf.DUMMYFUNCTION("IMPORTRANGE(""https://docs.google.com/spreadsheets/d/1CaLR8gtRCp0-wyyH0y5IvQnenreOSKFOo8AF4Pfpekc/edit?gid=400822622#gid=400822622"", ""GRADE 11!H""&amp;ROW(H20))"),"")</f>
        <v/>
      </c>
      <c r="K23" s="119" t="str">
        <f>IFERROR(__xludf.DUMMYFUNCTION("IMPORTRANGE(""https://docs.google.com/spreadsheets/d/1CaLR8gtRCp0-wyyH0y5IvQnenreOSKFOo8AF4Pfpekc/edit?gid=400822622#gid=400822622"", ""GRADE 11!I""&amp;ROW(I20))"),"")</f>
        <v/>
      </c>
      <c r="L23" s="119" t="str">
        <f>IFERROR(__xludf.DUMMYFUNCTION("IMPORTRANGE(""https://docs.google.com/spreadsheets/d/1CaLR8gtRCp0-wyyH0y5IvQnenreOSKFOo8AF4Pfpekc/edit?gid=400822622#gid=400822622"", ""GRADE 11!J""&amp;ROW(J20))"),"")</f>
        <v/>
      </c>
      <c r="M23" s="119" t="str">
        <f>IFERROR(__xludf.DUMMYFUNCTION("IMPORTRANGE(""https://docs.google.com/spreadsheets/d/1CaLR8gtRCp0-wyyH0y5IvQnenreOSKFOo8AF4Pfpekc/edit?gid=400822622#gid=400822622"", ""GRADE 11!K""&amp;ROW(K20))"),"")</f>
        <v/>
      </c>
      <c r="N23" s="119" t="str">
        <f>IFERROR(__xludf.DUMMYFUNCTION("IMPORTRANGE(""https://docs.google.com/spreadsheets/d/1CaLR8gtRCp0-wyyH0y5IvQnenreOSKFOo8AF4Pfpekc/edit?gid=400822622#gid=400822622"", ""GRADE 11!L""&amp;ROW(L20))"),"")</f>
        <v/>
      </c>
      <c r="O23" s="119" t="str">
        <f>IFERROR(__xludf.DUMMYFUNCTION("IMPORTRANGE(""https://docs.google.com/spreadsheets/d/1CaLR8gtRCp0-wyyH0y5IvQnenreOSKFOo8AF4Pfpekc/edit?gid=400822622#gid=400822622"", ""GRADE 11!M""&amp;ROW(M20))"),"")</f>
        <v/>
      </c>
      <c r="P23" s="119" t="str">
        <f>IFERROR(__xludf.DUMMYFUNCTION("IMPORTRANGE(""https://docs.google.com/spreadsheets/d/1CaLR8gtRCp0-wyyH0y5IvQnenreOSKFOo8AF4Pfpekc/edit?gid=400822622#gid=400822622"", ""GRADE 11!N""&amp;ROW(N20))"),"")</f>
        <v/>
      </c>
      <c r="Q23" s="119" t="str">
        <f>IFERROR(__xludf.DUMMYFUNCTION("IMPORTRANGE(""https://docs.google.com/spreadsheets/d/1CaLR8gtRCp0-wyyH0y5IvQnenreOSKFOo8AF4Pfpekc/edit?gid=400822622#gid=400822622"", ""GRADE 11!O""&amp;ROW(O20))"),"")</f>
        <v/>
      </c>
      <c r="R23" s="119">
        <f>IFERROR(__xludf.DUMMYFUNCTION("IMPORTRANGE(""https://docs.google.com/spreadsheets/d/1CaLR8gtRCp0-wyyH0y5IvQnenreOSKFOo8AF4Pfpekc/edit?gid=400822622#gid=400822622"", ""GRADE 11!P""&amp;ROW(P20))"),0.0)</f>
        <v>0</v>
      </c>
      <c r="S23" s="119">
        <f>IFERROR(__xludf.DUMMYFUNCTION("IMPORTRANGE(""https://docs.google.com/spreadsheets/d/1CaLR8gtRCp0-wyyH0y5IvQnenreOSKFOo8AF4Pfpekc/edit?gid=400822622#gid=400822622"", ""GRADE 11!Q""&amp;ROW(Q20))"),0.0)</f>
        <v>0</v>
      </c>
      <c r="T23" s="119">
        <f>IFERROR(__xludf.DUMMYFUNCTION("IMPORTRANGE(""https://docs.google.com/spreadsheets/d/1CaLR8gtRCp0-wyyH0y5IvQnenreOSKFOo8AF4Pfpekc/edit?gid=400822622#gid=400822622"", ""GRADE 11!R""&amp;ROW(R20))"),0.0)</f>
        <v>0</v>
      </c>
      <c r="U23" s="119">
        <f>IFERROR(__xludf.DUMMYFUNCTION("IMPORTRANGE(""https://docs.google.com/spreadsheets/d/1CaLR8gtRCp0-wyyH0y5IvQnenreOSKFOo8AF4Pfpekc/edit?gid=400822622#gid=400822622"", ""GRADE 11!S""&amp;ROW(S20))"),0.0)</f>
        <v>0</v>
      </c>
      <c r="V23" s="119">
        <f>IFERROR(__xludf.DUMMYFUNCTION("IMPORTRANGE(""https://docs.google.com/spreadsheets/d/1CaLR8gtRCp0-wyyH0y5IvQnenreOSKFOo8AF4Pfpekc/edit?gid=400822622#gid=400822622"", ""GRADE 11!T""&amp;ROW(T20))"),0.0)</f>
        <v>0</v>
      </c>
      <c r="W23" s="119">
        <f>IFERROR(__xludf.DUMMYFUNCTION("IMPORTRANGE(""https://docs.google.com/spreadsheets/d/1CaLR8gtRCp0-wyyH0y5IvQnenreOSKFOo8AF4Pfpekc/edit?gid=400822622#gid=400822622"", ""GRADE 11!U""&amp;ROW(U20))"),0.0)</f>
        <v>0</v>
      </c>
      <c r="X23" s="119">
        <f>IFERROR(__xludf.DUMMYFUNCTION("IMPORTRANGE(""https://docs.google.com/spreadsheets/d/1CaLR8gtRCp0-wyyH0y5IvQnenreOSKFOo8AF4Pfpekc/edit?gid=400822622#gid=400822622"", ""GRADE 11!V""&amp;ROW(V20))"),0.0)</f>
        <v>0</v>
      </c>
      <c r="Y23" s="119">
        <f>IFERROR(__xludf.DUMMYFUNCTION("IMPORTRANGE(""https://docs.google.com/spreadsheets/d/1CaLR8gtRCp0-wyyH0y5IvQnenreOSKFOo8AF4Pfpekc/edit?gid=400822622#gid=400822622"", ""GRADE 11!W""&amp;ROW(W20))"),0.0)</f>
        <v>0</v>
      </c>
      <c r="Z23" s="120">
        <f>IFERROR(__xludf.DUMMYFUNCTION("IMPORTRANGE(""https://docs.google.com/spreadsheets/d/1CaLR8gtRCp0-wyyH0y5IvQnenreOSKFOo8AF4Pfpekc/edit?gid=400822622#gid=400822622"", ""GRADE 11!X""&amp;ROW(X20))"),8.0)</f>
        <v>8</v>
      </c>
      <c r="AA23" s="121">
        <f>IFERROR(__xludf.DUMMYFUNCTION("IMPORTRANGE(""https://docs.google.com/spreadsheets/d/1CaLR8gtRCp0-wyyH0y5IvQnenreOSKFOo8AF4Pfpekc/edit?gid=400822622#gid=400822622"", ""GRADE 11!Y""&amp;ROW(Y20))"),0.0)</f>
        <v>0</v>
      </c>
      <c r="AB23" s="39">
        <f>IFERROR(__xludf.DUMMYFUNCTION("IMPORTRANGE(""https://docs.google.com/spreadsheets/d/1CaLR8gtRCp0-wyyH0y5IvQnenreOSKFOo8AF4Pfpekc/edit?gid=400822622#gid=400822622"", ""GRADE 11!Z""&amp;ROW(Z20))"),0.0)</f>
        <v>0</v>
      </c>
    </row>
    <row r="24">
      <c r="A24" s="28" t="s">
        <v>19</v>
      </c>
      <c r="B24" s="29">
        <v>14.0</v>
      </c>
      <c r="C24" s="30" t="s">
        <v>50</v>
      </c>
      <c r="D24" s="118" t="s">
        <v>21</v>
      </c>
      <c r="E24" s="32" t="s">
        <v>51</v>
      </c>
      <c r="F24" s="32" t="s">
        <v>21</v>
      </c>
      <c r="G24" s="34">
        <v>19.0</v>
      </c>
      <c r="H24" s="34">
        <v>24.0</v>
      </c>
      <c r="I24" s="35">
        <f t="shared" si="1"/>
        <v>43</v>
      </c>
      <c r="J24" s="119" t="str">
        <f>IFERROR(__xludf.DUMMYFUNCTION("IMPORTRANGE(""https://docs.google.com/spreadsheets/d/1CaLR8gtRCp0-wyyH0y5IvQnenreOSKFOo8AF4Pfpekc/edit?gid=400822622#gid=400822622"", ""GRADE 11!H""&amp;ROW(H21))"),"")</f>
        <v/>
      </c>
      <c r="K24" s="119" t="str">
        <f>IFERROR(__xludf.DUMMYFUNCTION("IMPORTRANGE(""https://docs.google.com/spreadsheets/d/1CaLR8gtRCp0-wyyH0y5IvQnenreOSKFOo8AF4Pfpekc/edit?gid=400822622#gid=400822622"", ""GRADE 11!I""&amp;ROW(I21))"),"")</f>
        <v/>
      </c>
      <c r="L24" s="119" t="str">
        <f>IFERROR(__xludf.DUMMYFUNCTION("IMPORTRANGE(""https://docs.google.com/spreadsheets/d/1CaLR8gtRCp0-wyyH0y5IvQnenreOSKFOo8AF4Pfpekc/edit?gid=400822622#gid=400822622"", ""GRADE 11!J""&amp;ROW(J21))"),"")</f>
        <v/>
      </c>
      <c r="M24" s="119" t="str">
        <f>IFERROR(__xludf.DUMMYFUNCTION("IMPORTRANGE(""https://docs.google.com/spreadsheets/d/1CaLR8gtRCp0-wyyH0y5IvQnenreOSKFOo8AF4Pfpekc/edit?gid=400822622#gid=400822622"", ""GRADE 11!K""&amp;ROW(K21))"),"")</f>
        <v/>
      </c>
      <c r="N24" s="119" t="str">
        <f>IFERROR(__xludf.DUMMYFUNCTION("IMPORTRANGE(""https://docs.google.com/spreadsheets/d/1CaLR8gtRCp0-wyyH0y5IvQnenreOSKFOo8AF4Pfpekc/edit?gid=400822622#gid=400822622"", ""GRADE 11!L""&amp;ROW(L21))"),"")</f>
        <v/>
      </c>
      <c r="O24" s="119" t="str">
        <f>IFERROR(__xludf.DUMMYFUNCTION("IMPORTRANGE(""https://docs.google.com/spreadsheets/d/1CaLR8gtRCp0-wyyH0y5IvQnenreOSKFOo8AF4Pfpekc/edit?gid=400822622#gid=400822622"", ""GRADE 11!M""&amp;ROW(M21))"),"")</f>
        <v/>
      </c>
      <c r="P24" s="119" t="str">
        <f>IFERROR(__xludf.DUMMYFUNCTION("IMPORTRANGE(""https://docs.google.com/spreadsheets/d/1CaLR8gtRCp0-wyyH0y5IvQnenreOSKFOo8AF4Pfpekc/edit?gid=400822622#gid=400822622"", ""GRADE 11!N""&amp;ROW(N21))"),"")</f>
        <v/>
      </c>
      <c r="Q24" s="119" t="str">
        <f>IFERROR(__xludf.DUMMYFUNCTION("IMPORTRANGE(""https://docs.google.com/spreadsheets/d/1CaLR8gtRCp0-wyyH0y5IvQnenreOSKFOo8AF4Pfpekc/edit?gid=400822622#gid=400822622"", ""GRADE 11!O""&amp;ROW(O21))"),"")</f>
        <v/>
      </c>
      <c r="R24" s="119">
        <f>IFERROR(__xludf.DUMMYFUNCTION("IMPORTRANGE(""https://docs.google.com/spreadsheets/d/1CaLR8gtRCp0-wyyH0y5IvQnenreOSKFOo8AF4Pfpekc/edit?gid=400822622#gid=400822622"", ""GRADE 11!P""&amp;ROW(P21))"),0.0)</f>
        <v>0</v>
      </c>
      <c r="S24" s="119">
        <f>IFERROR(__xludf.DUMMYFUNCTION("IMPORTRANGE(""https://docs.google.com/spreadsheets/d/1CaLR8gtRCp0-wyyH0y5IvQnenreOSKFOo8AF4Pfpekc/edit?gid=400822622#gid=400822622"", ""GRADE 11!Q""&amp;ROW(Q21))"),0.0)</f>
        <v>0</v>
      </c>
      <c r="T24" s="119">
        <f>IFERROR(__xludf.DUMMYFUNCTION("IMPORTRANGE(""https://docs.google.com/spreadsheets/d/1CaLR8gtRCp0-wyyH0y5IvQnenreOSKFOo8AF4Pfpekc/edit?gid=400822622#gid=400822622"", ""GRADE 11!R""&amp;ROW(R21))"),0.0)</f>
        <v>0</v>
      </c>
      <c r="U24" s="119">
        <f>IFERROR(__xludf.DUMMYFUNCTION("IMPORTRANGE(""https://docs.google.com/spreadsheets/d/1CaLR8gtRCp0-wyyH0y5IvQnenreOSKFOo8AF4Pfpekc/edit?gid=400822622#gid=400822622"", ""GRADE 11!S""&amp;ROW(S21))"),0.0)</f>
        <v>0</v>
      </c>
      <c r="V24" s="119">
        <f>IFERROR(__xludf.DUMMYFUNCTION("IMPORTRANGE(""https://docs.google.com/spreadsheets/d/1CaLR8gtRCp0-wyyH0y5IvQnenreOSKFOo8AF4Pfpekc/edit?gid=400822622#gid=400822622"", ""GRADE 11!T""&amp;ROW(T21))"),0.0)</f>
        <v>0</v>
      </c>
      <c r="W24" s="119">
        <f>IFERROR(__xludf.DUMMYFUNCTION("IMPORTRANGE(""https://docs.google.com/spreadsheets/d/1CaLR8gtRCp0-wyyH0y5IvQnenreOSKFOo8AF4Pfpekc/edit?gid=400822622#gid=400822622"", ""GRADE 11!U""&amp;ROW(U21))"),0.0)</f>
        <v>0</v>
      </c>
      <c r="X24" s="119">
        <f>IFERROR(__xludf.DUMMYFUNCTION("IMPORTRANGE(""https://docs.google.com/spreadsheets/d/1CaLR8gtRCp0-wyyH0y5IvQnenreOSKFOo8AF4Pfpekc/edit?gid=400822622#gid=400822622"", ""GRADE 11!V""&amp;ROW(V21))"),0.0)</f>
        <v>0</v>
      </c>
      <c r="Y24" s="119">
        <f>IFERROR(__xludf.DUMMYFUNCTION("IMPORTRANGE(""https://docs.google.com/spreadsheets/d/1CaLR8gtRCp0-wyyH0y5IvQnenreOSKFOo8AF4Pfpekc/edit?gid=400822622#gid=400822622"", ""GRADE 11!W""&amp;ROW(W21))"),0.0)</f>
        <v>0</v>
      </c>
      <c r="Z24" s="120">
        <f>IFERROR(__xludf.DUMMYFUNCTION("IMPORTRANGE(""https://docs.google.com/spreadsheets/d/1CaLR8gtRCp0-wyyH0y5IvQnenreOSKFOo8AF4Pfpekc/edit?gid=400822622#gid=400822622"", ""GRADE 11!X""&amp;ROW(X21))"),8.0)</f>
        <v>8</v>
      </c>
      <c r="AA24" s="121">
        <f>IFERROR(__xludf.DUMMYFUNCTION("IMPORTRANGE(""https://docs.google.com/spreadsheets/d/1CaLR8gtRCp0-wyyH0y5IvQnenreOSKFOo8AF4Pfpekc/edit?gid=400822622#gid=400822622"", ""GRADE 11!Y""&amp;ROW(Y21))"),0.0)</f>
        <v>0</v>
      </c>
      <c r="AB24" s="39">
        <f>IFERROR(__xludf.DUMMYFUNCTION("IMPORTRANGE(""https://docs.google.com/spreadsheets/d/1CaLR8gtRCp0-wyyH0y5IvQnenreOSKFOo8AF4Pfpekc/edit?gid=400822622#gid=400822622"", ""GRADE 11!Z""&amp;ROW(Z21))"),0.0)</f>
        <v>0</v>
      </c>
    </row>
    <row r="25">
      <c r="A25" s="28" t="s">
        <v>19</v>
      </c>
      <c r="B25" s="29">
        <v>15.0</v>
      </c>
      <c r="C25" s="30" t="s">
        <v>52</v>
      </c>
      <c r="D25" s="118" t="s">
        <v>21</v>
      </c>
      <c r="E25" s="32" t="s">
        <v>53</v>
      </c>
      <c r="F25" s="32" t="s">
        <v>21</v>
      </c>
      <c r="G25" s="34">
        <v>17.0</v>
      </c>
      <c r="H25" s="34">
        <v>25.0</v>
      </c>
      <c r="I25" s="35">
        <f t="shared" si="1"/>
        <v>42</v>
      </c>
      <c r="J25" s="119" t="str">
        <f>IFERROR(__xludf.DUMMYFUNCTION("IMPORTRANGE(""https://docs.google.com/spreadsheets/d/1CaLR8gtRCp0-wyyH0y5IvQnenreOSKFOo8AF4Pfpekc/edit?gid=400822622#gid=400822622"", ""GRADE 11!H""&amp;ROW(H22))"),"")</f>
        <v/>
      </c>
      <c r="K25" s="119" t="str">
        <f>IFERROR(__xludf.DUMMYFUNCTION("IMPORTRANGE(""https://docs.google.com/spreadsheets/d/1CaLR8gtRCp0-wyyH0y5IvQnenreOSKFOo8AF4Pfpekc/edit?gid=400822622#gid=400822622"", ""GRADE 11!I""&amp;ROW(I22))"),"")</f>
        <v/>
      </c>
      <c r="L25" s="119" t="str">
        <f>IFERROR(__xludf.DUMMYFUNCTION("IMPORTRANGE(""https://docs.google.com/spreadsheets/d/1CaLR8gtRCp0-wyyH0y5IvQnenreOSKFOo8AF4Pfpekc/edit?gid=400822622#gid=400822622"", ""GRADE 11!J""&amp;ROW(J22))"),"")</f>
        <v/>
      </c>
      <c r="M25" s="119" t="str">
        <f>IFERROR(__xludf.DUMMYFUNCTION("IMPORTRANGE(""https://docs.google.com/spreadsheets/d/1CaLR8gtRCp0-wyyH0y5IvQnenreOSKFOo8AF4Pfpekc/edit?gid=400822622#gid=400822622"", ""GRADE 11!K""&amp;ROW(K22))"),"")</f>
        <v/>
      </c>
      <c r="N25" s="119" t="str">
        <f>IFERROR(__xludf.DUMMYFUNCTION("IMPORTRANGE(""https://docs.google.com/spreadsheets/d/1CaLR8gtRCp0-wyyH0y5IvQnenreOSKFOo8AF4Pfpekc/edit?gid=400822622#gid=400822622"", ""GRADE 11!L""&amp;ROW(L22))"),"")</f>
        <v/>
      </c>
      <c r="O25" s="119" t="str">
        <f>IFERROR(__xludf.DUMMYFUNCTION("IMPORTRANGE(""https://docs.google.com/spreadsheets/d/1CaLR8gtRCp0-wyyH0y5IvQnenreOSKFOo8AF4Pfpekc/edit?gid=400822622#gid=400822622"", ""GRADE 11!M""&amp;ROW(M22))"),"")</f>
        <v/>
      </c>
      <c r="P25" s="119" t="str">
        <f>IFERROR(__xludf.DUMMYFUNCTION("IMPORTRANGE(""https://docs.google.com/spreadsheets/d/1CaLR8gtRCp0-wyyH0y5IvQnenreOSKFOo8AF4Pfpekc/edit?gid=400822622#gid=400822622"", ""GRADE 11!N""&amp;ROW(N22))"),"")</f>
        <v/>
      </c>
      <c r="Q25" s="119" t="str">
        <f>IFERROR(__xludf.DUMMYFUNCTION("IMPORTRANGE(""https://docs.google.com/spreadsheets/d/1CaLR8gtRCp0-wyyH0y5IvQnenreOSKFOo8AF4Pfpekc/edit?gid=400822622#gid=400822622"", ""GRADE 11!O""&amp;ROW(O22))"),"")</f>
        <v/>
      </c>
      <c r="R25" s="119">
        <f>IFERROR(__xludf.DUMMYFUNCTION("IMPORTRANGE(""https://docs.google.com/spreadsheets/d/1CaLR8gtRCp0-wyyH0y5IvQnenreOSKFOo8AF4Pfpekc/edit?gid=400822622#gid=400822622"", ""GRADE 11!P""&amp;ROW(P22))"),0.0)</f>
        <v>0</v>
      </c>
      <c r="S25" s="119">
        <f>IFERROR(__xludf.DUMMYFUNCTION("IMPORTRANGE(""https://docs.google.com/spreadsheets/d/1CaLR8gtRCp0-wyyH0y5IvQnenreOSKFOo8AF4Pfpekc/edit?gid=400822622#gid=400822622"", ""GRADE 11!Q""&amp;ROW(Q22))"),0.0)</f>
        <v>0</v>
      </c>
      <c r="T25" s="119">
        <f>IFERROR(__xludf.DUMMYFUNCTION("IMPORTRANGE(""https://docs.google.com/spreadsheets/d/1CaLR8gtRCp0-wyyH0y5IvQnenreOSKFOo8AF4Pfpekc/edit?gid=400822622#gid=400822622"", ""GRADE 11!R""&amp;ROW(R22))"),0.0)</f>
        <v>0</v>
      </c>
      <c r="U25" s="119">
        <f>IFERROR(__xludf.DUMMYFUNCTION("IMPORTRANGE(""https://docs.google.com/spreadsheets/d/1CaLR8gtRCp0-wyyH0y5IvQnenreOSKFOo8AF4Pfpekc/edit?gid=400822622#gid=400822622"", ""GRADE 11!S""&amp;ROW(S22))"),0.0)</f>
        <v>0</v>
      </c>
      <c r="V25" s="119">
        <f>IFERROR(__xludf.DUMMYFUNCTION("IMPORTRANGE(""https://docs.google.com/spreadsheets/d/1CaLR8gtRCp0-wyyH0y5IvQnenreOSKFOo8AF4Pfpekc/edit?gid=400822622#gid=400822622"", ""GRADE 11!T""&amp;ROW(T22))"),0.0)</f>
        <v>0</v>
      </c>
      <c r="W25" s="119">
        <f>IFERROR(__xludf.DUMMYFUNCTION("IMPORTRANGE(""https://docs.google.com/spreadsheets/d/1CaLR8gtRCp0-wyyH0y5IvQnenreOSKFOo8AF4Pfpekc/edit?gid=400822622#gid=400822622"", ""GRADE 11!U""&amp;ROW(U22))"),0.0)</f>
        <v>0</v>
      </c>
      <c r="X25" s="119">
        <f>IFERROR(__xludf.DUMMYFUNCTION("IMPORTRANGE(""https://docs.google.com/spreadsheets/d/1CaLR8gtRCp0-wyyH0y5IvQnenreOSKFOo8AF4Pfpekc/edit?gid=400822622#gid=400822622"", ""GRADE 11!V""&amp;ROW(V22))"),0.0)</f>
        <v>0</v>
      </c>
      <c r="Y25" s="119">
        <f>IFERROR(__xludf.DUMMYFUNCTION("IMPORTRANGE(""https://docs.google.com/spreadsheets/d/1CaLR8gtRCp0-wyyH0y5IvQnenreOSKFOo8AF4Pfpekc/edit?gid=400822622#gid=400822622"", ""GRADE 11!W""&amp;ROW(W22))"),0.0)</f>
        <v>0</v>
      </c>
      <c r="Z25" s="120">
        <f>IFERROR(__xludf.DUMMYFUNCTION("IMPORTRANGE(""https://docs.google.com/spreadsheets/d/1CaLR8gtRCp0-wyyH0y5IvQnenreOSKFOo8AF4Pfpekc/edit?gid=400822622#gid=400822622"", ""GRADE 11!X""&amp;ROW(X22))"),8.0)</f>
        <v>8</v>
      </c>
      <c r="AA25" s="121">
        <f>IFERROR(__xludf.DUMMYFUNCTION("IMPORTRANGE(""https://docs.google.com/spreadsheets/d/1CaLR8gtRCp0-wyyH0y5IvQnenreOSKFOo8AF4Pfpekc/edit?gid=400822622#gid=400822622"", ""GRADE 11!Y""&amp;ROW(Y22))"),0.0)</f>
        <v>0</v>
      </c>
      <c r="AB25" s="39">
        <f>IFERROR(__xludf.DUMMYFUNCTION("IMPORTRANGE(""https://docs.google.com/spreadsheets/d/1CaLR8gtRCp0-wyyH0y5IvQnenreOSKFOo8AF4Pfpekc/edit?gid=400822622#gid=400822622"", ""GRADE 11!Z""&amp;ROW(Z22))"),0.0)</f>
        <v>0</v>
      </c>
    </row>
    <row r="26">
      <c r="A26" s="28" t="s">
        <v>19</v>
      </c>
      <c r="B26" s="29">
        <v>16.0</v>
      </c>
      <c r="C26" s="30" t="s">
        <v>54</v>
      </c>
      <c r="D26" s="118" t="s">
        <v>55</v>
      </c>
      <c r="E26" s="32" t="s">
        <v>56</v>
      </c>
      <c r="F26" s="32" t="s">
        <v>27</v>
      </c>
      <c r="G26" s="34">
        <v>19.0</v>
      </c>
      <c r="H26" s="34">
        <v>25.0</v>
      </c>
      <c r="I26" s="35">
        <f t="shared" si="1"/>
        <v>44</v>
      </c>
      <c r="J26" s="119">
        <f>IFERROR(__xludf.DUMMYFUNCTION("IMPORTRANGE(""https://docs.google.com/spreadsheets/d/1CaLR8gtRCp0-wyyH0y5IvQnenreOSKFOo8AF4Pfpekc/edit?gid=400822622#gid=400822622"", ""GRADE 11!H""&amp;ROW(H23))"),0.0)</f>
        <v>0</v>
      </c>
      <c r="K26" s="119">
        <f>IFERROR(__xludf.DUMMYFUNCTION("IMPORTRANGE(""https://docs.google.com/spreadsheets/d/1CaLR8gtRCp0-wyyH0y5IvQnenreOSKFOo8AF4Pfpekc/edit?gid=400822622#gid=400822622"", ""GRADE 11!I""&amp;ROW(I23))"),0.0)</f>
        <v>0</v>
      </c>
      <c r="L26" s="119">
        <f>IFERROR(__xludf.DUMMYFUNCTION("IMPORTRANGE(""https://docs.google.com/spreadsheets/d/1CaLR8gtRCp0-wyyH0y5IvQnenreOSKFOo8AF4Pfpekc/edit?gid=400822622#gid=400822622"", ""GRADE 11!J""&amp;ROW(J23))"),0.0)</f>
        <v>0</v>
      </c>
      <c r="M26" s="119">
        <f>IFERROR(__xludf.DUMMYFUNCTION("IMPORTRANGE(""https://docs.google.com/spreadsheets/d/1CaLR8gtRCp0-wyyH0y5IvQnenreOSKFOo8AF4Pfpekc/edit?gid=400822622#gid=400822622"", ""GRADE 11!K""&amp;ROW(K23))"),0.0)</f>
        <v>0</v>
      </c>
      <c r="N26" s="119">
        <f>IFERROR(__xludf.DUMMYFUNCTION("IMPORTRANGE(""https://docs.google.com/spreadsheets/d/1CaLR8gtRCp0-wyyH0y5IvQnenreOSKFOo8AF4Pfpekc/edit?gid=400822622#gid=400822622"", ""GRADE 11!L""&amp;ROW(L23))"),0.0)</f>
        <v>0</v>
      </c>
      <c r="O26" s="119">
        <f>IFERROR(__xludf.DUMMYFUNCTION("IMPORTRANGE(""https://docs.google.com/spreadsheets/d/1CaLR8gtRCp0-wyyH0y5IvQnenreOSKFOo8AF4Pfpekc/edit?gid=400822622#gid=400822622"", ""GRADE 11!M""&amp;ROW(M23))"),0.0)</f>
        <v>0</v>
      </c>
      <c r="P26" s="119">
        <f>IFERROR(__xludf.DUMMYFUNCTION("IMPORTRANGE(""https://docs.google.com/spreadsheets/d/1CaLR8gtRCp0-wyyH0y5IvQnenreOSKFOo8AF4Pfpekc/edit?gid=400822622#gid=400822622"", ""GRADE 11!N""&amp;ROW(N23))"),0.0)</f>
        <v>0</v>
      </c>
      <c r="Q26" s="119">
        <f>IFERROR(__xludf.DUMMYFUNCTION("IMPORTRANGE(""https://docs.google.com/spreadsheets/d/1CaLR8gtRCp0-wyyH0y5IvQnenreOSKFOo8AF4Pfpekc/edit?gid=400822622#gid=400822622"", ""GRADE 11!O""&amp;ROW(O23))"),0.0)</f>
        <v>0</v>
      </c>
      <c r="R26" s="119" t="str">
        <f>IFERROR(__xludf.DUMMYFUNCTION("IMPORTRANGE(""https://docs.google.com/spreadsheets/d/1CaLR8gtRCp0-wyyH0y5IvQnenreOSKFOo8AF4Pfpekc/edit?gid=400822622#gid=400822622"", ""GRADE 11!P""&amp;ROW(P23))"),"")</f>
        <v/>
      </c>
      <c r="S26" s="119" t="str">
        <f>IFERROR(__xludf.DUMMYFUNCTION("IMPORTRANGE(""https://docs.google.com/spreadsheets/d/1CaLR8gtRCp0-wyyH0y5IvQnenreOSKFOo8AF4Pfpekc/edit?gid=400822622#gid=400822622"", ""GRADE 11!Q""&amp;ROW(Q23))"),"")</f>
        <v/>
      </c>
      <c r="T26" s="119" t="str">
        <f>IFERROR(__xludf.DUMMYFUNCTION("IMPORTRANGE(""https://docs.google.com/spreadsheets/d/1CaLR8gtRCp0-wyyH0y5IvQnenreOSKFOo8AF4Pfpekc/edit?gid=400822622#gid=400822622"", ""GRADE 11!R""&amp;ROW(R23))"),"")</f>
        <v/>
      </c>
      <c r="U26" s="119" t="str">
        <f>IFERROR(__xludf.DUMMYFUNCTION("IMPORTRANGE(""https://docs.google.com/spreadsheets/d/1CaLR8gtRCp0-wyyH0y5IvQnenreOSKFOo8AF4Pfpekc/edit?gid=400822622#gid=400822622"", ""GRADE 11!S""&amp;ROW(S23))"),"")</f>
        <v/>
      </c>
      <c r="V26" s="119" t="str">
        <f>IFERROR(__xludf.DUMMYFUNCTION("IMPORTRANGE(""https://docs.google.com/spreadsheets/d/1CaLR8gtRCp0-wyyH0y5IvQnenreOSKFOo8AF4Pfpekc/edit?gid=400822622#gid=400822622"", ""GRADE 11!T""&amp;ROW(T23))"),"")</f>
        <v/>
      </c>
      <c r="W26" s="119" t="str">
        <f>IFERROR(__xludf.DUMMYFUNCTION("IMPORTRANGE(""https://docs.google.com/spreadsheets/d/1CaLR8gtRCp0-wyyH0y5IvQnenreOSKFOo8AF4Pfpekc/edit?gid=400822622#gid=400822622"", ""GRADE 11!U""&amp;ROW(U23))"),"")</f>
        <v/>
      </c>
      <c r="X26" s="119">
        <f>IFERROR(__xludf.DUMMYFUNCTION("IMPORTRANGE(""https://docs.google.com/spreadsheets/d/1CaLR8gtRCp0-wyyH0y5IvQnenreOSKFOo8AF4Pfpekc/edit?gid=400822622#gid=400822622"", ""GRADE 11!V""&amp;ROW(V23))"),0.0)</f>
        <v>0</v>
      </c>
      <c r="Y26" s="119" t="str">
        <f>IFERROR(__xludf.DUMMYFUNCTION("IMPORTRANGE(""https://docs.google.com/spreadsheets/d/1CaLR8gtRCp0-wyyH0y5IvQnenreOSKFOo8AF4Pfpekc/edit?gid=400822622#gid=400822622"", ""GRADE 11!W""&amp;ROW(W23))"),"")</f>
        <v/>
      </c>
      <c r="Z26" s="120">
        <f>IFERROR(__xludf.DUMMYFUNCTION("IMPORTRANGE(""https://docs.google.com/spreadsheets/d/1CaLR8gtRCp0-wyyH0y5IvQnenreOSKFOo8AF4Pfpekc/edit?gid=400822622#gid=400822622"", ""GRADE 11!X""&amp;ROW(X23))"),9.0)</f>
        <v>9</v>
      </c>
      <c r="AA26" s="121">
        <f>IFERROR(__xludf.DUMMYFUNCTION("IMPORTRANGE(""https://docs.google.com/spreadsheets/d/1CaLR8gtRCp0-wyyH0y5IvQnenreOSKFOo8AF4Pfpekc/edit?gid=400822622#gid=400822622"", ""GRADE 11!Y""&amp;ROW(Y23))"),0.0)</f>
        <v>0</v>
      </c>
      <c r="AB26" s="39">
        <f>IFERROR(__xludf.DUMMYFUNCTION("IMPORTRANGE(""https://docs.google.com/spreadsheets/d/1CaLR8gtRCp0-wyyH0y5IvQnenreOSKFOo8AF4Pfpekc/edit?gid=400822622#gid=400822622"", ""GRADE 11!Z""&amp;ROW(Z23))"),0.0)</f>
        <v>0</v>
      </c>
    </row>
    <row r="27">
      <c r="A27" s="28" t="s">
        <v>19</v>
      </c>
      <c r="B27" s="29">
        <v>17.0</v>
      </c>
      <c r="C27" s="30" t="s">
        <v>57</v>
      </c>
      <c r="D27" s="118" t="s">
        <v>55</v>
      </c>
      <c r="E27" s="32" t="s">
        <v>58</v>
      </c>
      <c r="F27" s="32" t="s">
        <v>27</v>
      </c>
      <c r="G27" s="34">
        <v>18.0</v>
      </c>
      <c r="H27" s="34">
        <v>15.0</v>
      </c>
      <c r="I27" s="35">
        <f t="shared" si="1"/>
        <v>33</v>
      </c>
      <c r="J27" s="119">
        <f>IFERROR(__xludf.DUMMYFUNCTION("IMPORTRANGE(""https://docs.google.com/spreadsheets/d/1CaLR8gtRCp0-wyyH0y5IvQnenreOSKFOo8AF4Pfpekc/edit?gid=400822622#gid=400822622"", ""GRADE 11!H""&amp;ROW(H24))"),0.0)</f>
        <v>0</v>
      </c>
      <c r="K27" s="119">
        <f>IFERROR(__xludf.DUMMYFUNCTION("IMPORTRANGE(""https://docs.google.com/spreadsheets/d/1CaLR8gtRCp0-wyyH0y5IvQnenreOSKFOo8AF4Pfpekc/edit?gid=400822622#gid=400822622"", ""GRADE 11!I""&amp;ROW(I24))"),0.0)</f>
        <v>0</v>
      </c>
      <c r="L27" s="119">
        <f>IFERROR(__xludf.DUMMYFUNCTION("IMPORTRANGE(""https://docs.google.com/spreadsheets/d/1CaLR8gtRCp0-wyyH0y5IvQnenreOSKFOo8AF4Pfpekc/edit?gid=400822622#gid=400822622"", ""GRADE 11!J""&amp;ROW(J24))"),0.0)</f>
        <v>0</v>
      </c>
      <c r="M27" s="119">
        <f>IFERROR(__xludf.DUMMYFUNCTION("IMPORTRANGE(""https://docs.google.com/spreadsheets/d/1CaLR8gtRCp0-wyyH0y5IvQnenreOSKFOo8AF4Pfpekc/edit?gid=400822622#gid=400822622"", ""GRADE 11!K""&amp;ROW(K24))"),0.0)</f>
        <v>0</v>
      </c>
      <c r="N27" s="119">
        <f>IFERROR(__xludf.DUMMYFUNCTION("IMPORTRANGE(""https://docs.google.com/spreadsheets/d/1CaLR8gtRCp0-wyyH0y5IvQnenreOSKFOo8AF4Pfpekc/edit?gid=400822622#gid=400822622"", ""GRADE 11!L""&amp;ROW(L24))"),0.0)</f>
        <v>0</v>
      </c>
      <c r="O27" s="119">
        <f>IFERROR(__xludf.DUMMYFUNCTION("IMPORTRANGE(""https://docs.google.com/spreadsheets/d/1CaLR8gtRCp0-wyyH0y5IvQnenreOSKFOo8AF4Pfpekc/edit?gid=400822622#gid=400822622"", ""GRADE 11!M""&amp;ROW(M24))"),0.0)</f>
        <v>0</v>
      </c>
      <c r="P27" s="119">
        <f>IFERROR(__xludf.DUMMYFUNCTION("IMPORTRANGE(""https://docs.google.com/spreadsheets/d/1CaLR8gtRCp0-wyyH0y5IvQnenreOSKFOo8AF4Pfpekc/edit?gid=400822622#gid=400822622"", ""GRADE 11!N""&amp;ROW(N24))"),0.0)</f>
        <v>0</v>
      </c>
      <c r="Q27" s="119">
        <f>IFERROR(__xludf.DUMMYFUNCTION("IMPORTRANGE(""https://docs.google.com/spreadsheets/d/1CaLR8gtRCp0-wyyH0y5IvQnenreOSKFOo8AF4Pfpekc/edit?gid=400822622#gid=400822622"", ""GRADE 11!O""&amp;ROW(O24))"),0.0)</f>
        <v>0</v>
      </c>
      <c r="R27" s="119" t="str">
        <f>IFERROR(__xludf.DUMMYFUNCTION("IMPORTRANGE(""https://docs.google.com/spreadsheets/d/1CaLR8gtRCp0-wyyH0y5IvQnenreOSKFOo8AF4Pfpekc/edit?gid=400822622#gid=400822622"", ""GRADE 11!P""&amp;ROW(P24))"),"")</f>
        <v/>
      </c>
      <c r="S27" s="119" t="str">
        <f>IFERROR(__xludf.DUMMYFUNCTION("IMPORTRANGE(""https://docs.google.com/spreadsheets/d/1CaLR8gtRCp0-wyyH0y5IvQnenreOSKFOo8AF4Pfpekc/edit?gid=400822622#gid=400822622"", ""GRADE 11!Q""&amp;ROW(Q24))"),"")</f>
        <v/>
      </c>
      <c r="T27" s="119" t="str">
        <f>IFERROR(__xludf.DUMMYFUNCTION("IMPORTRANGE(""https://docs.google.com/spreadsheets/d/1CaLR8gtRCp0-wyyH0y5IvQnenreOSKFOo8AF4Pfpekc/edit?gid=400822622#gid=400822622"", ""GRADE 11!R""&amp;ROW(R24))"),"")</f>
        <v/>
      </c>
      <c r="U27" s="119" t="str">
        <f>IFERROR(__xludf.DUMMYFUNCTION("IMPORTRANGE(""https://docs.google.com/spreadsheets/d/1CaLR8gtRCp0-wyyH0y5IvQnenreOSKFOo8AF4Pfpekc/edit?gid=400822622#gid=400822622"", ""GRADE 11!S""&amp;ROW(S24))"),"")</f>
        <v/>
      </c>
      <c r="V27" s="119" t="str">
        <f>IFERROR(__xludf.DUMMYFUNCTION("IMPORTRANGE(""https://docs.google.com/spreadsheets/d/1CaLR8gtRCp0-wyyH0y5IvQnenreOSKFOo8AF4Pfpekc/edit?gid=400822622#gid=400822622"", ""GRADE 11!T""&amp;ROW(T24))"),"")</f>
        <v/>
      </c>
      <c r="W27" s="119" t="str">
        <f>IFERROR(__xludf.DUMMYFUNCTION("IMPORTRANGE(""https://docs.google.com/spreadsheets/d/1CaLR8gtRCp0-wyyH0y5IvQnenreOSKFOo8AF4Pfpekc/edit?gid=400822622#gid=400822622"", ""GRADE 11!U""&amp;ROW(U24))"),"")</f>
        <v/>
      </c>
      <c r="X27" s="119">
        <f>IFERROR(__xludf.DUMMYFUNCTION("IMPORTRANGE(""https://docs.google.com/spreadsheets/d/1CaLR8gtRCp0-wyyH0y5IvQnenreOSKFOo8AF4Pfpekc/edit?gid=400822622#gid=400822622"", ""GRADE 11!V""&amp;ROW(V24))"),0.0)</f>
        <v>0</v>
      </c>
      <c r="Y27" s="119" t="str">
        <f>IFERROR(__xludf.DUMMYFUNCTION("IMPORTRANGE(""https://docs.google.com/spreadsheets/d/1CaLR8gtRCp0-wyyH0y5IvQnenreOSKFOo8AF4Pfpekc/edit?gid=400822622#gid=400822622"", ""GRADE 11!W""&amp;ROW(W24))"),"")</f>
        <v/>
      </c>
      <c r="Z27" s="120">
        <f>IFERROR(__xludf.DUMMYFUNCTION("IMPORTRANGE(""https://docs.google.com/spreadsheets/d/1CaLR8gtRCp0-wyyH0y5IvQnenreOSKFOo8AF4Pfpekc/edit?gid=400822622#gid=400822622"", ""GRADE 11!X""&amp;ROW(X24))"),9.0)</f>
        <v>9</v>
      </c>
      <c r="AA27" s="121">
        <f>IFERROR(__xludf.DUMMYFUNCTION("IMPORTRANGE(""https://docs.google.com/spreadsheets/d/1CaLR8gtRCp0-wyyH0y5IvQnenreOSKFOo8AF4Pfpekc/edit?gid=400822622#gid=400822622"", ""GRADE 11!Y""&amp;ROW(Y24))"),0.0)</f>
        <v>0</v>
      </c>
      <c r="AB27" s="39">
        <f>IFERROR(__xludf.DUMMYFUNCTION("IMPORTRANGE(""https://docs.google.com/spreadsheets/d/1CaLR8gtRCp0-wyyH0y5IvQnenreOSKFOo8AF4Pfpekc/edit?gid=400822622#gid=400822622"", ""GRADE 11!Z""&amp;ROW(Z24))"),0.0)</f>
        <v>0</v>
      </c>
    </row>
    <row r="28">
      <c r="A28" s="28" t="s">
        <v>19</v>
      </c>
      <c r="B28" s="29">
        <v>18.0</v>
      </c>
      <c r="C28" s="30" t="s">
        <v>59</v>
      </c>
      <c r="D28" s="118" t="s">
        <v>55</v>
      </c>
      <c r="E28" s="32" t="s">
        <v>60</v>
      </c>
      <c r="F28" s="32" t="s">
        <v>61</v>
      </c>
      <c r="G28" s="34">
        <v>19.0</v>
      </c>
      <c r="H28" s="34">
        <v>23.0</v>
      </c>
      <c r="I28" s="35">
        <f t="shared" si="1"/>
        <v>42</v>
      </c>
      <c r="J28" s="119">
        <f>IFERROR(__xludf.DUMMYFUNCTION("IMPORTRANGE(""https://docs.google.com/spreadsheets/d/1CaLR8gtRCp0-wyyH0y5IvQnenreOSKFOo8AF4Pfpekc/edit?gid=400822622#gid=400822622"", ""GRADE 11!H""&amp;ROW(H25))"),0.0)</f>
        <v>0</v>
      </c>
      <c r="K28" s="119">
        <f>IFERROR(__xludf.DUMMYFUNCTION("IMPORTRANGE(""https://docs.google.com/spreadsheets/d/1CaLR8gtRCp0-wyyH0y5IvQnenreOSKFOo8AF4Pfpekc/edit?gid=400822622#gid=400822622"", ""GRADE 11!I""&amp;ROW(I25))"),0.0)</f>
        <v>0</v>
      </c>
      <c r="L28" s="119">
        <f>IFERROR(__xludf.DUMMYFUNCTION("IMPORTRANGE(""https://docs.google.com/spreadsheets/d/1CaLR8gtRCp0-wyyH0y5IvQnenreOSKFOo8AF4Pfpekc/edit?gid=400822622#gid=400822622"", ""GRADE 11!J""&amp;ROW(J25))"),0.0)</f>
        <v>0</v>
      </c>
      <c r="M28" s="119">
        <f>IFERROR(__xludf.DUMMYFUNCTION("IMPORTRANGE(""https://docs.google.com/spreadsheets/d/1CaLR8gtRCp0-wyyH0y5IvQnenreOSKFOo8AF4Pfpekc/edit?gid=400822622#gid=400822622"", ""GRADE 11!K""&amp;ROW(K25))"),0.0)</f>
        <v>0</v>
      </c>
      <c r="N28" s="119">
        <f>IFERROR(__xludf.DUMMYFUNCTION("IMPORTRANGE(""https://docs.google.com/spreadsheets/d/1CaLR8gtRCp0-wyyH0y5IvQnenreOSKFOo8AF4Pfpekc/edit?gid=400822622#gid=400822622"", ""GRADE 11!L""&amp;ROW(L25))"),0.0)</f>
        <v>0</v>
      </c>
      <c r="O28" s="119">
        <f>IFERROR(__xludf.DUMMYFUNCTION("IMPORTRANGE(""https://docs.google.com/spreadsheets/d/1CaLR8gtRCp0-wyyH0y5IvQnenreOSKFOo8AF4Pfpekc/edit?gid=400822622#gid=400822622"", ""GRADE 11!M""&amp;ROW(M25))"),0.0)</f>
        <v>0</v>
      </c>
      <c r="P28" s="119">
        <f>IFERROR(__xludf.DUMMYFUNCTION("IMPORTRANGE(""https://docs.google.com/spreadsheets/d/1CaLR8gtRCp0-wyyH0y5IvQnenreOSKFOo8AF4Pfpekc/edit?gid=400822622#gid=400822622"", ""GRADE 11!N""&amp;ROW(N25))"),0.0)</f>
        <v>0</v>
      </c>
      <c r="Q28" s="119">
        <f>IFERROR(__xludf.DUMMYFUNCTION("IMPORTRANGE(""https://docs.google.com/spreadsheets/d/1CaLR8gtRCp0-wyyH0y5IvQnenreOSKFOo8AF4Pfpekc/edit?gid=400822622#gid=400822622"", ""GRADE 11!O""&amp;ROW(O25))"),0.0)</f>
        <v>0</v>
      </c>
      <c r="R28" s="119" t="str">
        <f>IFERROR(__xludf.DUMMYFUNCTION("IMPORTRANGE(""https://docs.google.com/spreadsheets/d/1CaLR8gtRCp0-wyyH0y5IvQnenreOSKFOo8AF4Pfpekc/edit?gid=400822622#gid=400822622"", ""GRADE 11!P""&amp;ROW(P25))"),"")</f>
        <v/>
      </c>
      <c r="S28" s="119" t="str">
        <f>IFERROR(__xludf.DUMMYFUNCTION("IMPORTRANGE(""https://docs.google.com/spreadsheets/d/1CaLR8gtRCp0-wyyH0y5IvQnenreOSKFOo8AF4Pfpekc/edit?gid=400822622#gid=400822622"", ""GRADE 11!Q""&amp;ROW(Q25))"),"")</f>
        <v/>
      </c>
      <c r="T28" s="119" t="str">
        <f>IFERROR(__xludf.DUMMYFUNCTION("IMPORTRANGE(""https://docs.google.com/spreadsheets/d/1CaLR8gtRCp0-wyyH0y5IvQnenreOSKFOo8AF4Pfpekc/edit?gid=400822622#gid=400822622"", ""GRADE 11!R""&amp;ROW(R25))"),"")</f>
        <v/>
      </c>
      <c r="U28" s="119" t="str">
        <f>IFERROR(__xludf.DUMMYFUNCTION("IMPORTRANGE(""https://docs.google.com/spreadsheets/d/1CaLR8gtRCp0-wyyH0y5IvQnenreOSKFOo8AF4Pfpekc/edit?gid=400822622#gid=400822622"", ""GRADE 11!S""&amp;ROW(S25))"),"")</f>
        <v/>
      </c>
      <c r="V28" s="119" t="str">
        <f>IFERROR(__xludf.DUMMYFUNCTION("IMPORTRANGE(""https://docs.google.com/spreadsheets/d/1CaLR8gtRCp0-wyyH0y5IvQnenreOSKFOo8AF4Pfpekc/edit?gid=400822622#gid=400822622"", ""GRADE 11!T""&amp;ROW(T25))"),"")</f>
        <v/>
      </c>
      <c r="W28" s="119" t="str">
        <f>IFERROR(__xludf.DUMMYFUNCTION("IMPORTRANGE(""https://docs.google.com/spreadsheets/d/1CaLR8gtRCp0-wyyH0y5IvQnenreOSKFOo8AF4Pfpekc/edit?gid=400822622#gid=400822622"", ""GRADE 11!U""&amp;ROW(U25))"),"")</f>
        <v/>
      </c>
      <c r="X28" s="119">
        <f>IFERROR(__xludf.DUMMYFUNCTION("IMPORTRANGE(""https://docs.google.com/spreadsheets/d/1CaLR8gtRCp0-wyyH0y5IvQnenreOSKFOo8AF4Pfpekc/edit?gid=400822622#gid=400822622"", ""GRADE 11!V""&amp;ROW(V25))"),0.0)</f>
        <v>0</v>
      </c>
      <c r="Y28" s="119" t="str">
        <f>IFERROR(__xludf.DUMMYFUNCTION("IMPORTRANGE(""https://docs.google.com/spreadsheets/d/1CaLR8gtRCp0-wyyH0y5IvQnenreOSKFOo8AF4Pfpekc/edit?gid=400822622#gid=400822622"", ""GRADE 11!W""&amp;ROW(W25))"),"")</f>
        <v/>
      </c>
      <c r="Z28" s="120">
        <f>IFERROR(__xludf.DUMMYFUNCTION("IMPORTRANGE(""https://docs.google.com/spreadsheets/d/1CaLR8gtRCp0-wyyH0y5IvQnenreOSKFOo8AF4Pfpekc/edit?gid=400822622#gid=400822622"", ""GRADE 11!X""&amp;ROW(X25))"),9.0)</f>
        <v>9</v>
      </c>
      <c r="AA28" s="121">
        <f>IFERROR(__xludf.DUMMYFUNCTION("IMPORTRANGE(""https://docs.google.com/spreadsheets/d/1CaLR8gtRCp0-wyyH0y5IvQnenreOSKFOo8AF4Pfpekc/edit?gid=400822622#gid=400822622"", ""GRADE 11!Y""&amp;ROW(Y25))"),0.0)</f>
        <v>0</v>
      </c>
      <c r="AB28" s="39">
        <f>IFERROR(__xludf.DUMMYFUNCTION("IMPORTRANGE(""https://docs.google.com/spreadsheets/d/1CaLR8gtRCp0-wyyH0y5IvQnenreOSKFOo8AF4Pfpekc/edit?gid=400822622#gid=400822622"", ""GRADE 11!Z""&amp;ROW(Z25))"),0.0)</f>
        <v>0</v>
      </c>
    </row>
    <row r="29">
      <c r="A29" s="28" t="s">
        <v>19</v>
      </c>
      <c r="B29" s="29">
        <v>19.0</v>
      </c>
      <c r="C29" s="30" t="s">
        <v>62</v>
      </c>
      <c r="D29" s="118" t="s">
        <v>55</v>
      </c>
      <c r="E29" s="32" t="s">
        <v>63</v>
      </c>
      <c r="F29" s="32" t="s">
        <v>30</v>
      </c>
      <c r="G29" s="34">
        <v>19.0</v>
      </c>
      <c r="H29" s="34">
        <v>24.0</v>
      </c>
      <c r="I29" s="35">
        <f t="shared" si="1"/>
        <v>43</v>
      </c>
      <c r="J29" s="119">
        <f>IFERROR(__xludf.DUMMYFUNCTION("IMPORTRANGE(""https://docs.google.com/spreadsheets/d/1CaLR8gtRCp0-wyyH0y5IvQnenreOSKFOo8AF4Pfpekc/edit?gid=400822622#gid=400822622"", ""GRADE 11!H""&amp;ROW(H26))"),0.0)</f>
        <v>0</v>
      </c>
      <c r="K29" s="119">
        <f>IFERROR(__xludf.DUMMYFUNCTION("IMPORTRANGE(""https://docs.google.com/spreadsheets/d/1CaLR8gtRCp0-wyyH0y5IvQnenreOSKFOo8AF4Pfpekc/edit?gid=400822622#gid=400822622"", ""GRADE 11!I""&amp;ROW(I26))"),0.0)</f>
        <v>0</v>
      </c>
      <c r="L29" s="119">
        <f>IFERROR(__xludf.DUMMYFUNCTION("IMPORTRANGE(""https://docs.google.com/spreadsheets/d/1CaLR8gtRCp0-wyyH0y5IvQnenreOSKFOo8AF4Pfpekc/edit?gid=400822622#gid=400822622"", ""GRADE 11!J""&amp;ROW(J26))"),0.0)</f>
        <v>0</v>
      </c>
      <c r="M29" s="119">
        <f>IFERROR(__xludf.DUMMYFUNCTION("IMPORTRANGE(""https://docs.google.com/spreadsheets/d/1CaLR8gtRCp0-wyyH0y5IvQnenreOSKFOo8AF4Pfpekc/edit?gid=400822622#gid=400822622"", ""GRADE 11!K""&amp;ROW(K26))"),0.0)</f>
        <v>0</v>
      </c>
      <c r="N29" s="119">
        <f>IFERROR(__xludf.DUMMYFUNCTION("IMPORTRANGE(""https://docs.google.com/spreadsheets/d/1CaLR8gtRCp0-wyyH0y5IvQnenreOSKFOo8AF4Pfpekc/edit?gid=400822622#gid=400822622"", ""GRADE 11!L""&amp;ROW(L26))"),0.0)</f>
        <v>0</v>
      </c>
      <c r="O29" s="119">
        <f>IFERROR(__xludf.DUMMYFUNCTION("IMPORTRANGE(""https://docs.google.com/spreadsheets/d/1CaLR8gtRCp0-wyyH0y5IvQnenreOSKFOo8AF4Pfpekc/edit?gid=400822622#gid=400822622"", ""GRADE 11!M""&amp;ROW(M26))"),0.0)</f>
        <v>0</v>
      </c>
      <c r="P29" s="119">
        <f>IFERROR(__xludf.DUMMYFUNCTION("IMPORTRANGE(""https://docs.google.com/spreadsheets/d/1CaLR8gtRCp0-wyyH0y5IvQnenreOSKFOo8AF4Pfpekc/edit?gid=400822622#gid=400822622"", ""GRADE 11!N""&amp;ROW(N26))"),0.0)</f>
        <v>0</v>
      </c>
      <c r="Q29" s="119">
        <f>IFERROR(__xludf.DUMMYFUNCTION("IMPORTRANGE(""https://docs.google.com/spreadsheets/d/1CaLR8gtRCp0-wyyH0y5IvQnenreOSKFOo8AF4Pfpekc/edit?gid=400822622#gid=400822622"", ""GRADE 11!O""&amp;ROW(O26))"),0.0)</f>
        <v>0</v>
      </c>
      <c r="R29" s="119" t="str">
        <f>IFERROR(__xludf.DUMMYFUNCTION("IMPORTRANGE(""https://docs.google.com/spreadsheets/d/1CaLR8gtRCp0-wyyH0y5IvQnenreOSKFOo8AF4Pfpekc/edit?gid=400822622#gid=400822622"", ""GRADE 11!P""&amp;ROW(P26))"),"")</f>
        <v/>
      </c>
      <c r="S29" s="119" t="str">
        <f>IFERROR(__xludf.DUMMYFUNCTION("IMPORTRANGE(""https://docs.google.com/spreadsheets/d/1CaLR8gtRCp0-wyyH0y5IvQnenreOSKFOo8AF4Pfpekc/edit?gid=400822622#gid=400822622"", ""GRADE 11!Q""&amp;ROW(Q26))"),"")</f>
        <v/>
      </c>
      <c r="T29" s="119" t="str">
        <f>IFERROR(__xludf.DUMMYFUNCTION("IMPORTRANGE(""https://docs.google.com/spreadsheets/d/1CaLR8gtRCp0-wyyH0y5IvQnenreOSKFOo8AF4Pfpekc/edit?gid=400822622#gid=400822622"", ""GRADE 11!R""&amp;ROW(R26))"),"")</f>
        <v/>
      </c>
      <c r="U29" s="119" t="str">
        <f>IFERROR(__xludf.DUMMYFUNCTION("IMPORTRANGE(""https://docs.google.com/spreadsheets/d/1CaLR8gtRCp0-wyyH0y5IvQnenreOSKFOo8AF4Pfpekc/edit?gid=400822622#gid=400822622"", ""GRADE 11!S""&amp;ROW(S26))"),"")</f>
        <v/>
      </c>
      <c r="V29" s="119" t="str">
        <f>IFERROR(__xludf.DUMMYFUNCTION("IMPORTRANGE(""https://docs.google.com/spreadsheets/d/1CaLR8gtRCp0-wyyH0y5IvQnenreOSKFOo8AF4Pfpekc/edit?gid=400822622#gid=400822622"", ""GRADE 11!T""&amp;ROW(T26))"),"")</f>
        <v/>
      </c>
      <c r="W29" s="119" t="str">
        <f>IFERROR(__xludf.DUMMYFUNCTION("IMPORTRANGE(""https://docs.google.com/spreadsheets/d/1CaLR8gtRCp0-wyyH0y5IvQnenreOSKFOo8AF4Pfpekc/edit?gid=400822622#gid=400822622"", ""GRADE 11!U""&amp;ROW(U26))"),"")</f>
        <v/>
      </c>
      <c r="X29" s="119">
        <f>IFERROR(__xludf.DUMMYFUNCTION("IMPORTRANGE(""https://docs.google.com/spreadsheets/d/1CaLR8gtRCp0-wyyH0y5IvQnenreOSKFOo8AF4Pfpekc/edit?gid=400822622#gid=400822622"", ""GRADE 11!V""&amp;ROW(V26))"),0.0)</f>
        <v>0</v>
      </c>
      <c r="Y29" s="119" t="str">
        <f>IFERROR(__xludf.DUMMYFUNCTION("IMPORTRANGE(""https://docs.google.com/spreadsheets/d/1CaLR8gtRCp0-wyyH0y5IvQnenreOSKFOo8AF4Pfpekc/edit?gid=400822622#gid=400822622"", ""GRADE 11!W""&amp;ROW(W26))"),"")</f>
        <v/>
      </c>
      <c r="Z29" s="120">
        <f>IFERROR(__xludf.DUMMYFUNCTION("IMPORTRANGE(""https://docs.google.com/spreadsheets/d/1CaLR8gtRCp0-wyyH0y5IvQnenreOSKFOo8AF4Pfpekc/edit?gid=400822622#gid=400822622"", ""GRADE 11!X""&amp;ROW(X26))"),9.0)</f>
        <v>9</v>
      </c>
      <c r="AA29" s="121">
        <f>IFERROR(__xludf.DUMMYFUNCTION("IMPORTRANGE(""https://docs.google.com/spreadsheets/d/1CaLR8gtRCp0-wyyH0y5IvQnenreOSKFOo8AF4Pfpekc/edit?gid=400822622#gid=400822622"", ""GRADE 11!Y""&amp;ROW(Y26))"),0.0)</f>
        <v>0</v>
      </c>
      <c r="AB29" s="39">
        <f>IFERROR(__xludf.DUMMYFUNCTION("IMPORTRANGE(""https://docs.google.com/spreadsheets/d/1CaLR8gtRCp0-wyyH0y5IvQnenreOSKFOo8AF4Pfpekc/edit?gid=400822622#gid=400822622"", ""GRADE 11!Z""&amp;ROW(Z26))"),0.0)</f>
        <v>0</v>
      </c>
    </row>
    <row r="30" ht="19.5" customHeight="1">
      <c r="A30" s="28" t="s">
        <v>19</v>
      </c>
      <c r="B30" s="29">
        <v>20.0</v>
      </c>
      <c r="C30" s="30" t="s">
        <v>64</v>
      </c>
      <c r="D30" s="118" t="s">
        <v>55</v>
      </c>
      <c r="E30" s="32" t="s">
        <v>65</v>
      </c>
      <c r="F30" s="32" t="s">
        <v>27</v>
      </c>
      <c r="G30" s="34">
        <v>13.0</v>
      </c>
      <c r="H30" s="34">
        <v>25.0</v>
      </c>
      <c r="I30" s="35">
        <f t="shared" si="1"/>
        <v>38</v>
      </c>
      <c r="J30" s="119">
        <f>IFERROR(__xludf.DUMMYFUNCTION("IMPORTRANGE(""https://docs.google.com/spreadsheets/d/1CaLR8gtRCp0-wyyH0y5IvQnenreOSKFOo8AF4Pfpekc/edit?gid=400822622#gid=400822622"", ""GRADE 11!H""&amp;ROW(H27))"),1.0)</f>
        <v>1</v>
      </c>
      <c r="K30" s="119">
        <f>IFERROR(__xludf.DUMMYFUNCTION("IMPORTRANGE(""https://docs.google.com/spreadsheets/d/1CaLR8gtRCp0-wyyH0y5IvQnenreOSKFOo8AF4Pfpekc/edit?gid=400822622#gid=400822622"", ""GRADE 11!I""&amp;ROW(I27))"),1.0)</f>
        <v>1</v>
      </c>
      <c r="L30" s="119">
        <f>IFERROR(__xludf.DUMMYFUNCTION("IMPORTRANGE(""https://docs.google.com/spreadsheets/d/1CaLR8gtRCp0-wyyH0y5IvQnenreOSKFOo8AF4Pfpekc/edit?gid=400822622#gid=400822622"", ""GRADE 11!J""&amp;ROW(J27))"),1.0)</f>
        <v>1</v>
      </c>
      <c r="M30" s="119">
        <f>IFERROR(__xludf.DUMMYFUNCTION("IMPORTRANGE(""https://docs.google.com/spreadsheets/d/1CaLR8gtRCp0-wyyH0y5IvQnenreOSKFOo8AF4Pfpekc/edit?gid=400822622#gid=400822622"", ""GRADE 11!K""&amp;ROW(K27))"),1.0)</f>
        <v>1</v>
      </c>
      <c r="N30" s="119">
        <f>IFERROR(__xludf.DUMMYFUNCTION("IMPORTRANGE(""https://docs.google.com/spreadsheets/d/1CaLR8gtRCp0-wyyH0y5IvQnenreOSKFOo8AF4Pfpekc/edit?gid=400822622#gid=400822622"", ""GRADE 11!L""&amp;ROW(L27))"),1.0)</f>
        <v>1</v>
      </c>
      <c r="O30" s="119">
        <f>IFERROR(__xludf.DUMMYFUNCTION("IMPORTRANGE(""https://docs.google.com/spreadsheets/d/1CaLR8gtRCp0-wyyH0y5IvQnenreOSKFOo8AF4Pfpekc/edit?gid=400822622#gid=400822622"", ""GRADE 11!M""&amp;ROW(M27))"),1.0)</f>
        <v>1</v>
      </c>
      <c r="P30" s="119">
        <f>IFERROR(__xludf.DUMMYFUNCTION("IMPORTRANGE(""https://docs.google.com/spreadsheets/d/1CaLR8gtRCp0-wyyH0y5IvQnenreOSKFOo8AF4Pfpekc/edit?gid=400822622#gid=400822622"", ""GRADE 11!N""&amp;ROW(N27))"),1.0)</f>
        <v>1</v>
      </c>
      <c r="Q30" s="119">
        <f>IFERROR(__xludf.DUMMYFUNCTION("IMPORTRANGE(""https://docs.google.com/spreadsheets/d/1CaLR8gtRCp0-wyyH0y5IvQnenreOSKFOo8AF4Pfpekc/edit?gid=400822622#gid=400822622"", ""GRADE 11!O""&amp;ROW(O27))"),1.0)</f>
        <v>1</v>
      </c>
      <c r="R30" s="119" t="str">
        <f>IFERROR(__xludf.DUMMYFUNCTION("IMPORTRANGE(""https://docs.google.com/spreadsheets/d/1CaLR8gtRCp0-wyyH0y5IvQnenreOSKFOo8AF4Pfpekc/edit?gid=400822622#gid=400822622"", ""GRADE 11!P""&amp;ROW(P27))"),"")</f>
        <v/>
      </c>
      <c r="S30" s="119" t="str">
        <f>IFERROR(__xludf.DUMMYFUNCTION("IMPORTRANGE(""https://docs.google.com/spreadsheets/d/1CaLR8gtRCp0-wyyH0y5IvQnenreOSKFOo8AF4Pfpekc/edit?gid=400822622#gid=400822622"", ""GRADE 11!Q""&amp;ROW(Q27))"),"")</f>
        <v/>
      </c>
      <c r="T30" s="119" t="str">
        <f>IFERROR(__xludf.DUMMYFUNCTION("IMPORTRANGE(""https://docs.google.com/spreadsheets/d/1CaLR8gtRCp0-wyyH0y5IvQnenreOSKFOo8AF4Pfpekc/edit?gid=400822622#gid=400822622"", ""GRADE 11!R""&amp;ROW(R27))"),"")</f>
        <v/>
      </c>
      <c r="U30" s="119" t="str">
        <f>IFERROR(__xludf.DUMMYFUNCTION("IMPORTRANGE(""https://docs.google.com/spreadsheets/d/1CaLR8gtRCp0-wyyH0y5IvQnenreOSKFOo8AF4Pfpekc/edit?gid=400822622#gid=400822622"", ""GRADE 11!S""&amp;ROW(S27))"),"")</f>
        <v/>
      </c>
      <c r="V30" s="119" t="str">
        <f>IFERROR(__xludf.DUMMYFUNCTION("IMPORTRANGE(""https://docs.google.com/spreadsheets/d/1CaLR8gtRCp0-wyyH0y5IvQnenreOSKFOo8AF4Pfpekc/edit?gid=400822622#gid=400822622"", ""GRADE 11!T""&amp;ROW(T27))"),"")</f>
        <v/>
      </c>
      <c r="W30" s="119" t="str">
        <f>IFERROR(__xludf.DUMMYFUNCTION("IMPORTRANGE(""https://docs.google.com/spreadsheets/d/1CaLR8gtRCp0-wyyH0y5IvQnenreOSKFOo8AF4Pfpekc/edit?gid=400822622#gid=400822622"", ""GRADE 11!U""&amp;ROW(U27))"),"")</f>
        <v/>
      </c>
      <c r="X30" s="119">
        <f>IFERROR(__xludf.DUMMYFUNCTION("IMPORTRANGE(""https://docs.google.com/spreadsheets/d/1CaLR8gtRCp0-wyyH0y5IvQnenreOSKFOo8AF4Pfpekc/edit?gid=400822622#gid=400822622"", ""GRADE 11!V""&amp;ROW(V27))"),1.0)</f>
        <v>1</v>
      </c>
      <c r="Y30" s="119" t="str">
        <f>IFERROR(__xludf.DUMMYFUNCTION("IMPORTRANGE(""https://docs.google.com/spreadsheets/d/1CaLR8gtRCp0-wyyH0y5IvQnenreOSKFOo8AF4Pfpekc/edit?gid=400822622#gid=400822622"", ""GRADE 11!W""&amp;ROW(W27))"),"")</f>
        <v/>
      </c>
      <c r="Z30" s="120">
        <f>IFERROR(__xludf.DUMMYFUNCTION("IMPORTRANGE(""https://docs.google.com/spreadsheets/d/1CaLR8gtRCp0-wyyH0y5IvQnenreOSKFOo8AF4Pfpekc/edit?gid=400822622#gid=400822622"", ""GRADE 11!X""&amp;ROW(X27))"),0.0)</f>
        <v>0</v>
      </c>
      <c r="AA30" s="121">
        <f>IFERROR(__xludf.DUMMYFUNCTION("IMPORTRANGE(""https://docs.google.com/spreadsheets/d/1CaLR8gtRCp0-wyyH0y5IvQnenreOSKFOo8AF4Pfpekc/edit?gid=400822622#gid=400822622"", ""GRADE 11!Y""&amp;ROW(Y27))"),9.0)</f>
        <v>9</v>
      </c>
      <c r="AB30" s="39">
        <f>IFERROR(__xludf.DUMMYFUNCTION("IMPORTRANGE(""https://docs.google.com/spreadsheets/d/1CaLR8gtRCp0-wyyH0y5IvQnenreOSKFOo8AF4Pfpekc/edit?gid=400822622#gid=400822622"", ""GRADE 11!Z""&amp;ROW(Z27))"),-9.0)</f>
        <v>-9</v>
      </c>
    </row>
    <row r="31">
      <c r="A31" s="28" t="s">
        <v>19</v>
      </c>
      <c r="B31" s="29">
        <v>21.0</v>
      </c>
      <c r="C31" s="30" t="s">
        <v>66</v>
      </c>
      <c r="D31" s="118" t="s">
        <v>55</v>
      </c>
      <c r="E31" s="32" t="s">
        <v>67</v>
      </c>
      <c r="F31" s="32" t="s">
        <v>27</v>
      </c>
      <c r="G31" s="34">
        <v>18.0</v>
      </c>
      <c r="H31" s="34">
        <v>29.0</v>
      </c>
      <c r="I31" s="35">
        <f t="shared" si="1"/>
        <v>47</v>
      </c>
      <c r="J31" s="119">
        <f>IFERROR(__xludf.DUMMYFUNCTION("IMPORTRANGE(""https://docs.google.com/spreadsheets/d/1CaLR8gtRCp0-wyyH0y5IvQnenreOSKFOo8AF4Pfpekc/edit?gid=400822622#gid=400822622"", ""GRADE 11!H""&amp;ROW(H28))"),0.0)</f>
        <v>0</v>
      </c>
      <c r="K31" s="119">
        <f>IFERROR(__xludf.DUMMYFUNCTION("IMPORTRANGE(""https://docs.google.com/spreadsheets/d/1CaLR8gtRCp0-wyyH0y5IvQnenreOSKFOo8AF4Pfpekc/edit?gid=400822622#gid=400822622"", ""GRADE 11!I""&amp;ROW(I28))"),0.0)</f>
        <v>0</v>
      </c>
      <c r="L31" s="119">
        <f>IFERROR(__xludf.DUMMYFUNCTION("IMPORTRANGE(""https://docs.google.com/spreadsheets/d/1CaLR8gtRCp0-wyyH0y5IvQnenreOSKFOo8AF4Pfpekc/edit?gid=400822622#gid=400822622"", ""GRADE 11!J""&amp;ROW(J28))"),0.0)</f>
        <v>0</v>
      </c>
      <c r="M31" s="119">
        <f>IFERROR(__xludf.DUMMYFUNCTION("IMPORTRANGE(""https://docs.google.com/spreadsheets/d/1CaLR8gtRCp0-wyyH0y5IvQnenreOSKFOo8AF4Pfpekc/edit?gid=400822622#gid=400822622"", ""GRADE 11!K""&amp;ROW(K28))"),0.0)</f>
        <v>0</v>
      </c>
      <c r="N31" s="119">
        <f>IFERROR(__xludf.DUMMYFUNCTION("IMPORTRANGE(""https://docs.google.com/spreadsheets/d/1CaLR8gtRCp0-wyyH0y5IvQnenreOSKFOo8AF4Pfpekc/edit?gid=400822622#gid=400822622"", ""GRADE 11!L""&amp;ROW(L28))"),0.0)</f>
        <v>0</v>
      </c>
      <c r="O31" s="119">
        <f>IFERROR(__xludf.DUMMYFUNCTION("IMPORTRANGE(""https://docs.google.com/spreadsheets/d/1CaLR8gtRCp0-wyyH0y5IvQnenreOSKFOo8AF4Pfpekc/edit?gid=400822622#gid=400822622"", ""GRADE 11!M""&amp;ROW(M28))"),0.0)</f>
        <v>0</v>
      </c>
      <c r="P31" s="119">
        <f>IFERROR(__xludf.DUMMYFUNCTION("IMPORTRANGE(""https://docs.google.com/spreadsheets/d/1CaLR8gtRCp0-wyyH0y5IvQnenreOSKFOo8AF4Pfpekc/edit?gid=400822622#gid=400822622"", ""GRADE 11!N""&amp;ROW(N28))"),0.0)</f>
        <v>0</v>
      </c>
      <c r="Q31" s="119">
        <f>IFERROR(__xludf.DUMMYFUNCTION("IMPORTRANGE(""https://docs.google.com/spreadsheets/d/1CaLR8gtRCp0-wyyH0y5IvQnenreOSKFOo8AF4Pfpekc/edit?gid=400822622#gid=400822622"", ""GRADE 11!O""&amp;ROW(O28))"),0.0)</f>
        <v>0</v>
      </c>
      <c r="R31" s="119" t="str">
        <f>IFERROR(__xludf.DUMMYFUNCTION("IMPORTRANGE(""https://docs.google.com/spreadsheets/d/1CaLR8gtRCp0-wyyH0y5IvQnenreOSKFOo8AF4Pfpekc/edit?gid=400822622#gid=400822622"", ""GRADE 11!P""&amp;ROW(P28))"),"")</f>
        <v/>
      </c>
      <c r="S31" s="119" t="str">
        <f>IFERROR(__xludf.DUMMYFUNCTION("IMPORTRANGE(""https://docs.google.com/spreadsheets/d/1CaLR8gtRCp0-wyyH0y5IvQnenreOSKFOo8AF4Pfpekc/edit?gid=400822622#gid=400822622"", ""GRADE 11!Q""&amp;ROW(Q28))"),"")</f>
        <v/>
      </c>
      <c r="T31" s="119" t="str">
        <f>IFERROR(__xludf.DUMMYFUNCTION("IMPORTRANGE(""https://docs.google.com/spreadsheets/d/1CaLR8gtRCp0-wyyH0y5IvQnenreOSKFOo8AF4Pfpekc/edit?gid=400822622#gid=400822622"", ""GRADE 11!R""&amp;ROW(R28))"),"")</f>
        <v/>
      </c>
      <c r="U31" s="119" t="str">
        <f>IFERROR(__xludf.DUMMYFUNCTION("IMPORTRANGE(""https://docs.google.com/spreadsheets/d/1CaLR8gtRCp0-wyyH0y5IvQnenreOSKFOo8AF4Pfpekc/edit?gid=400822622#gid=400822622"", ""GRADE 11!S""&amp;ROW(S28))"),"")</f>
        <v/>
      </c>
      <c r="V31" s="119" t="str">
        <f>IFERROR(__xludf.DUMMYFUNCTION("IMPORTRANGE(""https://docs.google.com/spreadsheets/d/1CaLR8gtRCp0-wyyH0y5IvQnenreOSKFOo8AF4Pfpekc/edit?gid=400822622#gid=400822622"", ""GRADE 11!T""&amp;ROW(T28))"),"")</f>
        <v/>
      </c>
      <c r="W31" s="119" t="str">
        <f>IFERROR(__xludf.DUMMYFUNCTION("IMPORTRANGE(""https://docs.google.com/spreadsheets/d/1CaLR8gtRCp0-wyyH0y5IvQnenreOSKFOo8AF4Pfpekc/edit?gid=400822622#gid=400822622"", ""GRADE 11!U""&amp;ROW(U28))"),"")</f>
        <v/>
      </c>
      <c r="X31" s="119">
        <f>IFERROR(__xludf.DUMMYFUNCTION("IMPORTRANGE(""https://docs.google.com/spreadsheets/d/1CaLR8gtRCp0-wyyH0y5IvQnenreOSKFOo8AF4Pfpekc/edit?gid=400822622#gid=400822622"", ""GRADE 11!V""&amp;ROW(V28))"),0.0)</f>
        <v>0</v>
      </c>
      <c r="Y31" s="119" t="str">
        <f>IFERROR(__xludf.DUMMYFUNCTION("IMPORTRANGE(""https://docs.google.com/spreadsheets/d/1CaLR8gtRCp0-wyyH0y5IvQnenreOSKFOo8AF4Pfpekc/edit?gid=400822622#gid=400822622"", ""GRADE 11!W""&amp;ROW(W28))"),"")</f>
        <v/>
      </c>
      <c r="Z31" s="120">
        <f>IFERROR(__xludf.DUMMYFUNCTION("IMPORTRANGE(""https://docs.google.com/spreadsheets/d/1CaLR8gtRCp0-wyyH0y5IvQnenreOSKFOo8AF4Pfpekc/edit?gid=400822622#gid=400822622"", ""GRADE 11!X""&amp;ROW(X28))"),9.0)</f>
        <v>9</v>
      </c>
      <c r="AA31" s="121">
        <f>IFERROR(__xludf.DUMMYFUNCTION("IMPORTRANGE(""https://docs.google.com/spreadsheets/d/1CaLR8gtRCp0-wyyH0y5IvQnenreOSKFOo8AF4Pfpekc/edit?gid=400822622#gid=400822622"", ""GRADE 11!Y""&amp;ROW(Y28))"),0.0)</f>
        <v>0</v>
      </c>
      <c r="AB31" s="39">
        <f>IFERROR(__xludf.DUMMYFUNCTION("IMPORTRANGE(""https://docs.google.com/spreadsheets/d/1CaLR8gtRCp0-wyyH0y5IvQnenreOSKFOo8AF4Pfpekc/edit?gid=400822622#gid=400822622"", ""GRADE 11!Z""&amp;ROW(Z28))"),0.0)</f>
        <v>0</v>
      </c>
    </row>
    <row r="32" ht="22.5" customHeight="1">
      <c r="A32" s="28" t="s">
        <v>19</v>
      </c>
      <c r="B32" s="29">
        <v>22.0</v>
      </c>
      <c r="C32" s="30" t="s">
        <v>68</v>
      </c>
      <c r="D32" s="118" t="s">
        <v>55</v>
      </c>
      <c r="E32" s="32" t="s">
        <v>69</v>
      </c>
      <c r="F32" s="32" t="s">
        <v>27</v>
      </c>
      <c r="G32" s="34">
        <v>18.0</v>
      </c>
      <c r="H32" s="34">
        <v>27.0</v>
      </c>
      <c r="I32" s="35">
        <f t="shared" si="1"/>
        <v>45</v>
      </c>
      <c r="J32" s="119">
        <f>IFERROR(__xludf.DUMMYFUNCTION("IMPORTRANGE(""https://docs.google.com/spreadsheets/d/1CaLR8gtRCp0-wyyH0y5IvQnenreOSKFOo8AF4Pfpekc/edit?gid=400822622#gid=400822622"", ""GRADE 11!H""&amp;ROW(H29))"),0.0)</f>
        <v>0</v>
      </c>
      <c r="K32" s="119">
        <f>IFERROR(__xludf.DUMMYFUNCTION("IMPORTRANGE(""https://docs.google.com/spreadsheets/d/1CaLR8gtRCp0-wyyH0y5IvQnenreOSKFOo8AF4Pfpekc/edit?gid=400822622#gid=400822622"", ""GRADE 11!I""&amp;ROW(I29))"),0.0)</f>
        <v>0</v>
      </c>
      <c r="L32" s="119">
        <f>IFERROR(__xludf.DUMMYFUNCTION("IMPORTRANGE(""https://docs.google.com/spreadsheets/d/1CaLR8gtRCp0-wyyH0y5IvQnenreOSKFOo8AF4Pfpekc/edit?gid=400822622#gid=400822622"", ""GRADE 11!J""&amp;ROW(J29))"),0.0)</f>
        <v>0</v>
      </c>
      <c r="M32" s="119">
        <f>IFERROR(__xludf.DUMMYFUNCTION("IMPORTRANGE(""https://docs.google.com/spreadsheets/d/1CaLR8gtRCp0-wyyH0y5IvQnenreOSKFOo8AF4Pfpekc/edit?gid=400822622#gid=400822622"", ""GRADE 11!K""&amp;ROW(K29))"),0.0)</f>
        <v>0</v>
      </c>
      <c r="N32" s="119">
        <f>IFERROR(__xludf.DUMMYFUNCTION("IMPORTRANGE(""https://docs.google.com/spreadsheets/d/1CaLR8gtRCp0-wyyH0y5IvQnenreOSKFOo8AF4Pfpekc/edit?gid=400822622#gid=400822622"", ""GRADE 11!L""&amp;ROW(L29))"),0.0)</f>
        <v>0</v>
      </c>
      <c r="O32" s="119">
        <f>IFERROR(__xludf.DUMMYFUNCTION("IMPORTRANGE(""https://docs.google.com/spreadsheets/d/1CaLR8gtRCp0-wyyH0y5IvQnenreOSKFOo8AF4Pfpekc/edit?gid=400822622#gid=400822622"", ""GRADE 11!M""&amp;ROW(M29))"),0.0)</f>
        <v>0</v>
      </c>
      <c r="P32" s="119">
        <f>IFERROR(__xludf.DUMMYFUNCTION("IMPORTRANGE(""https://docs.google.com/spreadsheets/d/1CaLR8gtRCp0-wyyH0y5IvQnenreOSKFOo8AF4Pfpekc/edit?gid=400822622#gid=400822622"", ""GRADE 11!N""&amp;ROW(N29))"),0.0)</f>
        <v>0</v>
      </c>
      <c r="Q32" s="119">
        <f>IFERROR(__xludf.DUMMYFUNCTION("IMPORTRANGE(""https://docs.google.com/spreadsheets/d/1CaLR8gtRCp0-wyyH0y5IvQnenreOSKFOo8AF4Pfpekc/edit?gid=400822622#gid=400822622"", ""GRADE 11!O""&amp;ROW(O29))"),0.0)</f>
        <v>0</v>
      </c>
      <c r="R32" s="119" t="str">
        <f>IFERROR(__xludf.DUMMYFUNCTION("IMPORTRANGE(""https://docs.google.com/spreadsheets/d/1CaLR8gtRCp0-wyyH0y5IvQnenreOSKFOo8AF4Pfpekc/edit?gid=400822622#gid=400822622"", ""GRADE 11!P""&amp;ROW(P29))"),"")</f>
        <v/>
      </c>
      <c r="S32" s="119" t="str">
        <f>IFERROR(__xludf.DUMMYFUNCTION("IMPORTRANGE(""https://docs.google.com/spreadsheets/d/1CaLR8gtRCp0-wyyH0y5IvQnenreOSKFOo8AF4Pfpekc/edit?gid=400822622#gid=400822622"", ""GRADE 11!Q""&amp;ROW(Q29))"),"")</f>
        <v/>
      </c>
      <c r="T32" s="119" t="str">
        <f>IFERROR(__xludf.DUMMYFUNCTION("IMPORTRANGE(""https://docs.google.com/spreadsheets/d/1CaLR8gtRCp0-wyyH0y5IvQnenreOSKFOo8AF4Pfpekc/edit?gid=400822622#gid=400822622"", ""GRADE 11!R""&amp;ROW(R29))"),"")</f>
        <v/>
      </c>
      <c r="U32" s="119" t="str">
        <f>IFERROR(__xludf.DUMMYFUNCTION("IMPORTRANGE(""https://docs.google.com/spreadsheets/d/1CaLR8gtRCp0-wyyH0y5IvQnenreOSKFOo8AF4Pfpekc/edit?gid=400822622#gid=400822622"", ""GRADE 11!S""&amp;ROW(S29))"),"")</f>
        <v/>
      </c>
      <c r="V32" s="119" t="str">
        <f>IFERROR(__xludf.DUMMYFUNCTION("IMPORTRANGE(""https://docs.google.com/spreadsheets/d/1CaLR8gtRCp0-wyyH0y5IvQnenreOSKFOo8AF4Pfpekc/edit?gid=400822622#gid=400822622"", ""GRADE 11!T""&amp;ROW(T29))"),"")</f>
        <v/>
      </c>
      <c r="W32" s="119" t="str">
        <f>IFERROR(__xludf.DUMMYFUNCTION("IMPORTRANGE(""https://docs.google.com/spreadsheets/d/1CaLR8gtRCp0-wyyH0y5IvQnenreOSKFOo8AF4Pfpekc/edit?gid=400822622#gid=400822622"", ""GRADE 11!U""&amp;ROW(U29))"),"")</f>
        <v/>
      </c>
      <c r="X32" s="119">
        <f>IFERROR(__xludf.DUMMYFUNCTION("IMPORTRANGE(""https://docs.google.com/spreadsheets/d/1CaLR8gtRCp0-wyyH0y5IvQnenreOSKFOo8AF4Pfpekc/edit?gid=400822622#gid=400822622"", ""GRADE 11!V""&amp;ROW(V29))"),0.0)</f>
        <v>0</v>
      </c>
      <c r="Y32" s="119" t="str">
        <f>IFERROR(__xludf.DUMMYFUNCTION("IMPORTRANGE(""https://docs.google.com/spreadsheets/d/1CaLR8gtRCp0-wyyH0y5IvQnenreOSKFOo8AF4Pfpekc/edit?gid=400822622#gid=400822622"", ""GRADE 11!W""&amp;ROW(W29))"),"")</f>
        <v/>
      </c>
      <c r="Z32" s="120">
        <f>IFERROR(__xludf.DUMMYFUNCTION("IMPORTRANGE(""https://docs.google.com/spreadsheets/d/1CaLR8gtRCp0-wyyH0y5IvQnenreOSKFOo8AF4Pfpekc/edit?gid=400822622#gid=400822622"", ""GRADE 11!X""&amp;ROW(X29))"),9.0)</f>
        <v>9</v>
      </c>
      <c r="AA32" s="121">
        <f>IFERROR(__xludf.DUMMYFUNCTION("IMPORTRANGE(""https://docs.google.com/spreadsheets/d/1CaLR8gtRCp0-wyyH0y5IvQnenreOSKFOo8AF4Pfpekc/edit?gid=400822622#gid=400822622"", ""GRADE 11!Y""&amp;ROW(Y29))"),0.0)</f>
        <v>0</v>
      </c>
      <c r="AB32" s="39">
        <f>IFERROR(__xludf.DUMMYFUNCTION("IMPORTRANGE(""https://docs.google.com/spreadsheets/d/1CaLR8gtRCp0-wyyH0y5IvQnenreOSKFOo8AF4Pfpekc/edit?gid=400822622#gid=400822622"", ""GRADE 11!Z""&amp;ROW(Z29))"),0.0)</f>
        <v>0</v>
      </c>
    </row>
    <row r="33">
      <c r="A33" s="28" t="s">
        <v>19</v>
      </c>
      <c r="B33" s="29">
        <v>23.0</v>
      </c>
      <c r="C33" s="30" t="s">
        <v>70</v>
      </c>
      <c r="D33" s="118" t="s">
        <v>55</v>
      </c>
      <c r="E33" s="32" t="s">
        <v>71</v>
      </c>
      <c r="F33" s="32" t="s">
        <v>72</v>
      </c>
      <c r="G33" s="34">
        <v>16.0</v>
      </c>
      <c r="H33" s="34">
        <v>29.0</v>
      </c>
      <c r="I33" s="35">
        <f t="shared" si="1"/>
        <v>45</v>
      </c>
      <c r="J33" s="119">
        <f>IFERROR(__xludf.DUMMYFUNCTION("IMPORTRANGE(""https://docs.google.com/spreadsheets/d/1CaLR8gtRCp0-wyyH0y5IvQnenreOSKFOo8AF4Pfpekc/edit?gid=400822622#gid=400822622"", ""GRADE 11!H""&amp;ROW(H30))"),0.0)</f>
        <v>0</v>
      </c>
      <c r="K33" s="119">
        <f>IFERROR(__xludf.DUMMYFUNCTION("IMPORTRANGE(""https://docs.google.com/spreadsheets/d/1CaLR8gtRCp0-wyyH0y5IvQnenreOSKFOo8AF4Pfpekc/edit?gid=400822622#gid=400822622"", ""GRADE 11!I""&amp;ROW(I30))"),0.0)</f>
        <v>0</v>
      </c>
      <c r="L33" s="119">
        <f>IFERROR(__xludf.DUMMYFUNCTION("IMPORTRANGE(""https://docs.google.com/spreadsheets/d/1CaLR8gtRCp0-wyyH0y5IvQnenreOSKFOo8AF4Pfpekc/edit?gid=400822622#gid=400822622"", ""GRADE 11!J""&amp;ROW(J30))"),0.0)</f>
        <v>0</v>
      </c>
      <c r="M33" s="119">
        <f>IFERROR(__xludf.DUMMYFUNCTION("IMPORTRANGE(""https://docs.google.com/spreadsheets/d/1CaLR8gtRCp0-wyyH0y5IvQnenreOSKFOo8AF4Pfpekc/edit?gid=400822622#gid=400822622"", ""GRADE 11!K""&amp;ROW(K30))"),0.0)</f>
        <v>0</v>
      </c>
      <c r="N33" s="119">
        <f>IFERROR(__xludf.DUMMYFUNCTION("IMPORTRANGE(""https://docs.google.com/spreadsheets/d/1CaLR8gtRCp0-wyyH0y5IvQnenreOSKFOo8AF4Pfpekc/edit?gid=400822622#gid=400822622"", ""GRADE 11!L""&amp;ROW(L30))"),0.0)</f>
        <v>0</v>
      </c>
      <c r="O33" s="119">
        <f>IFERROR(__xludf.DUMMYFUNCTION("IMPORTRANGE(""https://docs.google.com/spreadsheets/d/1CaLR8gtRCp0-wyyH0y5IvQnenreOSKFOo8AF4Pfpekc/edit?gid=400822622#gid=400822622"", ""GRADE 11!M""&amp;ROW(M30))"),0.0)</f>
        <v>0</v>
      </c>
      <c r="P33" s="119">
        <f>IFERROR(__xludf.DUMMYFUNCTION("IMPORTRANGE(""https://docs.google.com/spreadsheets/d/1CaLR8gtRCp0-wyyH0y5IvQnenreOSKFOo8AF4Pfpekc/edit?gid=400822622#gid=400822622"", ""GRADE 11!N""&amp;ROW(N30))"),0.0)</f>
        <v>0</v>
      </c>
      <c r="Q33" s="119">
        <f>IFERROR(__xludf.DUMMYFUNCTION("IMPORTRANGE(""https://docs.google.com/spreadsheets/d/1CaLR8gtRCp0-wyyH0y5IvQnenreOSKFOo8AF4Pfpekc/edit?gid=400822622#gid=400822622"", ""GRADE 11!O""&amp;ROW(O30))"),0.0)</f>
        <v>0</v>
      </c>
      <c r="R33" s="119" t="str">
        <f>IFERROR(__xludf.DUMMYFUNCTION("IMPORTRANGE(""https://docs.google.com/spreadsheets/d/1CaLR8gtRCp0-wyyH0y5IvQnenreOSKFOo8AF4Pfpekc/edit?gid=400822622#gid=400822622"", ""GRADE 11!P""&amp;ROW(P30))"),"")</f>
        <v/>
      </c>
      <c r="S33" s="119" t="str">
        <f>IFERROR(__xludf.DUMMYFUNCTION("IMPORTRANGE(""https://docs.google.com/spreadsheets/d/1CaLR8gtRCp0-wyyH0y5IvQnenreOSKFOo8AF4Pfpekc/edit?gid=400822622#gid=400822622"", ""GRADE 11!Q""&amp;ROW(Q30))"),"")</f>
        <v/>
      </c>
      <c r="T33" s="119" t="str">
        <f>IFERROR(__xludf.DUMMYFUNCTION("IMPORTRANGE(""https://docs.google.com/spreadsheets/d/1CaLR8gtRCp0-wyyH0y5IvQnenreOSKFOo8AF4Pfpekc/edit?gid=400822622#gid=400822622"", ""GRADE 11!R""&amp;ROW(R30))"),"")</f>
        <v/>
      </c>
      <c r="U33" s="119" t="str">
        <f>IFERROR(__xludf.DUMMYFUNCTION("IMPORTRANGE(""https://docs.google.com/spreadsheets/d/1CaLR8gtRCp0-wyyH0y5IvQnenreOSKFOo8AF4Pfpekc/edit?gid=400822622#gid=400822622"", ""GRADE 11!S""&amp;ROW(S30))"),"")</f>
        <v/>
      </c>
      <c r="V33" s="119" t="str">
        <f>IFERROR(__xludf.DUMMYFUNCTION("IMPORTRANGE(""https://docs.google.com/spreadsheets/d/1CaLR8gtRCp0-wyyH0y5IvQnenreOSKFOo8AF4Pfpekc/edit?gid=400822622#gid=400822622"", ""GRADE 11!T""&amp;ROW(T30))"),"")</f>
        <v/>
      </c>
      <c r="W33" s="119" t="str">
        <f>IFERROR(__xludf.DUMMYFUNCTION("IMPORTRANGE(""https://docs.google.com/spreadsheets/d/1CaLR8gtRCp0-wyyH0y5IvQnenreOSKFOo8AF4Pfpekc/edit?gid=400822622#gid=400822622"", ""GRADE 11!U""&amp;ROW(U30))"),"")</f>
        <v/>
      </c>
      <c r="X33" s="119">
        <f>IFERROR(__xludf.DUMMYFUNCTION("IMPORTRANGE(""https://docs.google.com/spreadsheets/d/1CaLR8gtRCp0-wyyH0y5IvQnenreOSKFOo8AF4Pfpekc/edit?gid=400822622#gid=400822622"", ""GRADE 11!V""&amp;ROW(V30))"),0.0)</f>
        <v>0</v>
      </c>
      <c r="Y33" s="119" t="str">
        <f>IFERROR(__xludf.DUMMYFUNCTION("IMPORTRANGE(""https://docs.google.com/spreadsheets/d/1CaLR8gtRCp0-wyyH0y5IvQnenreOSKFOo8AF4Pfpekc/edit?gid=400822622#gid=400822622"", ""GRADE 11!W""&amp;ROW(W30))"),"")</f>
        <v/>
      </c>
      <c r="Z33" s="120">
        <f>IFERROR(__xludf.DUMMYFUNCTION("IMPORTRANGE(""https://docs.google.com/spreadsheets/d/1CaLR8gtRCp0-wyyH0y5IvQnenreOSKFOo8AF4Pfpekc/edit?gid=400822622#gid=400822622"", ""GRADE 11!X""&amp;ROW(X30))"),9.0)</f>
        <v>9</v>
      </c>
      <c r="AA33" s="121">
        <f>IFERROR(__xludf.DUMMYFUNCTION("IMPORTRANGE(""https://docs.google.com/spreadsheets/d/1CaLR8gtRCp0-wyyH0y5IvQnenreOSKFOo8AF4Pfpekc/edit?gid=400822622#gid=400822622"", ""GRADE 11!Y""&amp;ROW(Y30))"),0.0)</f>
        <v>0</v>
      </c>
      <c r="AB33" s="39">
        <f>IFERROR(__xludf.DUMMYFUNCTION("IMPORTRANGE(""https://docs.google.com/spreadsheets/d/1CaLR8gtRCp0-wyyH0y5IvQnenreOSKFOo8AF4Pfpekc/edit?gid=400822622#gid=400822622"", ""GRADE 11!Z""&amp;ROW(Z30))"),0.0)</f>
        <v>0</v>
      </c>
    </row>
    <row r="34" ht="20.25" customHeight="1">
      <c r="A34" s="28" t="s">
        <v>19</v>
      </c>
      <c r="B34" s="29">
        <v>24.0</v>
      </c>
      <c r="C34" s="30" t="s">
        <v>73</v>
      </c>
      <c r="D34" s="118" t="s">
        <v>55</v>
      </c>
      <c r="E34" s="32" t="s">
        <v>74</v>
      </c>
      <c r="F34" s="32" t="s">
        <v>43</v>
      </c>
      <c r="G34" s="34">
        <v>17.0</v>
      </c>
      <c r="H34" s="34">
        <v>29.0</v>
      </c>
      <c r="I34" s="35">
        <f t="shared" si="1"/>
        <v>46</v>
      </c>
      <c r="J34" s="119">
        <f>IFERROR(__xludf.DUMMYFUNCTION("IMPORTRANGE(""https://docs.google.com/spreadsheets/d/1CaLR8gtRCp0-wyyH0y5IvQnenreOSKFOo8AF4Pfpekc/edit?gid=400822622#gid=400822622"", ""GRADE 11!H""&amp;ROW(H31))"),0.0)</f>
        <v>0</v>
      </c>
      <c r="K34" s="119">
        <f>IFERROR(__xludf.DUMMYFUNCTION("IMPORTRANGE(""https://docs.google.com/spreadsheets/d/1CaLR8gtRCp0-wyyH0y5IvQnenreOSKFOo8AF4Pfpekc/edit?gid=400822622#gid=400822622"", ""GRADE 11!I""&amp;ROW(I31))"),0.0)</f>
        <v>0</v>
      </c>
      <c r="L34" s="119">
        <f>IFERROR(__xludf.DUMMYFUNCTION("IMPORTRANGE(""https://docs.google.com/spreadsheets/d/1CaLR8gtRCp0-wyyH0y5IvQnenreOSKFOo8AF4Pfpekc/edit?gid=400822622#gid=400822622"", ""GRADE 11!J""&amp;ROW(J31))"),0.0)</f>
        <v>0</v>
      </c>
      <c r="M34" s="119">
        <f>IFERROR(__xludf.DUMMYFUNCTION("IMPORTRANGE(""https://docs.google.com/spreadsheets/d/1CaLR8gtRCp0-wyyH0y5IvQnenreOSKFOo8AF4Pfpekc/edit?gid=400822622#gid=400822622"", ""GRADE 11!K""&amp;ROW(K31))"),0.0)</f>
        <v>0</v>
      </c>
      <c r="N34" s="119">
        <f>IFERROR(__xludf.DUMMYFUNCTION("IMPORTRANGE(""https://docs.google.com/spreadsheets/d/1CaLR8gtRCp0-wyyH0y5IvQnenreOSKFOo8AF4Pfpekc/edit?gid=400822622#gid=400822622"", ""GRADE 11!L""&amp;ROW(L31))"),0.0)</f>
        <v>0</v>
      </c>
      <c r="O34" s="119">
        <f>IFERROR(__xludf.DUMMYFUNCTION("IMPORTRANGE(""https://docs.google.com/spreadsheets/d/1CaLR8gtRCp0-wyyH0y5IvQnenreOSKFOo8AF4Pfpekc/edit?gid=400822622#gid=400822622"", ""GRADE 11!M""&amp;ROW(M31))"),0.0)</f>
        <v>0</v>
      </c>
      <c r="P34" s="119">
        <f>IFERROR(__xludf.DUMMYFUNCTION("IMPORTRANGE(""https://docs.google.com/spreadsheets/d/1CaLR8gtRCp0-wyyH0y5IvQnenreOSKFOo8AF4Pfpekc/edit?gid=400822622#gid=400822622"", ""GRADE 11!N""&amp;ROW(N31))"),0.0)</f>
        <v>0</v>
      </c>
      <c r="Q34" s="119">
        <f>IFERROR(__xludf.DUMMYFUNCTION("IMPORTRANGE(""https://docs.google.com/spreadsheets/d/1CaLR8gtRCp0-wyyH0y5IvQnenreOSKFOo8AF4Pfpekc/edit?gid=400822622#gid=400822622"", ""GRADE 11!O""&amp;ROW(O31))"),0.0)</f>
        <v>0</v>
      </c>
      <c r="R34" s="119" t="str">
        <f>IFERROR(__xludf.DUMMYFUNCTION("IMPORTRANGE(""https://docs.google.com/spreadsheets/d/1CaLR8gtRCp0-wyyH0y5IvQnenreOSKFOo8AF4Pfpekc/edit?gid=400822622#gid=400822622"", ""GRADE 11!P""&amp;ROW(P31))"),"")</f>
        <v/>
      </c>
      <c r="S34" s="119" t="str">
        <f>IFERROR(__xludf.DUMMYFUNCTION("IMPORTRANGE(""https://docs.google.com/spreadsheets/d/1CaLR8gtRCp0-wyyH0y5IvQnenreOSKFOo8AF4Pfpekc/edit?gid=400822622#gid=400822622"", ""GRADE 11!Q""&amp;ROW(Q31))"),"")</f>
        <v/>
      </c>
      <c r="T34" s="119" t="str">
        <f>IFERROR(__xludf.DUMMYFUNCTION("IMPORTRANGE(""https://docs.google.com/spreadsheets/d/1CaLR8gtRCp0-wyyH0y5IvQnenreOSKFOo8AF4Pfpekc/edit?gid=400822622#gid=400822622"", ""GRADE 11!R""&amp;ROW(R31))"),"")</f>
        <v/>
      </c>
      <c r="U34" s="119" t="str">
        <f>IFERROR(__xludf.DUMMYFUNCTION("IMPORTRANGE(""https://docs.google.com/spreadsheets/d/1CaLR8gtRCp0-wyyH0y5IvQnenreOSKFOo8AF4Pfpekc/edit?gid=400822622#gid=400822622"", ""GRADE 11!S""&amp;ROW(S31))"),"")</f>
        <v/>
      </c>
      <c r="V34" s="119" t="str">
        <f>IFERROR(__xludf.DUMMYFUNCTION("IMPORTRANGE(""https://docs.google.com/spreadsheets/d/1CaLR8gtRCp0-wyyH0y5IvQnenreOSKFOo8AF4Pfpekc/edit?gid=400822622#gid=400822622"", ""GRADE 11!T""&amp;ROW(T31))"),"")</f>
        <v/>
      </c>
      <c r="W34" s="119" t="str">
        <f>IFERROR(__xludf.DUMMYFUNCTION("IMPORTRANGE(""https://docs.google.com/spreadsheets/d/1CaLR8gtRCp0-wyyH0y5IvQnenreOSKFOo8AF4Pfpekc/edit?gid=400822622#gid=400822622"", ""GRADE 11!U""&amp;ROW(U31))"),"")</f>
        <v/>
      </c>
      <c r="X34" s="119">
        <f>IFERROR(__xludf.DUMMYFUNCTION("IMPORTRANGE(""https://docs.google.com/spreadsheets/d/1CaLR8gtRCp0-wyyH0y5IvQnenreOSKFOo8AF4Pfpekc/edit?gid=400822622#gid=400822622"", ""GRADE 11!V""&amp;ROW(V31))"),0.0)</f>
        <v>0</v>
      </c>
      <c r="Y34" s="119" t="str">
        <f>IFERROR(__xludf.DUMMYFUNCTION("IMPORTRANGE(""https://docs.google.com/spreadsheets/d/1CaLR8gtRCp0-wyyH0y5IvQnenreOSKFOo8AF4Pfpekc/edit?gid=400822622#gid=400822622"", ""GRADE 11!W""&amp;ROW(W31))"),"")</f>
        <v/>
      </c>
      <c r="Z34" s="120">
        <f>IFERROR(__xludf.DUMMYFUNCTION("IMPORTRANGE(""https://docs.google.com/spreadsheets/d/1CaLR8gtRCp0-wyyH0y5IvQnenreOSKFOo8AF4Pfpekc/edit?gid=400822622#gid=400822622"", ""GRADE 11!X""&amp;ROW(X31))"),9.0)</f>
        <v>9</v>
      </c>
      <c r="AA34" s="121">
        <f>IFERROR(__xludf.DUMMYFUNCTION("IMPORTRANGE(""https://docs.google.com/spreadsheets/d/1CaLR8gtRCp0-wyyH0y5IvQnenreOSKFOo8AF4Pfpekc/edit?gid=400822622#gid=400822622"", ""GRADE 11!Y""&amp;ROW(Y31))"),0.0)</f>
        <v>0</v>
      </c>
      <c r="AB34" s="39">
        <f>IFERROR(__xludf.DUMMYFUNCTION("IMPORTRANGE(""https://docs.google.com/spreadsheets/d/1CaLR8gtRCp0-wyyH0y5IvQnenreOSKFOo8AF4Pfpekc/edit?gid=400822622#gid=400822622"", ""GRADE 11!Z""&amp;ROW(Z31))"),0.0)</f>
        <v>0</v>
      </c>
    </row>
    <row r="35">
      <c r="A35" s="28" t="s">
        <v>19</v>
      </c>
      <c r="B35" s="29">
        <v>25.0</v>
      </c>
      <c r="C35" s="30" t="s">
        <v>75</v>
      </c>
      <c r="D35" s="118" t="s">
        <v>55</v>
      </c>
      <c r="E35" s="32" t="s">
        <v>76</v>
      </c>
      <c r="F35" s="32" t="s">
        <v>27</v>
      </c>
      <c r="G35" s="34">
        <v>14.0</v>
      </c>
      <c r="H35" s="34">
        <v>30.0</v>
      </c>
      <c r="I35" s="35">
        <f t="shared" si="1"/>
        <v>44</v>
      </c>
      <c r="J35" s="119">
        <f>IFERROR(__xludf.DUMMYFUNCTION("IMPORTRANGE(""https://docs.google.com/spreadsheets/d/1CaLR8gtRCp0-wyyH0y5IvQnenreOSKFOo8AF4Pfpekc/edit?gid=400822622#gid=400822622"", ""GRADE 11!H""&amp;ROW(H32))"),0.0)</f>
        <v>0</v>
      </c>
      <c r="K35" s="119">
        <f>IFERROR(__xludf.DUMMYFUNCTION("IMPORTRANGE(""https://docs.google.com/spreadsheets/d/1CaLR8gtRCp0-wyyH0y5IvQnenreOSKFOo8AF4Pfpekc/edit?gid=400822622#gid=400822622"", ""GRADE 11!I""&amp;ROW(I32))"),0.0)</f>
        <v>0</v>
      </c>
      <c r="L35" s="119">
        <f>IFERROR(__xludf.DUMMYFUNCTION("IMPORTRANGE(""https://docs.google.com/spreadsheets/d/1CaLR8gtRCp0-wyyH0y5IvQnenreOSKFOo8AF4Pfpekc/edit?gid=400822622#gid=400822622"", ""GRADE 11!J""&amp;ROW(J32))"),0.0)</f>
        <v>0</v>
      </c>
      <c r="M35" s="119">
        <f>IFERROR(__xludf.DUMMYFUNCTION("IMPORTRANGE(""https://docs.google.com/spreadsheets/d/1CaLR8gtRCp0-wyyH0y5IvQnenreOSKFOo8AF4Pfpekc/edit?gid=400822622#gid=400822622"", ""GRADE 11!K""&amp;ROW(K32))"),0.0)</f>
        <v>0</v>
      </c>
      <c r="N35" s="119">
        <f>IFERROR(__xludf.DUMMYFUNCTION("IMPORTRANGE(""https://docs.google.com/spreadsheets/d/1CaLR8gtRCp0-wyyH0y5IvQnenreOSKFOo8AF4Pfpekc/edit?gid=400822622#gid=400822622"", ""GRADE 11!L""&amp;ROW(L32))"),0.0)</f>
        <v>0</v>
      </c>
      <c r="O35" s="119">
        <f>IFERROR(__xludf.DUMMYFUNCTION("IMPORTRANGE(""https://docs.google.com/spreadsheets/d/1CaLR8gtRCp0-wyyH0y5IvQnenreOSKFOo8AF4Pfpekc/edit?gid=400822622#gid=400822622"", ""GRADE 11!M""&amp;ROW(M32))"),0.0)</f>
        <v>0</v>
      </c>
      <c r="P35" s="119">
        <f>IFERROR(__xludf.DUMMYFUNCTION("IMPORTRANGE(""https://docs.google.com/spreadsheets/d/1CaLR8gtRCp0-wyyH0y5IvQnenreOSKFOo8AF4Pfpekc/edit?gid=400822622#gid=400822622"", ""GRADE 11!N""&amp;ROW(N32))"),0.0)</f>
        <v>0</v>
      </c>
      <c r="Q35" s="119">
        <f>IFERROR(__xludf.DUMMYFUNCTION("IMPORTRANGE(""https://docs.google.com/spreadsheets/d/1CaLR8gtRCp0-wyyH0y5IvQnenreOSKFOo8AF4Pfpekc/edit?gid=400822622#gid=400822622"", ""GRADE 11!O""&amp;ROW(O32))"),0.0)</f>
        <v>0</v>
      </c>
      <c r="R35" s="119" t="str">
        <f>IFERROR(__xludf.DUMMYFUNCTION("IMPORTRANGE(""https://docs.google.com/spreadsheets/d/1CaLR8gtRCp0-wyyH0y5IvQnenreOSKFOo8AF4Pfpekc/edit?gid=400822622#gid=400822622"", ""GRADE 11!P""&amp;ROW(P32))"),"")</f>
        <v/>
      </c>
      <c r="S35" s="119" t="str">
        <f>IFERROR(__xludf.DUMMYFUNCTION("IMPORTRANGE(""https://docs.google.com/spreadsheets/d/1CaLR8gtRCp0-wyyH0y5IvQnenreOSKFOo8AF4Pfpekc/edit?gid=400822622#gid=400822622"", ""GRADE 11!Q""&amp;ROW(Q32))"),"")</f>
        <v/>
      </c>
      <c r="T35" s="119" t="str">
        <f>IFERROR(__xludf.DUMMYFUNCTION("IMPORTRANGE(""https://docs.google.com/spreadsheets/d/1CaLR8gtRCp0-wyyH0y5IvQnenreOSKFOo8AF4Pfpekc/edit?gid=400822622#gid=400822622"", ""GRADE 11!R""&amp;ROW(R32))"),"")</f>
        <v/>
      </c>
      <c r="U35" s="119" t="str">
        <f>IFERROR(__xludf.DUMMYFUNCTION("IMPORTRANGE(""https://docs.google.com/spreadsheets/d/1CaLR8gtRCp0-wyyH0y5IvQnenreOSKFOo8AF4Pfpekc/edit?gid=400822622#gid=400822622"", ""GRADE 11!S""&amp;ROW(S32))"),"")</f>
        <v/>
      </c>
      <c r="V35" s="119" t="str">
        <f>IFERROR(__xludf.DUMMYFUNCTION("IMPORTRANGE(""https://docs.google.com/spreadsheets/d/1CaLR8gtRCp0-wyyH0y5IvQnenreOSKFOo8AF4Pfpekc/edit?gid=400822622#gid=400822622"", ""GRADE 11!T""&amp;ROW(T32))"),"")</f>
        <v/>
      </c>
      <c r="W35" s="119" t="str">
        <f>IFERROR(__xludf.DUMMYFUNCTION("IMPORTRANGE(""https://docs.google.com/spreadsheets/d/1CaLR8gtRCp0-wyyH0y5IvQnenreOSKFOo8AF4Pfpekc/edit?gid=400822622#gid=400822622"", ""GRADE 11!U""&amp;ROW(U32))"),"")</f>
        <v/>
      </c>
      <c r="X35" s="119">
        <f>IFERROR(__xludf.DUMMYFUNCTION("IMPORTRANGE(""https://docs.google.com/spreadsheets/d/1CaLR8gtRCp0-wyyH0y5IvQnenreOSKFOo8AF4Pfpekc/edit?gid=400822622#gid=400822622"", ""GRADE 11!V""&amp;ROW(V32))"),0.0)</f>
        <v>0</v>
      </c>
      <c r="Y35" s="119" t="str">
        <f>IFERROR(__xludf.DUMMYFUNCTION("IMPORTRANGE(""https://docs.google.com/spreadsheets/d/1CaLR8gtRCp0-wyyH0y5IvQnenreOSKFOo8AF4Pfpekc/edit?gid=400822622#gid=400822622"", ""GRADE 11!W""&amp;ROW(W32))"),"")</f>
        <v/>
      </c>
      <c r="Z35" s="120">
        <f>IFERROR(__xludf.DUMMYFUNCTION("IMPORTRANGE(""https://docs.google.com/spreadsheets/d/1CaLR8gtRCp0-wyyH0y5IvQnenreOSKFOo8AF4Pfpekc/edit?gid=400822622#gid=400822622"", ""GRADE 11!X""&amp;ROW(X32))"),9.0)</f>
        <v>9</v>
      </c>
      <c r="AA35" s="121">
        <f>IFERROR(__xludf.DUMMYFUNCTION("IMPORTRANGE(""https://docs.google.com/spreadsheets/d/1CaLR8gtRCp0-wyyH0y5IvQnenreOSKFOo8AF4Pfpekc/edit?gid=400822622#gid=400822622"", ""GRADE 11!Y""&amp;ROW(Y32))"),0.0)</f>
        <v>0</v>
      </c>
      <c r="AB35" s="39">
        <f>IFERROR(__xludf.DUMMYFUNCTION("IMPORTRANGE(""https://docs.google.com/spreadsheets/d/1CaLR8gtRCp0-wyyH0y5IvQnenreOSKFOo8AF4Pfpekc/edit?gid=400822622#gid=400822622"", ""GRADE 11!Z""&amp;ROW(Z32))"),0.0)</f>
        <v>0</v>
      </c>
    </row>
    <row r="36" ht="23.25" customHeight="1">
      <c r="A36" s="28" t="s">
        <v>19</v>
      </c>
      <c r="B36" s="29">
        <v>26.0</v>
      </c>
      <c r="C36" s="30" t="s">
        <v>77</v>
      </c>
      <c r="D36" s="118" t="s">
        <v>55</v>
      </c>
      <c r="E36" s="32" t="s">
        <v>78</v>
      </c>
      <c r="F36" s="32" t="s">
        <v>43</v>
      </c>
      <c r="G36" s="34">
        <v>18.0</v>
      </c>
      <c r="H36" s="34">
        <v>24.0</v>
      </c>
      <c r="I36" s="35">
        <f t="shared" si="1"/>
        <v>42</v>
      </c>
      <c r="J36" s="119" t="str">
        <f>IFERROR(__xludf.DUMMYFUNCTION("IMPORTRANGE(""https://docs.google.com/spreadsheets/d/1CaLR8gtRCp0-wyyH0y5IvQnenreOSKFOo8AF4Pfpekc/edit?gid=400822622#gid=400822622"", ""GRADE 11!H""&amp;ROW(H33))"),"")</f>
        <v/>
      </c>
      <c r="K36" s="119" t="str">
        <f>IFERROR(__xludf.DUMMYFUNCTION("IMPORTRANGE(""https://docs.google.com/spreadsheets/d/1CaLR8gtRCp0-wyyH0y5IvQnenreOSKFOo8AF4Pfpekc/edit?gid=400822622#gid=400822622"", ""GRADE 11!I""&amp;ROW(I33))"),"")</f>
        <v/>
      </c>
      <c r="L36" s="119" t="str">
        <f>IFERROR(__xludf.DUMMYFUNCTION("IMPORTRANGE(""https://docs.google.com/spreadsheets/d/1CaLR8gtRCp0-wyyH0y5IvQnenreOSKFOo8AF4Pfpekc/edit?gid=400822622#gid=400822622"", ""GRADE 11!J""&amp;ROW(J33))"),"")</f>
        <v/>
      </c>
      <c r="M36" s="119" t="str">
        <f>IFERROR(__xludf.DUMMYFUNCTION("IMPORTRANGE(""https://docs.google.com/spreadsheets/d/1CaLR8gtRCp0-wyyH0y5IvQnenreOSKFOo8AF4Pfpekc/edit?gid=400822622#gid=400822622"", ""GRADE 11!K""&amp;ROW(K33))"),"")</f>
        <v/>
      </c>
      <c r="N36" s="119" t="str">
        <f>IFERROR(__xludf.DUMMYFUNCTION("IMPORTRANGE(""https://docs.google.com/spreadsheets/d/1CaLR8gtRCp0-wyyH0y5IvQnenreOSKFOo8AF4Pfpekc/edit?gid=400822622#gid=400822622"", ""GRADE 11!L""&amp;ROW(L33))"),"")</f>
        <v/>
      </c>
      <c r="O36" s="119" t="str">
        <f>IFERROR(__xludf.DUMMYFUNCTION("IMPORTRANGE(""https://docs.google.com/spreadsheets/d/1CaLR8gtRCp0-wyyH0y5IvQnenreOSKFOo8AF4Pfpekc/edit?gid=400822622#gid=400822622"", ""GRADE 11!M""&amp;ROW(M33))"),"")</f>
        <v/>
      </c>
      <c r="P36" s="119" t="str">
        <f>IFERROR(__xludf.DUMMYFUNCTION("IMPORTRANGE(""https://docs.google.com/spreadsheets/d/1CaLR8gtRCp0-wyyH0y5IvQnenreOSKFOo8AF4Pfpekc/edit?gid=400822622#gid=400822622"", ""GRADE 11!N""&amp;ROW(N33))"),"")</f>
        <v/>
      </c>
      <c r="Q36" s="119" t="str">
        <f>IFERROR(__xludf.DUMMYFUNCTION("IMPORTRANGE(""https://docs.google.com/spreadsheets/d/1CaLR8gtRCp0-wyyH0y5IvQnenreOSKFOo8AF4Pfpekc/edit?gid=400822622#gid=400822622"", ""GRADE 11!O""&amp;ROW(O33))"),"")</f>
        <v/>
      </c>
      <c r="R36" s="119">
        <f>IFERROR(__xludf.DUMMYFUNCTION("IMPORTRANGE(""https://docs.google.com/spreadsheets/d/1CaLR8gtRCp0-wyyH0y5IvQnenreOSKFOo8AF4Pfpekc/edit?gid=400822622#gid=400822622"", ""GRADE 11!P""&amp;ROW(P33))"),0.0)</f>
        <v>0</v>
      </c>
      <c r="S36" s="119">
        <f>IFERROR(__xludf.DUMMYFUNCTION("IMPORTRANGE(""https://docs.google.com/spreadsheets/d/1CaLR8gtRCp0-wyyH0y5IvQnenreOSKFOo8AF4Pfpekc/edit?gid=400822622#gid=400822622"", ""GRADE 11!Q""&amp;ROW(Q33))"),0.0)</f>
        <v>0</v>
      </c>
      <c r="T36" s="119">
        <f>IFERROR(__xludf.DUMMYFUNCTION("IMPORTRANGE(""https://docs.google.com/spreadsheets/d/1CaLR8gtRCp0-wyyH0y5IvQnenreOSKFOo8AF4Pfpekc/edit?gid=400822622#gid=400822622"", ""GRADE 11!R""&amp;ROW(R33))"),0.0)</f>
        <v>0</v>
      </c>
      <c r="U36" s="119">
        <f>IFERROR(__xludf.DUMMYFUNCTION("IMPORTRANGE(""https://docs.google.com/spreadsheets/d/1CaLR8gtRCp0-wyyH0y5IvQnenreOSKFOo8AF4Pfpekc/edit?gid=400822622#gid=400822622"", ""GRADE 11!S""&amp;ROW(S33))"),0.0)</f>
        <v>0</v>
      </c>
      <c r="V36" s="119">
        <f>IFERROR(__xludf.DUMMYFUNCTION("IMPORTRANGE(""https://docs.google.com/spreadsheets/d/1CaLR8gtRCp0-wyyH0y5IvQnenreOSKFOo8AF4Pfpekc/edit?gid=400822622#gid=400822622"", ""GRADE 11!T""&amp;ROW(T33))"),0.0)</f>
        <v>0</v>
      </c>
      <c r="W36" s="119">
        <f>IFERROR(__xludf.DUMMYFUNCTION("IMPORTRANGE(""https://docs.google.com/spreadsheets/d/1CaLR8gtRCp0-wyyH0y5IvQnenreOSKFOo8AF4Pfpekc/edit?gid=400822622#gid=400822622"", ""GRADE 11!U""&amp;ROW(U33))"),0.0)</f>
        <v>0</v>
      </c>
      <c r="X36" s="119">
        <f>IFERROR(__xludf.DUMMYFUNCTION("IMPORTRANGE(""https://docs.google.com/spreadsheets/d/1CaLR8gtRCp0-wyyH0y5IvQnenreOSKFOo8AF4Pfpekc/edit?gid=400822622#gid=400822622"", ""GRADE 11!V""&amp;ROW(V33))"),0.0)</f>
        <v>0</v>
      </c>
      <c r="Y36" s="119" t="str">
        <f>IFERROR(__xludf.DUMMYFUNCTION("IMPORTRANGE(""https://docs.google.com/spreadsheets/d/1CaLR8gtRCp0-wyyH0y5IvQnenreOSKFOo8AF4Pfpekc/edit?gid=400822622#gid=400822622"", ""GRADE 11!W""&amp;ROW(W33))"),"")</f>
        <v/>
      </c>
      <c r="Z36" s="120">
        <f>IFERROR(__xludf.DUMMYFUNCTION("IMPORTRANGE(""https://docs.google.com/spreadsheets/d/1CaLR8gtRCp0-wyyH0y5IvQnenreOSKFOo8AF4Pfpekc/edit?gid=400822622#gid=400822622"", ""GRADE 11!X""&amp;ROW(X33))"),7.0)</f>
        <v>7</v>
      </c>
      <c r="AA36" s="121">
        <f>IFERROR(__xludf.DUMMYFUNCTION("IMPORTRANGE(""https://docs.google.com/spreadsheets/d/1CaLR8gtRCp0-wyyH0y5IvQnenreOSKFOo8AF4Pfpekc/edit?gid=400822622#gid=400822622"", ""GRADE 11!Y""&amp;ROW(Y33))"),0.0)</f>
        <v>0</v>
      </c>
      <c r="AB36" s="39">
        <f>IFERROR(__xludf.DUMMYFUNCTION("IMPORTRANGE(""https://docs.google.com/spreadsheets/d/1CaLR8gtRCp0-wyyH0y5IvQnenreOSKFOo8AF4Pfpekc/edit?gid=400822622#gid=400822622"", ""GRADE 11!Z""&amp;ROW(Z33))"),0.0)</f>
        <v>0</v>
      </c>
    </row>
    <row r="37">
      <c r="A37" s="28" t="s">
        <v>19</v>
      </c>
      <c r="B37" s="29">
        <v>27.0</v>
      </c>
      <c r="C37" s="30" t="s">
        <v>79</v>
      </c>
      <c r="D37" s="118" t="s">
        <v>55</v>
      </c>
      <c r="E37" s="32" t="s">
        <v>80</v>
      </c>
      <c r="F37" s="32" t="s">
        <v>30</v>
      </c>
      <c r="G37" s="34">
        <v>18.0</v>
      </c>
      <c r="H37" s="34">
        <v>28.0</v>
      </c>
      <c r="I37" s="35">
        <f t="shared" si="1"/>
        <v>46</v>
      </c>
      <c r="J37" s="119" t="str">
        <f>IFERROR(__xludf.DUMMYFUNCTION("IMPORTRANGE(""https://docs.google.com/spreadsheets/d/1CaLR8gtRCp0-wyyH0y5IvQnenreOSKFOo8AF4Pfpekc/edit?gid=400822622#gid=400822622"", ""GRADE 11!H""&amp;ROW(H34))"),"")</f>
        <v/>
      </c>
      <c r="K37" s="119" t="str">
        <f>IFERROR(__xludf.DUMMYFUNCTION("IMPORTRANGE(""https://docs.google.com/spreadsheets/d/1CaLR8gtRCp0-wyyH0y5IvQnenreOSKFOo8AF4Pfpekc/edit?gid=400822622#gid=400822622"", ""GRADE 11!I""&amp;ROW(I34))"),"")</f>
        <v/>
      </c>
      <c r="L37" s="119" t="str">
        <f>IFERROR(__xludf.DUMMYFUNCTION("IMPORTRANGE(""https://docs.google.com/spreadsheets/d/1CaLR8gtRCp0-wyyH0y5IvQnenreOSKFOo8AF4Pfpekc/edit?gid=400822622#gid=400822622"", ""GRADE 11!J""&amp;ROW(J34))"),"")</f>
        <v/>
      </c>
      <c r="M37" s="119" t="str">
        <f>IFERROR(__xludf.DUMMYFUNCTION("IMPORTRANGE(""https://docs.google.com/spreadsheets/d/1CaLR8gtRCp0-wyyH0y5IvQnenreOSKFOo8AF4Pfpekc/edit?gid=400822622#gid=400822622"", ""GRADE 11!K""&amp;ROW(K34))"),"")</f>
        <v/>
      </c>
      <c r="N37" s="119" t="str">
        <f>IFERROR(__xludf.DUMMYFUNCTION("IMPORTRANGE(""https://docs.google.com/spreadsheets/d/1CaLR8gtRCp0-wyyH0y5IvQnenreOSKFOo8AF4Pfpekc/edit?gid=400822622#gid=400822622"", ""GRADE 11!L""&amp;ROW(L34))"),"")</f>
        <v/>
      </c>
      <c r="O37" s="119" t="str">
        <f>IFERROR(__xludf.DUMMYFUNCTION("IMPORTRANGE(""https://docs.google.com/spreadsheets/d/1CaLR8gtRCp0-wyyH0y5IvQnenreOSKFOo8AF4Pfpekc/edit?gid=400822622#gid=400822622"", ""GRADE 11!M""&amp;ROW(M34))"),"")</f>
        <v/>
      </c>
      <c r="P37" s="119" t="str">
        <f>IFERROR(__xludf.DUMMYFUNCTION("IMPORTRANGE(""https://docs.google.com/spreadsheets/d/1CaLR8gtRCp0-wyyH0y5IvQnenreOSKFOo8AF4Pfpekc/edit?gid=400822622#gid=400822622"", ""GRADE 11!N""&amp;ROW(N34))"),"")</f>
        <v/>
      </c>
      <c r="Q37" s="119" t="str">
        <f>IFERROR(__xludf.DUMMYFUNCTION("IMPORTRANGE(""https://docs.google.com/spreadsheets/d/1CaLR8gtRCp0-wyyH0y5IvQnenreOSKFOo8AF4Pfpekc/edit?gid=400822622#gid=400822622"", ""GRADE 11!O""&amp;ROW(O34))"),"")</f>
        <v/>
      </c>
      <c r="R37" s="119">
        <f>IFERROR(__xludf.DUMMYFUNCTION("IMPORTRANGE(""https://docs.google.com/spreadsheets/d/1CaLR8gtRCp0-wyyH0y5IvQnenreOSKFOo8AF4Pfpekc/edit?gid=400822622#gid=400822622"", ""GRADE 11!P""&amp;ROW(P34))"),0.0)</f>
        <v>0</v>
      </c>
      <c r="S37" s="119">
        <f>IFERROR(__xludf.DUMMYFUNCTION("IMPORTRANGE(""https://docs.google.com/spreadsheets/d/1CaLR8gtRCp0-wyyH0y5IvQnenreOSKFOo8AF4Pfpekc/edit?gid=400822622#gid=400822622"", ""GRADE 11!Q""&amp;ROW(Q34))"),0.0)</f>
        <v>0</v>
      </c>
      <c r="T37" s="119">
        <f>IFERROR(__xludf.DUMMYFUNCTION("IMPORTRANGE(""https://docs.google.com/spreadsheets/d/1CaLR8gtRCp0-wyyH0y5IvQnenreOSKFOo8AF4Pfpekc/edit?gid=400822622#gid=400822622"", ""GRADE 11!R""&amp;ROW(R34))"),0.0)</f>
        <v>0</v>
      </c>
      <c r="U37" s="119">
        <f>IFERROR(__xludf.DUMMYFUNCTION("IMPORTRANGE(""https://docs.google.com/spreadsheets/d/1CaLR8gtRCp0-wyyH0y5IvQnenreOSKFOo8AF4Pfpekc/edit?gid=400822622#gid=400822622"", ""GRADE 11!S""&amp;ROW(S34))"),0.0)</f>
        <v>0</v>
      </c>
      <c r="V37" s="119">
        <f>IFERROR(__xludf.DUMMYFUNCTION("IMPORTRANGE(""https://docs.google.com/spreadsheets/d/1CaLR8gtRCp0-wyyH0y5IvQnenreOSKFOo8AF4Pfpekc/edit?gid=400822622#gid=400822622"", ""GRADE 11!T""&amp;ROW(T34))"),0.0)</f>
        <v>0</v>
      </c>
      <c r="W37" s="119">
        <f>IFERROR(__xludf.DUMMYFUNCTION("IMPORTRANGE(""https://docs.google.com/spreadsheets/d/1CaLR8gtRCp0-wyyH0y5IvQnenreOSKFOo8AF4Pfpekc/edit?gid=400822622#gid=400822622"", ""GRADE 11!U""&amp;ROW(U34))"),0.0)</f>
        <v>0</v>
      </c>
      <c r="X37" s="119">
        <f>IFERROR(__xludf.DUMMYFUNCTION("IMPORTRANGE(""https://docs.google.com/spreadsheets/d/1CaLR8gtRCp0-wyyH0y5IvQnenreOSKFOo8AF4Pfpekc/edit?gid=400822622#gid=400822622"", ""GRADE 11!V""&amp;ROW(V34))"),0.0)</f>
        <v>0</v>
      </c>
      <c r="Y37" s="119" t="str">
        <f>IFERROR(__xludf.DUMMYFUNCTION("IMPORTRANGE(""https://docs.google.com/spreadsheets/d/1CaLR8gtRCp0-wyyH0y5IvQnenreOSKFOo8AF4Pfpekc/edit?gid=400822622#gid=400822622"", ""GRADE 11!W""&amp;ROW(W34))"),"")</f>
        <v/>
      </c>
      <c r="Z37" s="120">
        <f>IFERROR(__xludf.DUMMYFUNCTION("IMPORTRANGE(""https://docs.google.com/spreadsheets/d/1CaLR8gtRCp0-wyyH0y5IvQnenreOSKFOo8AF4Pfpekc/edit?gid=400822622#gid=400822622"", ""GRADE 11!X""&amp;ROW(X34))"),7.0)</f>
        <v>7</v>
      </c>
      <c r="AA37" s="121">
        <f>IFERROR(__xludf.DUMMYFUNCTION("IMPORTRANGE(""https://docs.google.com/spreadsheets/d/1CaLR8gtRCp0-wyyH0y5IvQnenreOSKFOo8AF4Pfpekc/edit?gid=400822622#gid=400822622"", ""GRADE 11!Y""&amp;ROW(Y34))"),0.0)</f>
        <v>0</v>
      </c>
      <c r="AB37" s="39">
        <f>IFERROR(__xludf.DUMMYFUNCTION("IMPORTRANGE(""https://docs.google.com/spreadsheets/d/1CaLR8gtRCp0-wyyH0y5IvQnenreOSKFOo8AF4Pfpekc/edit?gid=400822622#gid=400822622"", ""GRADE 11!Z""&amp;ROW(Z34))"),0.0)</f>
        <v>0</v>
      </c>
    </row>
    <row r="38">
      <c r="A38" s="28" t="s">
        <v>19</v>
      </c>
      <c r="B38" s="29">
        <v>28.0</v>
      </c>
      <c r="C38" s="30" t="s">
        <v>81</v>
      </c>
      <c r="D38" s="118" t="s">
        <v>55</v>
      </c>
      <c r="E38" s="32" t="s">
        <v>82</v>
      </c>
      <c r="F38" s="32" t="s">
        <v>55</v>
      </c>
      <c r="G38" s="34">
        <v>19.0</v>
      </c>
      <c r="H38" s="34">
        <v>27.0</v>
      </c>
      <c r="I38" s="35">
        <f t="shared" si="1"/>
        <v>46</v>
      </c>
      <c r="J38" s="119" t="str">
        <f>IFERROR(__xludf.DUMMYFUNCTION("IMPORTRANGE(""https://docs.google.com/spreadsheets/d/1CaLR8gtRCp0-wyyH0y5IvQnenreOSKFOo8AF4Pfpekc/edit?gid=400822622#gid=400822622"", ""GRADE 11!H""&amp;ROW(H35))"),"")</f>
        <v/>
      </c>
      <c r="K38" s="119" t="str">
        <f>IFERROR(__xludf.DUMMYFUNCTION("IMPORTRANGE(""https://docs.google.com/spreadsheets/d/1CaLR8gtRCp0-wyyH0y5IvQnenreOSKFOo8AF4Pfpekc/edit?gid=400822622#gid=400822622"", ""GRADE 11!I""&amp;ROW(I35))"),"")</f>
        <v/>
      </c>
      <c r="L38" s="119" t="str">
        <f>IFERROR(__xludf.DUMMYFUNCTION("IMPORTRANGE(""https://docs.google.com/spreadsheets/d/1CaLR8gtRCp0-wyyH0y5IvQnenreOSKFOo8AF4Pfpekc/edit?gid=400822622#gid=400822622"", ""GRADE 11!J""&amp;ROW(J35))"),"")</f>
        <v/>
      </c>
      <c r="M38" s="119" t="str">
        <f>IFERROR(__xludf.DUMMYFUNCTION("IMPORTRANGE(""https://docs.google.com/spreadsheets/d/1CaLR8gtRCp0-wyyH0y5IvQnenreOSKFOo8AF4Pfpekc/edit?gid=400822622#gid=400822622"", ""GRADE 11!K""&amp;ROW(K35))"),"")</f>
        <v/>
      </c>
      <c r="N38" s="119" t="str">
        <f>IFERROR(__xludf.DUMMYFUNCTION("IMPORTRANGE(""https://docs.google.com/spreadsheets/d/1CaLR8gtRCp0-wyyH0y5IvQnenreOSKFOo8AF4Pfpekc/edit?gid=400822622#gid=400822622"", ""GRADE 11!L""&amp;ROW(L35))"),"")</f>
        <v/>
      </c>
      <c r="O38" s="119" t="str">
        <f>IFERROR(__xludf.DUMMYFUNCTION("IMPORTRANGE(""https://docs.google.com/spreadsheets/d/1CaLR8gtRCp0-wyyH0y5IvQnenreOSKFOo8AF4Pfpekc/edit?gid=400822622#gid=400822622"", ""GRADE 11!M""&amp;ROW(M35))"),"")</f>
        <v/>
      </c>
      <c r="P38" s="119" t="str">
        <f>IFERROR(__xludf.DUMMYFUNCTION("IMPORTRANGE(""https://docs.google.com/spreadsheets/d/1CaLR8gtRCp0-wyyH0y5IvQnenreOSKFOo8AF4Pfpekc/edit?gid=400822622#gid=400822622"", ""GRADE 11!N""&amp;ROW(N35))"),"")</f>
        <v/>
      </c>
      <c r="Q38" s="119" t="str">
        <f>IFERROR(__xludf.DUMMYFUNCTION("IMPORTRANGE(""https://docs.google.com/spreadsheets/d/1CaLR8gtRCp0-wyyH0y5IvQnenreOSKFOo8AF4Pfpekc/edit?gid=400822622#gid=400822622"", ""GRADE 11!O""&amp;ROW(O35))"),"")</f>
        <v/>
      </c>
      <c r="R38" s="119">
        <f>IFERROR(__xludf.DUMMYFUNCTION("IMPORTRANGE(""https://docs.google.com/spreadsheets/d/1CaLR8gtRCp0-wyyH0y5IvQnenreOSKFOo8AF4Pfpekc/edit?gid=400822622#gid=400822622"", ""GRADE 11!P""&amp;ROW(P35))"),0.0)</f>
        <v>0</v>
      </c>
      <c r="S38" s="119">
        <f>IFERROR(__xludf.DUMMYFUNCTION("IMPORTRANGE(""https://docs.google.com/spreadsheets/d/1CaLR8gtRCp0-wyyH0y5IvQnenreOSKFOo8AF4Pfpekc/edit?gid=400822622#gid=400822622"", ""GRADE 11!Q""&amp;ROW(Q35))"),0.0)</f>
        <v>0</v>
      </c>
      <c r="T38" s="119">
        <f>IFERROR(__xludf.DUMMYFUNCTION("IMPORTRANGE(""https://docs.google.com/spreadsheets/d/1CaLR8gtRCp0-wyyH0y5IvQnenreOSKFOo8AF4Pfpekc/edit?gid=400822622#gid=400822622"", ""GRADE 11!R""&amp;ROW(R35))"),0.0)</f>
        <v>0</v>
      </c>
      <c r="U38" s="119">
        <f>IFERROR(__xludf.DUMMYFUNCTION("IMPORTRANGE(""https://docs.google.com/spreadsheets/d/1CaLR8gtRCp0-wyyH0y5IvQnenreOSKFOo8AF4Pfpekc/edit?gid=400822622#gid=400822622"", ""GRADE 11!S""&amp;ROW(S35))"),0.0)</f>
        <v>0</v>
      </c>
      <c r="V38" s="119">
        <f>IFERROR(__xludf.DUMMYFUNCTION("IMPORTRANGE(""https://docs.google.com/spreadsheets/d/1CaLR8gtRCp0-wyyH0y5IvQnenreOSKFOo8AF4Pfpekc/edit?gid=400822622#gid=400822622"", ""GRADE 11!T""&amp;ROW(T35))"),0.0)</f>
        <v>0</v>
      </c>
      <c r="W38" s="119">
        <f>IFERROR(__xludf.DUMMYFUNCTION("IMPORTRANGE(""https://docs.google.com/spreadsheets/d/1CaLR8gtRCp0-wyyH0y5IvQnenreOSKFOo8AF4Pfpekc/edit?gid=400822622#gid=400822622"", ""GRADE 11!U""&amp;ROW(U35))"),0.0)</f>
        <v>0</v>
      </c>
      <c r="X38" s="119">
        <f>IFERROR(__xludf.DUMMYFUNCTION("IMPORTRANGE(""https://docs.google.com/spreadsheets/d/1CaLR8gtRCp0-wyyH0y5IvQnenreOSKFOo8AF4Pfpekc/edit?gid=400822622#gid=400822622"", ""GRADE 11!V""&amp;ROW(V35))"),0.0)</f>
        <v>0</v>
      </c>
      <c r="Y38" s="119" t="str">
        <f>IFERROR(__xludf.DUMMYFUNCTION("IMPORTRANGE(""https://docs.google.com/spreadsheets/d/1CaLR8gtRCp0-wyyH0y5IvQnenreOSKFOo8AF4Pfpekc/edit?gid=400822622#gid=400822622"", ""GRADE 11!W""&amp;ROW(W35))"),"")</f>
        <v/>
      </c>
      <c r="Z38" s="120">
        <f>IFERROR(__xludf.DUMMYFUNCTION("IMPORTRANGE(""https://docs.google.com/spreadsheets/d/1CaLR8gtRCp0-wyyH0y5IvQnenreOSKFOo8AF4Pfpekc/edit?gid=400822622#gid=400822622"", ""GRADE 11!X""&amp;ROW(X35))"),7.0)</f>
        <v>7</v>
      </c>
      <c r="AA38" s="121">
        <f>IFERROR(__xludf.DUMMYFUNCTION("IMPORTRANGE(""https://docs.google.com/spreadsheets/d/1CaLR8gtRCp0-wyyH0y5IvQnenreOSKFOo8AF4Pfpekc/edit?gid=400822622#gid=400822622"", ""GRADE 11!Y""&amp;ROW(Y35))"),0.0)</f>
        <v>0</v>
      </c>
      <c r="AB38" s="39">
        <f>IFERROR(__xludf.DUMMYFUNCTION("IMPORTRANGE(""https://docs.google.com/spreadsheets/d/1CaLR8gtRCp0-wyyH0y5IvQnenreOSKFOo8AF4Pfpekc/edit?gid=400822622#gid=400822622"", ""GRADE 11!Z""&amp;ROW(Z35))"),0.0)</f>
        <v>0</v>
      </c>
    </row>
    <row r="39">
      <c r="A39" s="28" t="s">
        <v>19</v>
      </c>
      <c r="B39" s="29">
        <v>29.0</v>
      </c>
      <c r="C39" s="30" t="s">
        <v>83</v>
      </c>
      <c r="D39" s="118" t="s">
        <v>55</v>
      </c>
      <c r="E39" s="32" t="s">
        <v>84</v>
      </c>
      <c r="F39" s="32" t="s">
        <v>27</v>
      </c>
      <c r="G39" s="34">
        <v>16.0</v>
      </c>
      <c r="H39" s="34">
        <v>28.0</v>
      </c>
      <c r="I39" s="35">
        <f t="shared" si="1"/>
        <v>44</v>
      </c>
      <c r="J39" s="119" t="str">
        <f>IFERROR(__xludf.DUMMYFUNCTION("IMPORTRANGE(""https://docs.google.com/spreadsheets/d/1CaLR8gtRCp0-wyyH0y5IvQnenreOSKFOo8AF4Pfpekc/edit?gid=400822622#gid=400822622"", ""GRADE 11!H""&amp;ROW(H36))"),"")</f>
        <v/>
      </c>
      <c r="K39" s="119" t="str">
        <f>IFERROR(__xludf.DUMMYFUNCTION("IMPORTRANGE(""https://docs.google.com/spreadsheets/d/1CaLR8gtRCp0-wyyH0y5IvQnenreOSKFOo8AF4Pfpekc/edit?gid=400822622#gid=400822622"", ""GRADE 11!I""&amp;ROW(I36))"),"")</f>
        <v/>
      </c>
      <c r="L39" s="119" t="str">
        <f>IFERROR(__xludf.DUMMYFUNCTION("IMPORTRANGE(""https://docs.google.com/spreadsheets/d/1CaLR8gtRCp0-wyyH0y5IvQnenreOSKFOo8AF4Pfpekc/edit?gid=400822622#gid=400822622"", ""GRADE 11!J""&amp;ROW(J36))"),"")</f>
        <v/>
      </c>
      <c r="M39" s="119" t="str">
        <f>IFERROR(__xludf.DUMMYFUNCTION("IMPORTRANGE(""https://docs.google.com/spreadsheets/d/1CaLR8gtRCp0-wyyH0y5IvQnenreOSKFOo8AF4Pfpekc/edit?gid=400822622#gid=400822622"", ""GRADE 11!K""&amp;ROW(K36))"),"")</f>
        <v/>
      </c>
      <c r="N39" s="119" t="str">
        <f>IFERROR(__xludf.DUMMYFUNCTION("IMPORTRANGE(""https://docs.google.com/spreadsheets/d/1CaLR8gtRCp0-wyyH0y5IvQnenreOSKFOo8AF4Pfpekc/edit?gid=400822622#gid=400822622"", ""GRADE 11!L""&amp;ROW(L36))"),"")</f>
        <v/>
      </c>
      <c r="O39" s="119" t="str">
        <f>IFERROR(__xludf.DUMMYFUNCTION("IMPORTRANGE(""https://docs.google.com/spreadsheets/d/1CaLR8gtRCp0-wyyH0y5IvQnenreOSKFOo8AF4Pfpekc/edit?gid=400822622#gid=400822622"", ""GRADE 11!M""&amp;ROW(M36))"),"")</f>
        <v/>
      </c>
      <c r="P39" s="119" t="str">
        <f>IFERROR(__xludf.DUMMYFUNCTION("IMPORTRANGE(""https://docs.google.com/spreadsheets/d/1CaLR8gtRCp0-wyyH0y5IvQnenreOSKFOo8AF4Pfpekc/edit?gid=400822622#gid=400822622"", ""GRADE 11!N""&amp;ROW(N36))"),"")</f>
        <v/>
      </c>
      <c r="Q39" s="119" t="str">
        <f>IFERROR(__xludf.DUMMYFUNCTION("IMPORTRANGE(""https://docs.google.com/spreadsheets/d/1CaLR8gtRCp0-wyyH0y5IvQnenreOSKFOo8AF4Pfpekc/edit?gid=400822622#gid=400822622"", ""GRADE 11!O""&amp;ROW(O36))"),"")</f>
        <v/>
      </c>
      <c r="R39" s="119">
        <f>IFERROR(__xludf.DUMMYFUNCTION("IMPORTRANGE(""https://docs.google.com/spreadsheets/d/1CaLR8gtRCp0-wyyH0y5IvQnenreOSKFOo8AF4Pfpekc/edit?gid=400822622#gid=400822622"", ""GRADE 11!P""&amp;ROW(P36))"),0.0)</f>
        <v>0</v>
      </c>
      <c r="S39" s="119">
        <f>IFERROR(__xludf.DUMMYFUNCTION("IMPORTRANGE(""https://docs.google.com/spreadsheets/d/1CaLR8gtRCp0-wyyH0y5IvQnenreOSKFOo8AF4Pfpekc/edit?gid=400822622#gid=400822622"", ""GRADE 11!Q""&amp;ROW(Q36))"),0.0)</f>
        <v>0</v>
      </c>
      <c r="T39" s="119">
        <f>IFERROR(__xludf.DUMMYFUNCTION("IMPORTRANGE(""https://docs.google.com/spreadsheets/d/1CaLR8gtRCp0-wyyH0y5IvQnenreOSKFOo8AF4Pfpekc/edit?gid=400822622#gid=400822622"", ""GRADE 11!R""&amp;ROW(R36))"),0.0)</f>
        <v>0</v>
      </c>
      <c r="U39" s="119">
        <f>IFERROR(__xludf.DUMMYFUNCTION("IMPORTRANGE(""https://docs.google.com/spreadsheets/d/1CaLR8gtRCp0-wyyH0y5IvQnenreOSKFOo8AF4Pfpekc/edit?gid=400822622#gid=400822622"", ""GRADE 11!S""&amp;ROW(S36))"),0.0)</f>
        <v>0</v>
      </c>
      <c r="V39" s="119">
        <f>IFERROR(__xludf.DUMMYFUNCTION("IMPORTRANGE(""https://docs.google.com/spreadsheets/d/1CaLR8gtRCp0-wyyH0y5IvQnenreOSKFOo8AF4Pfpekc/edit?gid=400822622#gid=400822622"", ""GRADE 11!T""&amp;ROW(T36))"),0.0)</f>
        <v>0</v>
      </c>
      <c r="W39" s="119">
        <f>IFERROR(__xludf.DUMMYFUNCTION("IMPORTRANGE(""https://docs.google.com/spreadsheets/d/1CaLR8gtRCp0-wyyH0y5IvQnenreOSKFOo8AF4Pfpekc/edit?gid=400822622#gid=400822622"", ""GRADE 11!U""&amp;ROW(U36))"),0.0)</f>
        <v>0</v>
      </c>
      <c r="X39" s="119">
        <f>IFERROR(__xludf.DUMMYFUNCTION("IMPORTRANGE(""https://docs.google.com/spreadsheets/d/1CaLR8gtRCp0-wyyH0y5IvQnenreOSKFOo8AF4Pfpekc/edit?gid=400822622#gid=400822622"", ""GRADE 11!V""&amp;ROW(V36))"),0.0)</f>
        <v>0</v>
      </c>
      <c r="Y39" s="119" t="str">
        <f>IFERROR(__xludf.DUMMYFUNCTION("IMPORTRANGE(""https://docs.google.com/spreadsheets/d/1CaLR8gtRCp0-wyyH0y5IvQnenreOSKFOo8AF4Pfpekc/edit?gid=400822622#gid=400822622"", ""GRADE 11!W""&amp;ROW(W36))"),"")</f>
        <v/>
      </c>
      <c r="Z39" s="120">
        <f>IFERROR(__xludf.DUMMYFUNCTION("IMPORTRANGE(""https://docs.google.com/spreadsheets/d/1CaLR8gtRCp0-wyyH0y5IvQnenreOSKFOo8AF4Pfpekc/edit?gid=400822622#gid=400822622"", ""GRADE 11!X""&amp;ROW(X36))"),7.0)</f>
        <v>7</v>
      </c>
      <c r="AA39" s="121">
        <f>IFERROR(__xludf.DUMMYFUNCTION("IMPORTRANGE(""https://docs.google.com/spreadsheets/d/1CaLR8gtRCp0-wyyH0y5IvQnenreOSKFOo8AF4Pfpekc/edit?gid=400822622#gid=400822622"", ""GRADE 11!Y""&amp;ROW(Y36))"),0.0)</f>
        <v>0</v>
      </c>
      <c r="AB39" s="39">
        <f>IFERROR(__xludf.DUMMYFUNCTION("IMPORTRANGE(""https://docs.google.com/spreadsheets/d/1CaLR8gtRCp0-wyyH0y5IvQnenreOSKFOo8AF4Pfpekc/edit?gid=400822622#gid=400822622"", ""GRADE 11!Z""&amp;ROW(Z36))"),0.0)</f>
        <v>0</v>
      </c>
    </row>
    <row r="40" ht="22.5" customHeight="1">
      <c r="A40" s="28" t="s">
        <v>19</v>
      </c>
      <c r="B40" s="29">
        <v>30.0</v>
      </c>
      <c r="C40" s="30" t="s">
        <v>85</v>
      </c>
      <c r="D40" s="118" t="s">
        <v>55</v>
      </c>
      <c r="E40" s="32" t="s">
        <v>86</v>
      </c>
      <c r="F40" s="32" t="s">
        <v>55</v>
      </c>
      <c r="G40" s="34">
        <v>17.0</v>
      </c>
      <c r="H40" s="34">
        <v>28.0</v>
      </c>
      <c r="I40" s="35">
        <f t="shared" si="1"/>
        <v>45</v>
      </c>
      <c r="J40" s="119" t="str">
        <f>IFERROR(__xludf.DUMMYFUNCTION("IMPORTRANGE(""https://docs.google.com/spreadsheets/d/1CaLR8gtRCp0-wyyH0y5IvQnenreOSKFOo8AF4Pfpekc/edit?gid=400822622#gid=400822622"", ""GRADE 11!H""&amp;ROW(H37))"),"")</f>
        <v/>
      </c>
      <c r="K40" s="119" t="str">
        <f>IFERROR(__xludf.DUMMYFUNCTION("IMPORTRANGE(""https://docs.google.com/spreadsheets/d/1CaLR8gtRCp0-wyyH0y5IvQnenreOSKFOo8AF4Pfpekc/edit?gid=400822622#gid=400822622"", ""GRADE 11!I""&amp;ROW(I37))"),"")</f>
        <v/>
      </c>
      <c r="L40" s="119" t="str">
        <f>IFERROR(__xludf.DUMMYFUNCTION("IMPORTRANGE(""https://docs.google.com/spreadsheets/d/1CaLR8gtRCp0-wyyH0y5IvQnenreOSKFOo8AF4Pfpekc/edit?gid=400822622#gid=400822622"", ""GRADE 11!J""&amp;ROW(J37))"),"")</f>
        <v/>
      </c>
      <c r="M40" s="119" t="str">
        <f>IFERROR(__xludf.DUMMYFUNCTION("IMPORTRANGE(""https://docs.google.com/spreadsheets/d/1CaLR8gtRCp0-wyyH0y5IvQnenreOSKFOo8AF4Pfpekc/edit?gid=400822622#gid=400822622"", ""GRADE 11!K""&amp;ROW(K37))"),"")</f>
        <v/>
      </c>
      <c r="N40" s="119" t="str">
        <f>IFERROR(__xludf.DUMMYFUNCTION("IMPORTRANGE(""https://docs.google.com/spreadsheets/d/1CaLR8gtRCp0-wyyH0y5IvQnenreOSKFOo8AF4Pfpekc/edit?gid=400822622#gid=400822622"", ""GRADE 11!L""&amp;ROW(L37))"),"")</f>
        <v/>
      </c>
      <c r="O40" s="119" t="str">
        <f>IFERROR(__xludf.DUMMYFUNCTION("IMPORTRANGE(""https://docs.google.com/spreadsheets/d/1CaLR8gtRCp0-wyyH0y5IvQnenreOSKFOo8AF4Pfpekc/edit?gid=400822622#gid=400822622"", ""GRADE 11!M""&amp;ROW(M37))"),"")</f>
        <v/>
      </c>
      <c r="P40" s="119" t="str">
        <f>IFERROR(__xludf.DUMMYFUNCTION("IMPORTRANGE(""https://docs.google.com/spreadsheets/d/1CaLR8gtRCp0-wyyH0y5IvQnenreOSKFOo8AF4Pfpekc/edit?gid=400822622#gid=400822622"", ""GRADE 11!N""&amp;ROW(N37))"),"")</f>
        <v/>
      </c>
      <c r="Q40" s="119" t="str">
        <f>IFERROR(__xludf.DUMMYFUNCTION("IMPORTRANGE(""https://docs.google.com/spreadsheets/d/1CaLR8gtRCp0-wyyH0y5IvQnenreOSKFOo8AF4Pfpekc/edit?gid=400822622#gid=400822622"", ""GRADE 11!O""&amp;ROW(O37))"),"")</f>
        <v/>
      </c>
      <c r="R40" s="119">
        <f>IFERROR(__xludf.DUMMYFUNCTION("IMPORTRANGE(""https://docs.google.com/spreadsheets/d/1CaLR8gtRCp0-wyyH0y5IvQnenreOSKFOo8AF4Pfpekc/edit?gid=400822622#gid=400822622"", ""GRADE 11!P""&amp;ROW(P37))"),0.0)</f>
        <v>0</v>
      </c>
      <c r="S40" s="119">
        <f>IFERROR(__xludf.DUMMYFUNCTION("IMPORTRANGE(""https://docs.google.com/spreadsheets/d/1CaLR8gtRCp0-wyyH0y5IvQnenreOSKFOo8AF4Pfpekc/edit?gid=400822622#gid=400822622"", ""GRADE 11!Q""&amp;ROW(Q37))"),0.0)</f>
        <v>0</v>
      </c>
      <c r="T40" s="119">
        <f>IFERROR(__xludf.DUMMYFUNCTION("IMPORTRANGE(""https://docs.google.com/spreadsheets/d/1CaLR8gtRCp0-wyyH0y5IvQnenreOSKFOo8AF4Pfpekc/edit?gid=400822622#gid=400822622"", ""GRADE 11!R""&amp;ROW(R37))"),0.0)</f>
        <v>0</v>
      </c>
      <c r="U40" s="119">
        <f>IFERROR(__xludf.DUMMYFUNCTION("IMPORTRANGE(""https://docs.google.com/spreadsheets/d/1CaLR8gtRCp0-wyyH0y5IvQnenreOSKFOo8AF4Pfpekc/edit?gid=400822622#gid=400822622"", ""GRADE 11!S""&amp;ROW(S37))"),0.0)</f>
        <v>0</v>
      </c>
      <c r="V40" s="119">
        <f>IFERROR(__xludf.DUMMYFUNCTION("IMPORTRANGE(""https://docs.google.com/spreadsheets/d/1CaLR8gtRCp0-wyyH0y5IvQnenreOSKFOo8AF4Pfpekc/edit?gid=400822622#gid=400822622"", ""GRADE 11!T""&amp;ROW(T37))"),0.0)</f>
        <v>0</v>
      </c>
      <c r="W40" s="119">
        <f>IFERROR(__xludf.DUMMYFUNCTION("IMPORTRANGE(""https://docs.google.com/spreadsheets/d/1CaLR8gtRCp0-wyyH0y5IvQnenreOSKFOo8AF4Pfpekc/edit?gid=400822622#gid=400822622"", ""GRADE 11!U""&amp;ROW(U37))"),0.0)</f>
        <v>0</v>
      </c>
      <c r="X40" s="119">
        <f>IFERROR(__xludf.DUMMYFUNCTION("IMPORTRANGE(""https://docs.google.com/spreadsheets/d/1CaLR8gtRCp0-wyyH0y5IvQnenreOSKFOo8AF4Pfpekc/edit?gid=400822622#gid=400822622"", ""GRADE 11!V""&amp;ROW(V37))"),0.0)</f>
        <v>0</v>
      </c>
      <c r="Y40" s="119" t="str">
        <f>IFERROR(__xludf.DUMMYFUNCTION("IMPORTRANGE(""https://docs.google.com/spreadsheets/d/1CaLR8gtRCp0-wyyH0y5IvQnenreOSKFOo8AF4Pfpekc/edit?gid=400822622#gid=400822622"", ""GRADE 11!W""&amp;ROW(W37))"),"")</f>
        <v/>
      </c>
      <c r="Z40" s="120">
        <f>IFERROR(__xludf.DUMMYFUNCTION("IMPORTRANGE(""https://docs.google.com/spreadsheets/d/1CaLR8gtRCp0-wyyH0y5IvQnenreOSKFOo8AF4Pfpekc/edit?gid=400822622#gid=400822622"", ""GRADE 11!X""&amp;ROW(X37))"),7.0)</f>
        <v>7</v>
      </c>
      <c r="AA40" s="121">
        <f>IFERROR(__xludf.DUMMYFUNCTION("IMPORTRANGE(""https://docs.google.com/spreadsheets/d/1CaLR8gtRCp0-wyyH0y5IvQnenreOSKFOo8AF4Pfpekc/edit?gid=400822622#gid=400822622"", ""GRADE 11!Y""&amp;ROW(Y37))"),0.0)</f>
        <v>0</v>
      </c>
      <c r="AB40" s="39">
        <f>IFERROR(__xludf.DUMMYFUNCTION("IMPORTRANGE(""https://docs.google.com/spreadsheets/d/1CaLR8gtRCp0-wyyH0y5IvQnenreOSKFOo8AF4Pfpekc/edit?gid=400822622#gid=400822622"", ""GRADE 11!Z""&amp;ROW(Z37))"),0.0)</f>
        <v>0</v>
      </c>
    </row>
    <row r="41">
      <c r="A41" s="28" t="s">
        <v>19</v>
      </c>
      <c r="B41" s="29">
        <v>31.0</v>
      </c>
      <c r="C41" s="30" t="s">
        <v>87</v>
      </c>
      <c r="D41" s="118" t="s">
        <v>88</v>
      </c>
      <c r="E41" s="32" t="s">
        <v>89</v>
      </c>
      <c r="F41" s="32" t="s">
        <v>43</v>
      </c>
      <c r="G41" s="34">
        <v>18.0</v>
      </c>
      <c r="H41" s="34">
        <v>23.0</v>
      </c>
      <c r="I41" s="35">
        <f t="shared" si="1"/>
        <v>41</v>
      </c>
      <c r="J41" s="119">
        <f>IFERROR(__xludf.DUMMYFUNCTION("IMPORTRANGE(""https://docs.google.com/spreadsheets/d/1CaLR8gtRCp0-wyyH0y5IvQnenreOSKFOo8AF4Pfpekc/edit?gid=400822622#gid=400822622"", ""GRADE 11!H""&amp;ROW(H38))"),0.0)</f>
        <v>0</v>
      </c>
      <c r="K41" s="119">
        <f>IFERROR(__xludf.DUMMYFUNCTION("IMPORTRANGE(""https://docs.google.com/spreadsheets/d/1CaLR8gtRCp0-wyyH0y5IvQnenreOSKFOo8AF4Pfpekc/edit?gid=400822622#gid=400822622"", ""GRADE 11!I""&amp;ROW(I38))"),0.0)</f>
        <v>0</v>
      </c>
      <c r="L41" s="119">
        <f>IFERROR(__xludf.DUMMYFUNCTION("IMPORTRANGE(""https://docs.google.com/spreadsheets/d/1CaLR8gtRCp0-wyyH0y5IvQnenreOSKFOo8AF4Pfpekc/edit?gid=400822622#gid=400822622"", ""GRADE 11!J""&amp;ROW(J38))"),0.0)</f>
        <v>0</v>
      </c>
      <c r="M41" s="119">
        <f>IFERROR(__xludf.DUMMYFUNCTION("IMPORTRANGE(""https://docs.google.com/spreadsheets/d/1CaLR8gtRCp0-wyyH0y5IvQnenreOSKFOo8AF4Pfpekc/edit?gid=400822622#gid=400822622"", ""GRADE 11!K""&amp;ROW(K38))"),0.0)</f>
        <v>0</v>
      </c>
      <c r="N41" s="119">
        <f>IFERROR(__xludf.DUMMYFUNCTION("IMPORTRANGE(""https://docs.google.com/spreadsheets/d/1CaLR8gtRCp0-wyyH0y5IvQnenreOSKFOo8AF4Pfpekc/edit?gid=400822622#gid=400822622"", ""GRADE 11!L""&amp;ROW(L38))"),0.0)</f>
        <v>0</v>
      </c>
      <c r="O41" s="119">
        <f>IFERROR(__xludf.DUMMYFUNCTION("IMPORTRANGE(""https://docs.google.com/spreadsheets/d/1CaLR8gtRCp0-wyyH0y5IvQnenreOSKFOo8AF4Pfpekc/edit?gid=400822622#gid=400822622"", ""GRADE 11!M""&amp;ROW(M38))"),0.0)</f>
        <v>0</v>
      </c>
      <c r="P41" s="119" t="str">
        <f>IFERROR(__xludf.DUMMYFUNCTION("IMPORTRANGE(""https://docs.google.com/spreadsheets/d/1CaLR8gtRCp0-wyyH0y5IvQnenreOSKFOo8AF4Pfpekc/edit?gid=400822622#gid=400822622"", ""GRADE 11!N""&amp;ROW(N38))"),"")</f>
        <v/>
      </c>
      <c r="Q41" s="119">
        <f>IFERROR(__xludf.DUMMYFUNCTION("IMPORTRANGE(""https://docs.google.com/spreadsheets/d/1CaLR8gtRCp0-wyyH0y5IvQnenreOSKFOo8AF4Pfpekc/edit?gid=400822622#gid=400822622"", ""GRADE 11!O""&amp;ROW(O38))"),0.0)</f>
        <v>0</v>
      </c>
      <c r="R41" s="119" t="str">
        <f>IFERROR(__xludf.DUMMYFUNCTION("IMPORTRANGE(""https://docs.google.com/spreadsheets/d/1CaLR8gtRCp0-wyyH0y5IvQnenreOSKFOo8AF4Pfpekc/edit?gid=400822622#gid=400822622"", ""GRADE 11!P""&amp;ROW(P38))"),"")</f>
        <v/>
      </c>
      <c r="S41" s="119" t="str">
        <f>IFERROR(__xludf.DUMMYFUNCTION("IMPORTRANGE(""https://docs.google.com/spreadsheets/d/1CaLR8gtRCp0-wyyH0y5IvQnenreOSKFOo8AF4Pfpekc/edit?gid=400822622#gid=400822622"", ""GRADE 11!Q""&amp;ROW(Q38))"),"")</f>
        <v/>
      </c>
      <c r="T41" s="119" t="str">
        <f>IFERROR(__xludf.DUMMYFUNCTION("IMPORTRANGE(""https://docs.google.com/spreadsheets/d/1CaLR8gtRCp0-wyyH0y5IvQnenreOSKFOo8AF4Pfpekc/edit?gid=400822622#gid=400822622"", ""GRADE 11!R""&amp;ROW(R38))"),"")</f>
        <v/>
      </c>
      <c r="U41" s="119" t="str">
        <f>IFERROR(__xludf.DUMMYFUNCTION("IMPORTRANGE(""https://docs.google.com/spreadsheets/d/1CaLR8gtRCp0-wyyH0y5IvQnenreOSKFOo8AF4Pfpekc/edit?gid=400822622#gid=400822622"", ""GRADE 11!S""&amp;ROW(S38))"),"")</f>
        <v/>
      </c>
      <c r="V41" s="119" t="str">
        <f>IFERROR(__xludf.DUMMYFUNCTION("IMPORTRANGE(""https://docs.google.com/spreadsheets/d/1CaLR8gtRCp0-wyyH0y5IvQnenreOSKFOo8AF4Pfpekc/edit?gid=400822622#gid=400822622"", ""GRADE 11!T""&amp;ROW(T38))"),"")</f>
        <v/>
      </c>
      <c r="W41" s="119" t="str">
        <f>IFERROR(__xludf.DUMMYFUNCTION("IMPORTRANGE(""https://docs.google.com/spreadsheets/d/1CaLR8gtRCp0-wyyH0y5IvQnenreOSKFOo8AF4Pfpekc/edit?gid=400822622#gid=400822622"", ""GRADE 11!U""&amp;ROW(U38))"),"")</f>
        <v/>
      </c>
      <c r="X41" s="119">
        <f>IFERROR(__xludf.DUMMYFUNCTION("IMPORTRANGE(""https://docs.google.com/spreadsheets/d/1CaLR8gtRCp0-wyyH0y5IvQnenreOSKFOo8AF4Pfpekc/edit?gid=400822622#gid=400822622"", ""GRADE 11!V""&amp;ROW(V38))"),0.0)</f>
        <v>0</v>
      </c>
      <c r="Y41" s="119">
        <f>IFERROR(__xludf.DUMMYFUNCTION("IMPORTRANGE(""https://docs.google.com/spreadsheets/d/1CaLR8gtRCp0-wyyH0y5IvQnenreOSKFOo8AF4Pfpekc/edit?gid=400822622#gid=400822622"", ""GRADE 11!W""&amp;ROW(W38))"),0.0)</f>
        <v>0</v>
      </c>
      <c r="Z41" s="120">
        <f>IFERROR(__xludf.DUMMYFUNCTION("IMPORTRANGE(""https://docs.google.com/spreadsheets/d/1CaLR8gtRCp0-wyyH0y5IvQnenreOSKFOo8AF4Pfpekc/edit?gid=400822622#gid=400822622"", ""GRADE 11!X""&amp;ROW(X38))"),9.0)</f>
        <v>9</v>
      </c>
      <c r="AA41" s="121">
        <f>IFERROR(__xludf.DUMMYFUNCTION("IMPORTRANGE(""https://docs.google.com/spreadsheets/d/1CaLR8gtRCp0-wyyH0y5IvQnenreOSKFOo8AF4Pfpekc/edit?gid=400822622#gid=400822622"", ""GRADE 11!Y""&amp;ROW(Y38))"),0.0)</f>
        <v>0</v>
      </c>
      <c r="AB41" s="39">
        <f>IFERROR(__xludf.DUMMYFUNCTION("IMPORTRANGE(""https://docs.google.com/spreadsheets/d/1CaLR8gtRCp0-wyyH0y5IvQnenreOSKFOo8AF4Pfpekc/edit?gid=400822622#gid=400822622"", ""GRADE 11!Z""&amp;ROW(Z38))"),0.0)</f>
        <v>0</v>
      </c>
    </row>
    <row r="42">
      <c r="A42" s="28" t="s">
        <v>19</v>
      </c>
      <c r="B42" s="29">
        <v>32.0</v>
      </c>
      <c r="C42" s="30" t="s">
        <v>90</v>
      </c>
      <c r="D42" s="118" t="s">
        <v>88</v>
      </c>
      <c r="E42" s="32" t="s">
        <v>91</v>
      </c>
      <c r="F42" s="32" t="s">
        <v>43</v>
      </c>
      <c r="G42" s="34">
        <v>22.0</v>
      </c>
      <c r="H42" s="34">
        <v>19.0</v>
      </c>
      <c r="I42" s="35">
        <f t="shared" si="1"/>
        <v>41</v>
      </c>
      <c r="J42" s="119">
        <f>IFERROR(__xludf.DUMMYFUNCTION("IMPORTRANGE(""https://docs.google.com/spreadsheets/d/1CaLR8gtRCp0-wyyH0y5IvQnenreOSKFOo8AF4Pfpekc/edit?gid=400822622#gid=400822622"", ""GRADE 11!H""&amp;ROW(H39))"),0.0)</f>
        <v>0</v>
      </c>
      <c r="K42" s="119">
        <f>IFERROR(__xludf.DUMMYFUNCTION("IMPORTRANGE(""https://docs.google.com/spreadsheets/d/1CaLR8gtRCp0-wyyH0y5IvQnenreOSKFOo8AF4Pfpekc/edit?gid=400822622#gid=400822622"", ""GRADE 11!I""&amp;ROW(I39))"),0.0)</f>
        <v>0</v>
      </c>
      <c r="L42" s="119">
        <f>IFERROR(__xludf.DUMMYFUNCTION("IMPORTRANGE(""https://docs.google.com/spreadsheets/d/1CaLR8gtRCp0-wyyH0y5IvQnenreOSKFOo8AF4Pfpekc/edit?gid=400822622#gid=400822622"", ""GRADE 11!J""&amp;ROW(J39))"),0.0)</f>
        <v>0</v>
      </c>
      <c r="M42" s="119">
        <f>IFERROR(__xludf.DUMMYFUNCTION("IMPORTRANGE(""https://docs.google.com/spreadsheets/d/1CaLR8gtRCp0-wyyH0y5IvQnenreOSKFOo8AF4Pfpekc/edit?gid=400822622#gid=400822622"", ""GRADE 11!K""&amp;ROW(K39))"),0.0)</f>
        <v>0</v>
      </c>
      <c r="N42" s="119">
        <f>IFERROR(__xludf.DUMMYFUNCTION("IMPORTRANGE(""https://docs.google.com/spreadsheets/d/1CaLR8gtRCp0-wyyH0y5IvQnenreOSKFOo8AF4Pfpekc/edit?gid=400822622#gid=400822622"", ""GRADE 11!L""&amp;ROW(L39))"),0.0)</f>
        <v>0</v>
      </c>
      <c r="O42" s="119">
        <f>IFERROR(__xludf.DUMMYFUNCTION("IMPORTRANGE(""https://docs.google.com/spreadsheets/d/1CaLR8gtRCp0-wyyH0y5IvQnenreOSKFOo8AF4Pfpekc/edit?gid=400822622#gid=400822622"", ""GRADE 11!M""&amp;ROW(M39))"),0.0)</f>
        <v>0</v>
      </c>
      <c r="P42" s="119" t="str">
        <f>IFERROR(__xludf.DUMMYFUNCTION("IMPORTRANGE(""https://docs.google.com/spreadsheets/d/1CaLR8gtRCp0-wyyH0y5IvQnenreOSKFOo8AF4Pfpekc/edit?gid=400822622#gid=400822622"", ""GRADE 11!N""&amp;ROW(N39))"),"")</f>
        <v/>
      </c>
      <c r="Q42" s="119">
        <f>IFERROR(__xludf.DUMMYFUNCTION("IMPORTRANGE(""https://docs.google.com/spreadsheets/d/1CaLR8gtRCp0-wyyH0y5IvQnenreOSKFOo8AF4Pfpekc/edit?gid=400822622#gid=400822622"", ""GRADE 11!O""&amp;ROW(O39))"),0.0)</f>
        <v>0</v>
      </c>
      <c r="R42" s="119" t="str">
        <f>IFERROR(__xludf.DUMMYFUNCTION("IMPORTRANGE(""https://docs.google.com/spreadsheets/d/1CaLR8gtRCp0-wyyH0y5IvQnenreOSKFOo8AF4Pfpekc/edit?gid=400822622#gid=400822622"", ""GRADE 11!P""&amp;ROW(P39))"),"")</f>
        <v/>
      </c>
      <c r="S42" s="119" t="str">
        <f>IFERROR(__xludf.DUMMYFUNCTION("IMPORTRANGE(""https://docs.google.com/spreadsheets/d/1CaLR8gtRCp0-wyyH0y5IvQnenreOSKFOo8AF4Pfpekc/edit?gid=400822622#gid=400822622"", ""GRADE 11!Q""&amp;ROW(Q39))"),"")</f>
        <v/>
      </c>
      <c r="T42" s="119" t="str">
        <f>IFERROR(__xludf.DUMMYFUNCTION("IMPORTRANGE(""https://docs.google.com/spreadsheets/d/1CaLR8gtRCp0-wyyH0y5IvQnenreOSKFOo8AF4Pfpekc/edit?gid=400822622#gid=400822622"", ""GRADE 11!R""&amp;ROW(R39))"),"")</f>
        <v/>
      </c>
      <c r="U42" s="119" t="str">
        <f>IFERROR(__xludf.DUMMYFUNCTION("IMPORTRANGE(""https://docs.google.com/spreadsheets/d/1CaLR8gtRCp0-wyyH0y5IvQnenreOSKFOo8AF4Pfpekc/edit?gid=400822622#gid=400822622"", ""GRADE 11!S""&amp;ROW(S39))"),"")</f>
        <v/>
      </c>
      <c r="V42" s="119" t="str">
        <f>IFERROR(__xludf.DUMMYFUNCTION("IMPORTRANGE(""https://docs.google.com/spreadsheets/d/1CaLR8gtRCp0-wyyH0y5IvQnenreOSKFOo8AF4Pfpekc/edit?gid=400822622#gid=400822622"", ""GRADE 11!T""&amp;ROW(T39))"),"")</f>
        <v/>
      </c>
      <c r="W42" s="119" t="str">
        <f>IFERROR(__xludf.DUMMYFUNCTION("IMPORTRANGE(""https://docs.google.com/spreadsheets/d/1CaLR8gtRCp0-wyyH0y5IvQnenreOSKFOo8AF4Pfpekc/edit?gid=400822622#gid=400822622"", ""GRADE 11!U""&amp;ROW(U39))"),"")</f>
        <v/>
      </c>
      <c r="X42" s="119">
        <f>IFERROR(__xludf.DUMMYFUNCTION("IMPORTRANGE(""https://docs.google.com/spreadsheets/d/1CaLR8gtRCp0-wyyH0y5IvQnenreOSKFOo8AF4Pfpekc/edit?gid=400822622#gid=400822622"", ""GRADE 11!V""&amp;ROW(V39))"),0.0)</f>
        <v>0</v>
      </c>
      <c r="Y42" s="119">
        <f>IFERROR(__xludf.DUMMYFUNCTION("IMPORTRANGE(""https://docs.google.com/spreadsheets/d/1CaLR8gtRCp0-wyyH0y5IvQnenreOSKFOo8AF4Pfpekc/edit?gid=400822622#gid=400822622"", ""GRADE 11!W""&amp;ROW(W39))"),0.0)</f>
        <v>0</v>
      </c>
      <c r="Z42" s="120">
        <f>IFERROR(__xludf.DUMMYFUNCTION("IMPORTRANGE(""https://docs.google.com/spreadsheets/d/1CaLR8gtRCp0-wyyH0y5IvQnenreOSKFOo8AF4Pfpekc/edit?gid=400822622#gid=400822622"", ""GRADE 11!X""&amp;ROW(X39))"),9.0)</f>
        <v>9</v>
      </c>
      <c r="AA42" s="121">
        <f>IFERROR(__xludf.DUMMYFUNCTION("IMPORTRANGE(""https://docs.google.com/spreadsheets/d/1CaLR8gtRCp0-wyyH0y5IvQnenreOSKFOo8AF4Pfpekc/edit?gid=400822622#gid=400822622"", ""GRADE 11!Y""&amp;ROW(Y39))"),0.0)</f>
        <v>0</v>
      </c>
      <c r="AB42" s="39">
        <f>IFERROR(__xludf.DUMMYFUNCTION("IMPORTRANGE(""https://docs.google.com/spreadsheets/d/1CaLR8gtRCp0-wyyH0y5IvQnenreOSKFOo8AF4Pfpekc/edit?gid=400822622#gid=400822622"", ""GRADE 11!Z""&amp;ROW(Z39))"),0.0)</f>
        <v>0</v>
      </c>
    </row>
    <row r="43">
      <c r="A43" s="28" t="s">
        <v>19</v>
      </c>
      <c r="B43" s="29">
        <v>33.0</v>
      </c>
      <c r="C43" s="30" t="s">
        <v>92</v>
      </c>
      <c r="D43" s="118" t="s">
        <v>88</v>
      </c>
      <c r="E43" s="32" t="s">
        <v>93</v>
      </c>
      <c r="F43" s="32" t="s">
        <v>30</v>
      </c>
      <c r="G43" s="34">
        <v>20.0</v>
      </c>
      <c r="H43" s="34">
        <v>21.0</v>
      </c>
      <c r="I43" s="35">
        <f t="shared" si="1"/>
        <v>41</v>
      </c>
      <c r="J43" s="119">
        <f>IFERROR(__xludf.DUMMYFUNCTION("IMPORTRANGE(""https://docs.google.com/spreadsheets/d/1CaLR8gtRCp0-wyyH0y5IvQnenreOSKFOo8AF4Pfpekc/edit?gid=400822622#gid=400822622"", ""GRADE 11!H""&amp;ROW(H40))"),0.0)</f>
        <v>0</v>
      </c>
      <c r="K43" s="119">
        <f>IFERROR(__xludf.DUMMYFUNCTION("IMPORTRANGE(""https://docs.google.com/spreadsheets/d/1CaLR8gtRCp0-wyyH0y5IvQnenreOSKFOo8AF4Pfpekc/edit?gid=400822622#gid=400822622"", ""GRADE 11!I""&amp;ROW(I40))"),0.0)</f>
        <v>0</v>
      </c>
      <c r="L43" s="119">
        <f>IFERROR(__xludf.DUMMYFUNCTION("IMPORTRANGE(""https://docs.google.com/spreadsheets/d/1CaLR8gtRCp0-wyyH0y5IvQnenreOSKFOo8AF4Pfpekc/edit?gid=400822622#gid=400822622"", ""GRADE 11!J""&amp;ROW(J40))"),0.0)</f>
        <v>0</v>
      </c>
      <c r="M43" s="119">
        <f>IFERROR(__xludf.DUMMYFUNCTION("IMPORTRANGE(""https://docs.google.com/spreadsheets/d/1CaLR8gtRCp0-wyyH0y5IvQnenreOSKFOo8AF4Pfpekc/edit?gid=400822622#gid=400822622"", ""GRADE 11!K""&amp;ROW(K40))"),0.0)</f>
        <v>0</v>
      </c>
      <c r="N43" s="119">
        <f>IFERROR(__xludf.DUMMYFUNCTION("IMPORTRANGE(""https://docs.google.com/spreadsheets/d/1CaLR8gtRCp0-wyyH0y5IvQnenreOSKFOo8AF4Pfpekc/edit?gid=400822622#gid=400822622"", ""GRADE 11!L""&amp;ROW(L40))"),0.0)</f>
        <v>0</v>
      </c>
      <c r="O43" s="119">
        <f>IFERROR(__xludf.DUMMYFUNCTION("IMPORTRANGE(""https://docs.google.com/spreadsheets/d/1CaLR8gtRCp0-wyyH0y5IvQnenreOSKFOo8AF4Pfpekc/edit?gid=400822622#gid=400822622"", ""GRADE 11!M""&amp;ROW(M40))"),0.0)</f>
        <v>0</v>
      </c>
      <c r="P43" s="119" t="str">
        <f>IFERROR(__xludf.DUMMYFUNCTION("IMPORTRANGE(""https://docs.google.com/spreadsheets/d/1CaLR8gtRCp0-wyyH0y5IvQnenreOSKFOo8AF4Pfpekc/edit?gid=400822622#gid=400822622"", ""GRADE 11!N""&amp;ROW(N40))"),"")</f>
        <v/>
      </c>
      <c r="Q43" s="119">
        <f>IFERROR(__xludf.DUMMYFUNCTION("IMPORTRANGE(""https://docs.google.com/spreadsheets/d/1CaLR8gtRCp0-wyyH0y5IvQnenreOSKFOo8AF4Pfpekc/edit?gid=400822622#gid=400822622"", ""GRADE 11!O""&amp;ROW(O40))"),0.0)</f>
        <v>0</v>
      </c>
      <c r="R43" s="119" t="str">
        <f>IFERROR(__xludf.DUMMYFUNCTION("IMPORTRANGE(""https://docs.google.com/spreadsheets/d/1CaLR8gtRCp0-wyyH0y5IvQnenreOSKFOo8AF4Pfpekc/edit?gid=400822622#gid=400822622"", ""GRADE 11!P""&amp;ROW(P40))"),"")</f>
        <v/>
      </c>
      <c r="S43" s="119" t="str">
        <f>IFERROR(__xludf.DUMMYFUNCTION("IMPORTRANGE(""https://docs.google.com/spreadsheets/d/1CaLR8gtRCp0-wyyH0y5IvQnenreOSKFOo8AF4Pfpekc/edit?gid=400822622#gid=400822622"", ""GRADE 11!Q""&amp;ROW(Q40))"),"")</f>
        <v/>
      </c>
      <c r="T43" s="119" t="str">
        <f>IFERROR(__xludf.DUMMYFUNCTION("IMPORTRANGE(""https://docs.google.com/spreadsheets/d/1CaLR8gtRCp0-wyyH0y5IvQnenreOSKFOo8AF4Pfpekc/edit?gid=400822622#gid=400822622"", ""GRADE 11!R""&amp;ROW(R40))"),"")</f>
        <v/>
      </c>
      <c r="U43" s="119" t="str">
        <f>IFERROR(__xludf.DUMMYFUNCTION("IMPORTRANGE(""https://docs.google.com/spreadsheets/d/1CaLR8gtRCp0-wyyH0y5IvQnenreOSKFOo8AF4Pfpekc/edit?gid=400822622#gid=400822622"", ""GRADE 11!S""&amp;ROW(S40))"),"")</f>
        <v/>
      </c>
      <c r="V43" s="119" t="str">
        <f>IFERROR(__xludf.DUMMYFUNCTION("IMPORTRANGE(""https://docs.google.com/spreadsheets/d/1CaLR8gtRCp0-wyyH0y5IvQnenreOSKFOo8AF4Pfpekc/edit?gid=400822622#gid=400822622"", ""GRADE 11!T""&amp;ROW(T40))"),"")</f>
        <v/>
      </c>
      <c r="W43" s="119" t="str">
        <f>IFERROR(__xludf.DUMMYFUNCTION("IMPORTRANGE(""https://docs.google.com/spreadsheets/d/1CaLR8gtRCp0-wyyH0y5IvQnenreOSKFOo8AF4Pfpekc/edit?gid=400822622#gid=400822622"", ""GRADE 11!U""&amp;ROW(U40))"),"")</f>
        <v/>
      </c>
      <c r="X43" s="119">
        <f>IFERROR(__xludf.DUMMYFUNCTION("IMPORTRANGE(""https://docs.google.com/spreadsheets/d/1CaLR8gtRCp0-wyyH0y5IvQnenreOSKFOo8AF4Pfpekc/edit?gid=400822622#gid=400822622"", ""GRADE 11!V""&amp;ROW(V40))"),0.0)</f>
        <v>0</v>
      </c>
      <c r="Y43" s="119">
        <f>IFERROR(__xludf.DUMMYFUNCTION("IMPORTRANGE(""https://docs.google.com/spreadsheets/d/1CaLR8gtRCp0-wyyH0y5IvQnenreOSKFOo8AF4Pfpekc/edit?gid=400822622#gid=400822622"", ""GRADE 11!W""&amp;ROW(W40))"),0.0)</f>
        <v>0</v>
      </c>
      <c r="Z43" s="120">
        <f>IFERROR(__xludf.DUMMYFUNCTION("IMPORTRANGE(""https://docs.google.com/spreadsheets/d/1CaLR8gtRCp0-wyyH0y5IvQnenreOSKFOo8AF4Pfpekc/edit?gid=400822622#gid=400822622"", ""GRADE 11!X""&amp;ROW(X40))"),9.0)</f>
        <v>9</v>
      </c>
      <c r="AA43" s="121">
        <f>IFERROR(__xludf.DUMMYFUNCTION("IMPORTRANGE(""https://docs.google.com/spreadsheets/d/1CaLR8gtRCp0-wyyH0y5IvQnenreOSKFOo8AF4Pfpekc/edit?gid=400822622#gid=400822622"", ""GRADE 11!Y""&amp;ROW(Y40))"),0.0)</f>
        <v>0</v>
      </c>
      <c r="AB43" s="39">
        <f>IFERROR(__xludf.DUMMYFUNCTION("IMPORTRANGE(""https://docs.google.com/spreadsheets/d/1CaLR8gtRCp0-wyyH0y5IvQnenreOSKFOo8AF4Pfpekc/edit?gid=400822622#gid=400822622"", ""GRADE 11!Z""&amp;ROW(Z40))"),0.0)</f>
        <v>0</v>
      </c>
    </row>
    <row r="44">
      <c r="A44" s="28" t="s">
        <v>19</v>
      </c>
      <c r="B44" s="29">
        <v>34.0</v>
      </c>
      <c r="C44" s="30" t="s">
        <v>94</v>
      </c>
      <c r="D44" s="118" t="s">
        <v>88</v>
      </c>
      <c r="E44" s="32" t="s">
        <v>95</v>
      </c>
      <c r="F44" s="32" t="s">
        <v>27</v>
      </c>
      <c r="G44" s="34">
        <v>16.0</v>
      </c>
      <c r="H44" s="34">
        <v>20.0</v>
      </c>
      <c r="I44" s="35">
        <f t="shared" si="1"/>
        <v>36</v>
      </c>
      <c r="J44" s="119">
        <f>IFERROR(__xludf.DUMMYFUNCTION("IMPORTRANGE(""https://docs.google.com/spreadsheets/d/1CaLR8gtRCp0-wyyH0y5IvQnenreOSKFOo8AF4Pfpekc/edit?gid=400822622#gid=400822622"", ""GRADE 11!H""&amp;ROW(H41))"),0.0)</f>
        <v>0</v>
      </c>
      <c r="K44" s="119">
        <f>IFERROR(__xludf.DUMMYFUNCTION("IMPORTRANGE(""https://docs.google.com/spreadsheets/d/1CaLR8gtRCp0-wyyH0y5IvQnenreOSKFOo8AF4Pfpekc/edit?gid=400822622#gid=400822622"", ""GRADE 11!I""&amp;ROW(I41))"),0.0)</f>
        <v>0</v>
      </c>
      <c r="L44" s="119">
        <f>IFERROR(__xludf.DUMMYFUNCTION("IMPORTRANGE(""https://docs.google.com/spreadsheets/d/1CaLR8gtRCp0-wyyH0y5IvQnenreOSKFOo8AF4Pfpekc/edit?gid=400822622#gid=400822622"", ""GRADE 11!J""&amp;ROW(J41))"),0.0)</f>
        <v>0</v>
      </c>
      <c r="M44" s="119">
        <f>IFERROR(__xludf.DUMMYFUNCTION("IMPORTRANGE(""https://docs.google.com/spreadsheets/d/1CaLR8gtRCp0-wyyH0y5IvQnenreOSKFOo8AF4Pfpekc/edit?gid=400822622#gid=400822622"", ""GRADE 11!K""&amp;ROW(K41))"),0.0)</f>
        <v>0</v>
      </c>
      <c r="N44" s="119">
        <f>IFERROR(__xludf.DUMMYFUNCTION("IMPORTRANGE(""https://docs.google.com/spreadsheets/d/1CaLR8gtRCp0-wyyH0y5IvQnenreOSKFOo8AF4Pfpekc/edit?gid=400822622#gid=400822622"", ""GRADE 11!L""&amp;ROW(L41))"),0.0)</f>
        <v>0</v>
      </c>
      <c r="O44" s="119">
        <f>IFERROR(__xludf.DUMMYFUNCTION("IMPORTRANGE(""https://docs.google.com/spreadsheets/d/1CaLR8gtRCp0-wyyH0y5IvQnenreOSKFOo8AF4Pfpekc/edit?gid=400822622#gid=400822622"", ""GRADE 11!M""&amp;ROW(M41))"),0.0)</f>
        <v>0</v>
      </c>
      <c r="P44" s="119" t="str">
        <f>IFERROR(__xludf.DUMMYFUNCTION("IMPORTRANGE(""https://docs.google.com/spreadsheets/d/1CaLR8gtRCp0-wyyH0y5IvQnenreOSKFOo8AF4Pfpekc/edit?gid=400822622#gid=400822622"", ""GRADE 11!N""&amp;ROW(N41))"),"")</f>
        <v/>
      </c>
      <c r="Q44" s="119">
        <f>IFERROR(__xludf.DUMMYFUNCTION("IMPORTRANGE(""https://docs.google.com/spreadsheets/d/1CaLR8gtRCp0-wyyH0y5IvQnenreOSKFOo8AF4Pfpekc/edit?gid=400822622#gid=400822622"", ""GRADE 11!O""&amp;ROW(O41))"),0.0)</f>
        <v>0</v>
      </c>
      <c r="R44" s="119" t="str">
        <f>IFERROR(__xludf.DUMMYFUNCTION("IMPORTRANGE(""https://docs.google.com/spreadsheets/d/1CaLR8gtRCp0-wyyH0y5IvQnenreOSKFOo8AF4Pfpekc/edit?gid=400822622#gid=400822622"", ""GRADE 11!P""&amp;ROW(P41))"),"")</f>
        <v/>
      </c>
      <c r="S44" s="119" t="str">
        <f>IFERROR(__xludf.DUMMYFUNCTION("IMPORTRANGE(""https://docs.google.com/spreadsheets/d/1CaLR8gtRCp0-wyyH0y5IvQnenreOSKFOo8AF4Pfpekc/edit?gid=400822622#gid=400822622"", ""GRADE 11!Q""&amp;ROW(Q41))"),"")</f>
        <v/>
      </c>
      <c r="T44" s="119" t="str">
        <f>IFERROR(__xludf.DUMMYFUNCTION("IMPORTRANGE(""https://docs.google.com/spreadsheets/d/1CaLR8gtRCp0-wyyH0y5IvQnenreOSKFOo8AF4Pfpekc/edit?gid=400822622#gid=400822622"", ""GRADE 11!R""&amp;ROW(R41))"),"")</f>
        <v/>
      </c>
      <c r="U44" s="119" t="str">
        <f>IFERROR(__xludf.DUMMYFUNCTION("IMPORTRANGE(""https://docs.google.com/spreadsheets/d/1CaLR8gtRCp0-wyyH0y5IvQnenreOSKFOo8AF4Pfpekc/edit?gid=400822622#gid=400822622"", ""GRADE 11!S""&amp;ROW(S41))"),"")</f>
        <v/>
      </c>
      <c r="V44" s="119" t="str">
        <f>IFERROR(__xludf.DUMMYFUNCTION("IMPORTRANGE(""https://docs.google.com/spreadsheets/d/1CaLR8gtRCp0-wyyH0y5IvQnenreOSKFOo8AF4Pfpekc/edit?gid=400822622#gid=400822622"", ""GRADE 11!T""&amp;ROW(T41))"),"")</f>
        <v/>
      </c>
      <c r="W44" s="119" t="str">
        <f>IFERROR(__xludf.DUMMYFUNCTION("IMPORTRANGE(""https://docs.google.com/spreadsheets/d/1CaLR8gtRCp0-wyyH0y5IvQnenreOSKFOo8AF4Pfpekc/edit?gid=400822622#gid=400822622"", ""GRADE 11!U""&amp;ROW(U41))"),"")</f>
        <v/>
      </c>
      <c r="X44" s="119">
        <f>IFERROR(__xludf.DUMMYFUNCTION("IMPORTRANGE(""https://docs.google.com/spreadsheets/d/1CaLR8gtRCp0-wyyH0y5IvQnenreOSKFOo8AF4Pfpekc/edit?gid=400822622#gid=400822622"", ""GRADE 11!V""&amp;ROW(V41))"),0.0)</f>
        <v>0</v>
      </c>
      <c r="Y44" s="119">
        <f>IFERROR(__xludf.DUMMYFUNCTION("IMPORTRANGE(""https://docs.google.com/spreadsheets/d/1CaLR8gtRCp0-wyyH0y5IvQnenreOSKFOo8AF4Pfpekc/edit?gid=400822622#gid=400822622"", ""GRADE 11!W""&amp;ROW(W41))"),0.0)</f>
        <v>0</v>
      </c>
      <c r="Z44" s="120">
        <f>IFERROR(__xludf.DUMMYFUNCTION("IMPORTRANGE(""https://docs.google.com/spreadsheets/d/1CaLR8gtRCp0-wyyH0y5IvQnenreOSKFOo8AF4Pfpekc/edit?gid=400822622#gid=400822622"", ""GRADE 11!X""&amp;ROW(X41))"),9.0)</f>
        <v>9</v>
      </c>
      <c r="AA44" s="121">
        <f>IFERROR(__xludf.DUMMYFUNCTION("IMPORTRANGE(""https://docs.google.com/spreadsheets/d/1CaLR8gtRCp0-wyyH0y5IvQnenreOSKFOo8AF4Pfpekc/edit?gid=400822622#gid=400822622"", ""GRADE 11!Y""&amp;ROW(Y41))"),0.0)</f>
        <v>0</v>
      </c>
      <c r="AB44" s="39">
        <f>IFERROR(__xludf.DUMMYFUNCTION("IMPORTRANGE(""https://docs.google.com/spreadsheets/d/1CaLR8gtRCp0-wyyH0y5IvQnenreOSKFOo8AF4Pfpekc/edit?gid=400822622#gid=400822622"", ""GRADE 11!Z""&amp;ROW(Z41))"),0.0)</f>
        <v>0</v>
      </c>
    </row>
    <row r="45">
      <c r="A45" s="28" t="s">
        <v>19</v>
      </c>
      <c r="B45" s="29">
        <v>35.0</v>
      </c>
      <c r="C45" s="30" t="s">
        <v>96</v>
      </c>
      <c r="D45" s="118" t="s">
        <v>88</v>
      </c>
      <c r="E45" s="32" t="s">
        <v>97</v>
      </c>
      <c r="F45" s="32" t="s">
        <v>72</v>
      </c>
      <c r="G45" s="34">
        <v>22.0</v>
      </c>
      <c r="H45" s="34">
        <v>14.0</v>
      </c>
      <c r="I45" s="35">
        <f t="shared" si="1"/>
        <v>36</v>
      </c>
      <c r="J45" s="119">
        <f>IFERROR(__xludf.DUMMYFUNCTION("IMPORTRANGE(""https://docs.google.com/spreadsheets/d/1CaLR8gtRCp0-wyyH0y5IvQnenreOSKFOo8AF4Pfpekc/edit?gid=400822622#gid=400822622"", ""GRADE 11!H""&amp;ROW(H42))"),0.0)</f>
        <v>0</v>
      </c>
      <c r="K45" s="119">
        <f>IFERROR(__xludf.DUMMYFUNCTION("IMPORTRANGE(""https://docs.google.com/spreadsheets/d/1CaLR8gtRCp0-wyyH0y5IvQnenreOSKFOo8AF4Pfpekc/edit?gid=400822622#gid=400822622"", ""GRADE 11!I""&amp;ROW(I42))"),0.0)</f>
        <v>0</v>
      </c>
      <c r="L45" s="119">
        <f>IFERROR(__xludf.DUMMYFUNCTION("IMPORTRANGE(""https://docs.google.com/spreadsheets/d/1CaLR8gtRCp0-wyyH0y5IvQnenreOSKFOo8AF4Pfpekc/edit?gid=400822622#gid=400822622"", ""GRADE 11!J""&amp;ROW(J42))"),0.0)</f>
        <v>0</v>
      </c>
      <c r="M45" s="119">
        <f>IFERROR(__xludf.DUMMYFUNCTION("IMPORTRANGE(""https://docs.google.com/spreadsheets/d/1CaLR8gtRCp0-wyyH0y5IvQnenreOSKFOo8AF4Pfpekc/edit?gid=400822622#gid=400822622"", ""GRADE 11!K""&amp;ROW(K42))"),0.0)</f>
        <v>0</v>
      </c>
      <c r="N45" s="119">
        <f>IFERROR(__xludf.DUMMYFUNCTION("IMPORTRANGE(""https://docs.google.com/spreadsheets/d/1CaLR8gtRCp0-wyyH0y5IvQnenreOSKFOo8AF4Pfpekc/edit?gid=400822622#gid=400822622"", ""GRADE 11!L""&amp;ROW(L42))"),0.0)</f>
        <v>0</v>
      </c>
      <c r="O45" s="119">
        <f>IFERROR(__xludf.DUMMYFUNCTION("IMPORTRANGE(""https://docs.google.com/spreadsheets/d/1CaLR8gtRCp0-wyyH0y5IvQnenreOSKFOo8AF4Pfpekc/edit?gid=400822622#gid=400822622"", ""GRADE 11!M""&amp;ROW(M42))"),0.0)</f>
        <v>0</v>
      </c>
      <c r="P45" s="119" t="str">
        <f>IFERROR(__xludf.DUMMYFUNCTION("IMPORTRANGE(""https://docs.google.com/spreadsheets/d/1CaLR8gtRCp0-wyyH0y5IvQnenreOSKFOo8AF4Pfpekc/edit?gid=400822622#gid=400822622"", ""GRADE 11!N""&amp;ROW(N42))"),"")</f>
        <v/>
      </c>
      <c r="Q45" s="119">
        <f>IFERROR(__xludf.DUMMYFUNCTION("IMPORTRANGE(""https://docs.google.com/spreadsheets/d/1CaLR8gtRCp0-wyyH0y5IvQnenreOSKFOo8AF4Pfpekc/edit?gid=400822622#gid=400822622"", ""GRADE 11!O""&amp;ROW(O42))"),0.0)</f>
        <v>0</v>
      </c>
      <c r="R45" s="119" t="str">
        <f>IFERROR(__xludf.DUMMYFUNCTION("IMPORTRANGE(""https://docs.google.com/spreadsheets/d/1CaLR8gtRCp0-wyyH0y5IvQnenreOSKFOo8AF4Pfpekc/edit?gid=400822622#gid=400822622"", ""GRADE 11!P""&amp;ROW(P42))"),"")</f>
        <v/>
      </c>
      <c r="S45" s="119" t="str">
        <f>IFERROR(__xludf.DUMMYFUNCTION("IMPORTRANGE(""https://docs.google.com/spreadsheets/d/1CaLR8gtRCp0-wyyH0y5IvQnenreOSKFOo8AF4Pfpekc/edit?gid=400822622#gid=400822622"", ""GRADE 11!Q""&amp;ROW(Q42))"),"")</f>
        <v/>
      </c>
      <c r="T45" s="119" t="str">
        <f>IFERROR(__xludf.DUMMYFUNCTION("IMPORTRANGE(""https://docs.google.com/spreadsheets/d/1CaLR8gtRCp0-wyyH0y5IvQnenreOSKFOo8AF4Pfpekc/edit?gid=400822622#gid=400822622"", ""GRADE 11!R""&amp;ROW(R42))"),"")</f>
        <v/>
      </c>
      <c r="U45" s="119" t="str">
        <f>IFERROR(__xludf.DUMMYFUNCTION("IMPORTRANGE(""https://docs.google.com/spreadsheets/d/1CaLR8gtRCp0-wyyH0y5IvQnenreOSKFOo8AF4Pfpekc/edit?gid=400822622#gid=400822622"", ""GRADE 11!S""&amp;ROW(S42))"),"")</f>
        <v/>
      </c>
      <c r="V45" s="119" t="str">
        <f>IFERROR(__xludf.DUMMYFUNCTION("IMPORTRANGE(""https://docs.google.com/spreadsheets/d/1CaLR8gtRCp0-wyyH0y5IvQnenreOSKFOo8AF4Pfpekc/edit?gid=400822622#gid=400822622"", ""GRADE 11!T""&amp;ROW(T42))"),"")</f>
        <v/>
      </c>
      <c r="W45" s="119" t="str">
        <f>IFERROR(__xludf.DUMMYFUNCTION("IMPORTRANGE(""https://docs.google.com/spreadsheets/d/1CaLR8gtRCp0-wyyH0y5IvQnenreOSKFOo8AF4Pfpekc/edit?gid=400822622#gid=400822622"", ""GRADE 11!U""&amp;ROW(U42))"),"")</f>
        <v/>
      </c>
      <c r="X45" s="119">
        <f>IFERROR(__xludf.DUMMYFUNCTION("IMPORTRANGE(""https://docs.google.com/spreadsheets/d/1CaLR8gtRCp0-wyyH0y5IvQnenreOSKFOo8AF4Pfpekc/edit?gid=400822622#gid=400822622"", ""GRADE 11!V""&amp;ROW(V42))"),0.0)</f>
        <v>0</v>
      </c>
      <c r="Y45" s="119">
        <f>IFERROR(__xludf.DUMMYFUNCTION("IMPORTRANGE(""https://docs.google.com/spreadsheets/d/1CaLR8gtRCp0-wyyH0y5IvQnenreOSKFOo8AF4Pfpekc/edit?gid=400822622#gid=400822622"", ""GRADE 11!W""&amp;ROW(W42))"),0.0)</f>
        <v>0</v>
      </c>
      <c r="Z45" s="120">
        <f>IFERROR(__xludf.DUMMYFUNCTION("IMPORTRANGE(""https://docs.google.com/spreadsheets/d/1CaLR8gtRCp0-wyyH0y5IvQnenreOSKFOo8AF4Pfpekc/edit?gid=400822622#gid=400822622"", ""GRADE 11!X""&amp;ROW(X42))"),9.0)</f>
        <v>9</v>
      </c>
      <c r="AA45" s="121">
        <f>IFERROR(__xludf.DUMMYFUNCTION("IMPORTRANGE(""https://docs.google.com/spreadsheets/d/1CaLR8gtRCp0-wyyH0y5IvQnenreOSKFOo8AF4Pfpekc/edit?gid=400822622#gid=400822622"", ""GRADE 11!Y""&amp;ROW(Y42))"),0.0)</f>
        <v>0</v>
      </c>
      <c r="AB45" s="39">
        <f>IFERROR(__xludf.DUMMYFUNCTION("IMPORTRANGE(""https://docs.google.com/spreadsheets/d/1CaLR8gtRCp0-wyyH0y5IvQnenreOSKFOo8AF4Pfpekc/edit?gid=400822622#gid=400822622"", ""GRADE 11!Z""&amp;ROW(Z42))"),0.0)</f>
        <v>0</v>
      </c>
    </row>
    <row r="46">
      <c r="A46" s="28" t="s">
        <v>19</v>
      </c>
      <c r="B46" s="29">
        <v>36.0</v>
      </c>
      <c r="C46" s="30" t="s">
        <v>98</v>
      </c>
      <c r="D46" s="118" t="s">
        <v>88</v>
      </c>
      <c r="E46" s="32" t="s">
        <v>99</v>
      </c>
      <c r="F46" s="32" t="s">
        <v>72</v>
      </c>
      <c r="G46" s="34">
        <v>11.0</v>
      </c>
      <c r="H46" s="34">
        <v>20.0</v>
      </c>
      <c r="I46" s="35">
        <f t="shared" si="1"/>
        <v>31</v>
      </c>
      <c r="J46" s="119">
        <f>IFERROR(__xludf.DUMMYFUNCTION("IMPORTRANGE(""https://docs.google.com/spreadsheets/d/1CaLR8gtRCp0-wyyH0y5IvQnenreOSKFOo8AF4Pfpekc/edit?gid=400822622#gid=400822622"", ""GRADE 11!H""&amp;ROW(H43))"),0.0)</f>
        <v>0</v>
      </c>
      <c r="K46" s="119">
        <f>IFERROR(__xludf.DUMMYFUNCTION("IMPORTRANGE(""https://docs.google.com/spreadsheets/d/1CaLR8gtRCp0-wyyH0y5IvQnenreOSKFOo8AF4Pfpekc/edit?gid=400822622#gid=400822622"", ""GRADE 11!I""&amp;ROW(I43))"),0.0)</f>
        <v>0</v>
      </c>
      <c r="L46" s="119">
        <f>IFERROR(__xludf.DUMMYFUNCTION("IMPORTRANGE(""https://docs.google.com/spreadsheets/d/1CaLR8gtRCp0-wyyH0y5IvQnenreOSKFOo8AF4Pfpekc/edit?gid=400822622#gid=400822622"", ""GRADE 11!J""&amp;ROW(J43))"),0.0)</f>
        <v>0</v>
      </c>
      <c r="M46" s="119">
        <f>IFERROR(__xludf.DUMMYFUNCTION("IMPORTRANGE(""https://docs.google.com/spreadsheets/d/1CaLR8gtRCp0-wyyH0y5IvQnenreOSKFOo8AF4Pfpekc/edit?gid=400822622#gid=400822622"", ""GRADE 11!K""&amp;ROW(K43))"),0.0)</f>
        <v>0</v>
      </c>
      <c r="N46" s="119">
        <f>IFERROR(__xludf.DUMMYFUNCTION("IMPORTRANGE(""https://docs.google.com/spreadsheets/d/1CaLR8gtRCp0-wyyH0y5IvQnenreOSKFOo8AF4Pfpekc/edit?gid=400822622#gid=400822622"", ""GRADE 11!L""&amp;ROW(L43))"),0.0)</f>
        <v>0</v>
      </c>
      <c r="O46" s="119">
        <f>IFERROR(__xludf.DUMMYFUNCTION("IMPORTRANGE(""https://docs.google.com/spreadsheets/d/1CaLR8gtRCp0-wyyH0y5IvQnenreOSKFOo8AF4Pfpekc/edit?gid=400822622#gid=400822622"", ""GRADE 11!M""&amp;ROW(M43))"),0.0)</f>
        <v>0</v>
      </c>
      <c r="P46" s="119" t="str">
        <f>IFERROR(__xludf.DUMMYFUNCTION("IMPORTRANGE(""https://docs.google.com/spreadsheets/d/1CaLR8gtRCp0-wyyH0y5IvQnenreOSKFOo8AF4Pfpekc/edit?gid=400822622#gid=400822622"", ""GRADE 11!N""&amp;ROW(N43))"),"")</f>
        <v/>
      </c>
      <c r="Q46" s="119">
        <f>IFERROR(__xludf.DUMMYFUNCTION("IMPORTRANGE(""https://docs.google.com/spreadsheets/d/1CaLR8gtRCp0-wyyH0y5IvQnenreOSKFOo8AF4Pfpekc/edit?gid=400822622#gid=400822622"", ""GRADE 11!O""&amp;ROW(O43))"),0.0)</f>
        <v>0</v>
      </c>
      <c r="R46" s="119" t="str">
        <f>IFERROR(__xludf.DUMMYFUNCTION("IMPORTRANGE(""https://docs.google.com/spreadsheets/d/1CaLR8gtRCp0-wyyH0y5IvQnenreOSKFOo8AF4Pfpekc/edit?gid=400822622#gid=400822622"", ""GRADE 11!P""&amp;ROW(P43))"),"")</f>
        <v/>
      </c>
      <c r="S46" s="119" t="str">
        <f>IFERROR(__xludf.DUMMYFUNCTION("IMPORTRANGE(""https://docs.google.com/spreadsheets/d/1CaLR8gtRCp0-wyyH0y5IvQnenreOSKFOo8AF4Pfpekc/edit?gid=400822622#gid=400822622"", ""GRADE 11!Q""&amp;ROW(Q43))"),"")</f>
        <v/>
      </c>
      <c r="T46" s="119" t="str">
        <f>IFERROR(__xludf.DUMMYFUNCTION("IMPORTRANGE(""https://docs.google.com/spreadsheets/d/1CaLR8gtRCp0-wyyH0y5IvQnenreOSKFOo8AF4Pfpekc/edit?gid=400822622#gid=400822622"", ""GRADE 11!R""&amp;ROW(R43))"),"")</f>
        <v/>
      </c>
      <c r="U46" s="119" t="str">
        <f>IFERROR(__xludf.DUMMYFUNCTION("IMPORTRANGE(""https://docs.google.com/spreadsheets/d/1CaLR8gtRCp0-wyyH0y5IvQnenreOSKFOo8AF4Pfpekc/edit?gid=400822622#gid=400822622"", ""GRADE 11!S""&amp;ROW(S43))"),"")</f>
        <v/>
      </c>
      <c r="V46" s="119" t="str">
        <f>IFERROR(__xludf.DUMMYFUNCTION("IMPORTRANGE(""https://docs.google.com/spreadsheets/d/1CaLR8gtRCp0-wyyH0y5IvQnenreOSKFOo8AF4Pfpekc/edit?gid=400822622#gid=400822622"", ""GRADE 11!T""&amp;ROW(T43))"),"")</f>
        <v/>
      </c>
      <c r="W46" s="119" t="str">
        <f>IFERROR(__xludf.DUMMYFUNCTION("IMPORTRANGE(""https://docs.google.com/spreadsheets/d/1CaLR8gtRCp0-wyyH0y5IvQnenreOSKFOo8AF4Pfpekc/edit?gid=400822622#gid=400822622"", ""GRADE 11!U""&amp;ROW(U43))"),"")</f>
        <v/>
      </c>
      <c r="X46" s="119">
        <f>IFERROR(__xludf.DUMMYFUNCTION("IMPORTRANGE(""https://docs.google.com/spreadsheets/d/1CaLR8gtRCp0-wyyH0y5IvQnenreOSKFOo8AF4Pfpekc/edit?gid=400822622#gid=400822622"", ""GRADE 11!V""&amp;ROW(V43))"),0.0)</f>
        <v>0</v>
      </c>
      <c r="Y46" s="119">
        <f>IFERROR(__xludf.DUMMYFUNCTION("IMPORTRANGE(""https://docs.google.com/spreadsheets/d/1CaLR8gtRCp0-wyyH0y5IvQnenreOSKFOo8AF4Pfpekc/edit?gid=400822622#gid=400822622"", ""GRADE 11!W""&amp;ROW(W43))"),0.0)</f>
        <v>0</v>
      </c>
      <c r="Z46" s="120">
        <f>IFERROR(__xludf.DUMMYFUNCTION("IMPORTRANGE(""https://docs.google.com/spreadsheets/d/1CaLR8gtRCp0-wyyH0y5IvQnenreOSKFOo8AF4Pfpekc/edit?gid=400822622#gid=400822622"", ""GRADE 11!X""&amp;ROW(X43))"),9.0)</f>
        <v>9</v>
      </c>
      <c r="AA46" s="121">
        <f>IFERROR(__xludf.DUMMYFUNCTION("IMPORTRANGE(""https://docs.google.com/spreadsheets/d/1CaLR8gtRCp0-wyyH0y5IvQnenreOSKFOo8AF4Pfpekc/edit?gid=400822622#gid=400822622"", ""GRADE 11!Y""&amp;ROW(Y43))"),0.0)</f>
        <v>0</v>
      </c>
      <c r="AB46" s="39">
        <f>IFERROR(__xludf.DUMMYFUNCTION("IMPORTRANGE(""https://docs.google.com/spreadsheets/d/1CaLR8gtRCp0-wyyH0y5IvQnenreOSKFOo8AF4Pfpekc/edit?gid=400822622#gid=400822622"", ""GRADE 11!Z""&amp;ROW(Z43))"),0.0)</f>
        <v>0</v>
      </c>
    </row>
    <row r="47">
      <c r="A47" s="28" t="s">
        <v>19</v>
      </c>
      <c r="B47" s="29">
        <v>37.0</v>
      </c>
      <c r="C47" s="30" t="s">
        <v>100</v>
      </c>
      <c r="D47" s="118" t="s">
        <v>88</v>
      </c>
      <c r="E47" s="32" t="s">
        <v>101</v>
      </c>
      <c r="F47" s="32" t="s">
        <v>43</v>
      </c>
      <c r="G47" s="34">
        <v>19.0</v>
      </c>
      <c r="H47" s="34">
        <v>13.0</v>
      </c>
      <c r="I47" s="35">
        <f t="shared" si="1"/>
        <v>32</v>
      </c>
      <c r="J47" s="119">
        <f>IFERROR(__xludf.DUMMYFUNCTION("IMPORTRANGE(""https://docs.google.com/spreadsheets/d/1CaLR8gtRCp0-wyyH0y5IvQnenreOSKFOo8AF4Pfpekc/edit?gid=400822622#gid=400822622"", ""GRADE 11!H""&amp;ROW(H44))"),0.0)</f>
        <v>0</v>
      </c>
      <c r="K47" s="119">
        <f>IFERROR(__xludf.DUMMYFUNCTION("IMPORTRANGE(""https://docs.google.com/spreadsheets/d/1CaLR8gtRCp0-wyyH0y5IvQnenreOSKFOo8AF4Pfpekc/edit?gid=400822622#gid=400822622"", ""GRADE 11!I""&amp;ROW(I44))"),0.0)</f>
        <v>0</v>
      </c>
      <c r="L47" s="119">
        <f>IFERROR(__xludf.DUMMYFUNCTION("IMPORTRANGE(""https://docs.google.com/spreadsheets/d/1CaLR8gtRCp0-wyyH0y5IvQnenreOSKFOo8AF4Pfpekc/edit?gid=400822622#gid=400822622"", ""GRADE 11!J""&amp;ROW(J44))"),0.0)</f>
        <v>0</v>
      </c>
      <c r="M47" s="119">
        <f>IFERROR(__xludf.DUMMYFUNCTION("IMPORTRANGE(""https://docs.google.com/spreadsheets/d/1CaLR8gtRCp0-wyyH0y5IvQnenreOSKFOo8AF4Pfpekc/edit?gid=400822622#gid=400822622"", ""GRADE 11!K""&amp;ROW(K44))"),0.0)</f>
        <v>0</v>
      </c>
      <c r="N47" s="119">
        <f>IFERROR(__xludf.DUMMYFUNCTION("IMPORTRANGE(""https://docs.google.com/spreadsheets/d/1CaLR8gtRCp0-wyyH0y5IvQnenreOSKFOo8AF4Pfpekc/edit?gid=400822622#gid=400822622"", ""GRADE 11!L""&amp;ROW(L44))"),0.0)</f>
        <v>0</v>
      </c>
      <c r="O47" s="119">
        <f>IFERROR(__xludf.DUMMYFUNCTION("IMPORTRANGE(""https://docs.google.com/spreadsheets/d/1CaLR8gtRCp0-wyyH0y5IvQnenreOSKFOo8AF4Pfpekc/edit?gid=400822622#gid=400822622"", ""GRADE 11!M""&amp;ROW(M44))"),0.0)</f>
        <v>0</v>
      </c>
      <c r="P47" s="119" t="str">
        <f>IFERROR(__xludf.DUMMYFUNCTION("IMPORTRANGE(""https://docs.google.com/spreadsheets/d/1CaLR8gtRCp0-wyyH0y5IvQnenreOSKFOo8AF4Pfpekc/edit?gid=400822622#gid=400822622"", ""GRADE 11!N""&amp;ROW(N44))"),"")</f>
        <v/>
      </c>
      <c r="Q47" s="119">
        <f>IFERROR(__xludf.DUMMYFUNCTION("IMPORTRANGE(""https://docs.google.com/spreadsheets/d/1CaLR8gtRCp0-wyyH0y5IvQnenreOSKFOo8AF4Pfpekc/edit?gid=400822622#gid=400822622"", ""GRADE 11!O""&amp;ROW(O44))"),0.0)</f>
        <v>0</v>
      </c>
      <c r="R47" s="119" t="str">
        <f>IFERROR(__xludf.DUMMYFUNCTION("IMPORTRANGE(""https://docs.google.com/spreadsheets/d/1CaLR8gtRCp0-wyyH0y5IvQnenreOSKFOo8AF4Pfpekc/edit?gid=400822622#gid=400822622"", ""GRADE 11!P""&amp;ROW(P44))"),"")</f>
        <v/>
      </c>
      <c r="S47" s="119" t="str">
        <f>IFERROR(__xludf.DUMMYFUNCTION("IMPORTRANGE(""https://docs.google.com/spreadsheets/d/1CaLR8gtRCp0-wyyH0y5IvQnenreOSKFOo8AF4Pfpekc/edit?gid=400822622#gid=400822622"", ""GRADE 11!Q""&amp;ROW(Q44))"),"")</f>
        <v/>
      </c>
      <c r="T47" s="119" t="str">
        <f>IFERROR(__xludf.DUMMYFUNCTION("IMPORTRANGE(""https://docs.google.com/spreadsheets/d/1CaLR8gtRCp0-wyyH0y5IvQnenreOSKFOo8AF4Pfpekc/edit?gid=400822622#gid=400822622"", ""GRADE 11!R""&amp;ROW(R44))"),"")</f>
        <v/>
      </c>
      <c r="U47" s="119" t="str">
        <f>IFERROR(__xludf.DUMMYFUNCTION("IMPORTRANGE(""https://docs.google.com/spreadsheets/d/1CaLR8gtRCp0-wyyH0y5IvQnenreOSKFOo8AF4Pfpekc/edit?gid=400822622#gid=400822622"", ""GRADE 11!S""&amp;ROW(S44))"),"")</f>
        <v/>
      </c>
      <c r="V47" s="119" t="str">
        <f>IFERROR(__xludf.DUMMYFUNCTION("IMPORTRANGE(""https://docs.google.com/spreadsheets/d/1CaLR8gtRCp0-wyyH0y5IvQnenreOSKFOo8AF4Pfpekc/edit?gid=400822622#gid=400822622"", ""GRADE 11!T""&amp;ROW(T44))"),"")</f>
        <v/>
      </c>
      <c r="W47" s="119" t="str">
        <f>IFERROR(__xludf.DUMMYFUNCTION("IMPORTRANGE(""https://docs.google.com/spreadsheets/d/1CaLR8gtRCp0-wyyH0y5IvQnenreOSKFOo8AF4Pfpekc/edit?gid=400822622#gid=400822622"", ""GRADE 11!U""&amp;ROW(U44))"),"")</f>
        <v/>
      </c>
      <c r="X47" s="119">
        <f>IFERROR(__xludf.DUMMYFUNCTION("IMPORTRANGE(""https://docs.google.com/spreadsheets/d/1CaLR8gtRCp0-wyyH0y5IvQnenreOSKFOo8AF4Pfpekc/edit?gid=400822622#gid=400822622"", ""GRADE 11!V""&amp;ROW(V44))"),0.0)</f>
        <v>0</v>
      </c>
      <c r="Y47" s="119">
        <f>IFERROR(__xludf.DUMMYFUNCTION("IMPORTRANGE(""https://docs.google.com/spreadsheets/d/1CaLR8gtRCp0-wyyH0y5IvQnenreOSKFOo8AF4Pfpekc/edit?gid=400822622#gid=400822622"", ""GRADE 11!W""&amp;ROW(W44))"),0.0)</f>
        <v>0</v>
      </c>
      <c r="Z47" s="120">
        <f>IFERROR(__xludf.DUMMYFUNCTION("IMPORTRANGE(""https://docs.google.com/spreadsheets/d/1CaLR8gtRCp0-wyyH0y5IvQnenreOSKFOo8AF4Pfpekc/edit?gid=400822622#gid=400822622"", ""GRADE 11!X""&amp;ROW(X44))"),9.0)</f>
        <v>9</v>
      </c>
      <c r="AA47" s="121">
        <f>IFERROR(__xludf.DUMMYFUNCTION("IMPORTRANGE(""https://docs.google.com/spreadsheets/d/1CaLR8gtRCp0-wyyH0y5IvQnenreOSKFOo8AF4Pfpekc/edit?gid=400822622#gid=400822622"", ""GRADE 11!Y""&amp;ROW(Y44))"),0.0)</f>
        <v>0</v>
      </c>
      <c r="AB47" s="39">
        <f>IFERROR(__xludf.DUMMYFUNCTION("IMPORTRANGE(""https://docs.google.com/spreadsheets/d/1CaLR8gtRCp0-wyyH0y5IvQnenreOSKFOo8AF4Pfpekc/edit?gid=400822622#gid=400822622"", ""GRADE 11!Z""&amp;ROW(Z44))"),0.0)</f>
        <v>0</v>
      </c>
    </row>
    <row r="48">
      <c r="A48" s="28" t="s">
        <v>19</v>
      </c>
      <c r="B48" s="29">
        <v>38.0</v>
      </c>
      <c r="C48" s="30" t="s">
        <v>102</v>
      </c>
      <c r="D48" s="118" t="s">
        <v>88</v>
      </c>
      <c r="E48" s="32" t="s">
        <v>103</v>
      </c>
      <c r="F48" s="32" t="s">
        <v>30</v>
      </c>
      <c r="G48" s="34">
        <v>16.0</v>
      </c>
      <c r="H48" s="34">
        <v>14.0</v>
      </c>
      <c r="I48" s="35">
        <f t="shared" si="1"/>
        <v>30</v>
      </c>
      <c r="J48" s="119">
        <f>IFERROR(__xludf.DUMMYFUNCTION("IMPORTRANGE(""https://docs.google.com/spreadsheets/d/1CaLR8gtRCp0-wyyH0y5IvQnenreOSKFOo8AF4Pfpekc/edit?gid=400822622#gid=400822622"", ""GRADE 11!H""&amp;ROW(H45))"),0.0)</f>
        <v>0</v>
      </c>
      <c r="K48" s="119">
        <f>IFERROR(__xludf.DUMMYFUNCTION("IMPORTRANGE(""https://docs.google.com/spreadsheets/d/1CaLR8gtRCp0-wyyH0y5IvQnenreOSKFOo8AF4Pfpekc/edit?gid=400822622#gid=400822622"", ""GRADE 11!I""&amp;ROW(I45))"),0.0)</f>
        <v>0</v>
      </c>
      <c r="L48" s="119">
        <f>IFERROR(__xludf.DUMMYFUNCTION("IMPORTRANGE(""https://docs.google.com/spreadsheets/d/1CaLR8gtRCp0-wyyH0y5IvQnenreOSKFOo8AF4Pfpekc/edit?gid=400822622#gid=400822622"", ""GRADE 11!J""&amp;ROW(J45))"),0.0)</f>
        <v>0</v>
      </c>
      <c r="M48" s="119">
        <f>IFERROR(__xludf.DUMMYFUNCTION("IMPORTRANGE(""https://docs.google.com/spreadsheets/d/1CaLR8gtRCp0-wyyH0y5IvQnenreOSKFOo8AF4Pfpekc/edit?gid=400822622#gid=400822622"", ""GRADE 11!K""&amp;ROW(K45))"),0.0)</f>
        <v>0</v>
      </c>
      <c r="N48" s="119">
        <f>IFERROR(__xludf.DUMMYFUNCTION("IMPORTRANGE(""https://docs.google.com/spreadsheets/d/1CaLR8gtRCp0-wyyH0y5IvQnenreOSKFOo8AF4Pfpekc/edit?gid=400822622#gid=400822622"", ""GRADE 11!L""&amp;ROW(L45))"),0.0)</f>
        <v>0</v>
      </c>
      <c r="O48" s="119">
        <f>IFERROR(__xludf.DUMMYFUNCTION("IMPORTRANGE(""https://docs.google.com/spreadsheets/d/1CaLR8gtRCp0-wyyH0y5IvQnenreOSKFOo8AF4Pfpekc/edit?gid=400822622#gid=400822622"", ""GRADE 11!M""&amp;ROW(M45))"),0.0)</f>
        <v>0</v>
      </c>
      <c r="P48" s="119" t="str">
        <f>IFERROR(__xludf.DUMMYFUNCTION("IMPORTRANGE(""https://docs.google.com/spreadsheets/d/1CaLR8gtRCp0-wyyH0y5IvQnenreOSKFOo8AF4Pfpekc/edit?gid=400822622#gid=400822622"", ""GRADE 11!N""&amp;ROW(N45))"),"")</f>
        <v/>
      </c>
      <c r="Q48" s="119">
        <f>IFERROR(__xludf.DUMMYFUNCTION("IMPORTRANGE(""https://docs.google.com/spreadsheets/d/1CaLR8gtRCp0-wyyH0y5IvQnenreOSKFOo8AF4Pfpekc/edit?gid=400822622#gid=400822622"", ""GRADE 11!O""&amp;ROW(O45))"),0.0)</f>
        <v>0</v>
      </c>
      <c r="R48" s="119" t="str">
        <f>IFERROR(__xludf.DUMMYFUNCTION("IMPORTRANGE(""https://docs.google.com/spreadsheets/d/1CaLR8gtRCp0-wyyH0y5IvQnenreOSKFOo8AF4Pfpekc/edit?gid=400822622#gid=400822622"", ""GRADE 11!P""&amp;ROW(P45))"),"")</f>
        <v/>
      </c>
      <c r="S48" s="119" t="str">
        <f>IFERROR(__xludf.DUMMYFUNCTION("IMPORTRANGE(""https://docs.google.com/spreadsheets/d/1CaLR8gtRCp0-wyyH0y5IvQnenreOSKFOo8AF4Pfpekc/edit?gid=400822622#gid=400822622"", ""GRADE 11!Q""&amp;ROW(Q45))"),"")</f>
        <v/>
      </c>
      <c r="T48" s="119" t="str">
        <f>IFERROR(__xludf.DUMMYFUNCTION("IMPORTRANGE(""https://docs.google.com/spreadsheets/d/1CaLR8gtRCp0-wyyH0y5IvQnenreOSKFOo8AF4Pfpekc/edit?gid=400822622#gid=400822622"", ""GRADE 11!R""&amp;ROW(R45))"),"")</f>
        <v/>
      </c>
      <c r="U48" s="119" t="str">
        <f>IFERROR(__xludf.DUMMYFUNCTION("IMPORTRANGE(""https://docs.google.com/spreadsheets/d/1CaLR8gtRCp0-wyyH0y5IvQnenreOSKFOo8AF4Pfpekc/edit?gid=400822622#gid=400822622"", ""GRADE 11!S""&amp;ROW(S45))"),"")</f>
        <v/>
      </c>
      <c r="V48" s="119" t="str">
        <f>IFERROR(__xludf.DUMMYFUNCTION("IMPORTRANGE(""https://docs.google.com/spreadsheets/d/1CaLR8gtRCp0-wyyH0y5IvQnenreOSKFOo8AF4Pfpekc/edit?gid=400822622#gid=400822622"", ""GRADE 11!T""&amp;ROW(T45))"),"")</f>
        <v/>
      </c>
      <c r="W48" s="119" t="str">
        <f>IFERROR(__xludf.DUMMYFUNCTION("IMPORTRANGE(""https://docs.google.com/spreadsheets/d/1CaLR8gtRCp0-wyyH0y5IvQnenreOSKFOo8AF4Pfpekc/edit?gid=400822622#gid=400822622"", ""GRADE 11!U""&amp;ROW(U45))"),"")</f>
        <v/>
      </c>
      <c r="X48" s="119">
        <f>IFERROR(__xludf.DUMMYFUNCTION("IMPORTRANGE(""https://docs.google.com/spreadsheets/d/1CaLR8gtRCp0-wyyH0y5IvQnenreOSKFOo8AF4Pfpekc/edit?gid=400822622#gid=400822622"", ""GRADE 11!V""&amp;ROW(V45))"),0.0)</f>
        <v>0</v>
      </c>
      <c r="Y48" s="119">
        <f>IFERROR(__xludf.DUMMYFUNCTION("IMPORTRANGE(""https://docs.google.com/spreadsheets/d/1CaLR8gtRCp0-wyyH0y5IvQnenreOSKFOo8AF4Pfpekc/edit?gid=400822622#gid=400822622"", ""GRADE 11!W""&amp;ROW(W45))"),0.0)</f>
        <v>0</v>
      </c>
      <c r="Z48" s="120">
        <f>IFERROR(__xludf.DUMMYFUNCTION("IMPORTRANGE(""https://docs.google.com/spreadsheets/d/1CaLR8gtRCp0-wyyH0y5IvQnenreOSKFOo8AF4Pfpekc/edit?gid=400822622#gid=400822622"", ""GRADE 11!X""&amp;ROW(X45))"),9.0)</f>
        <v>9</v>
      </c>
      <c r="AA48" s="121">
        <f>IFERROR(__xludf.DUMMYFUNCTION("IMPORTRANGE(""https://docs.google.com/spreadsheets/d/1CaLR8gtRCp0-wyyH0y5IvQnenreOSKFOo8AF4Pfpekc/edit?gid=400822622#gid=400822622"", ""GRADE 11!Y""&amp;ROW(Y45))"),0.0)</f>
        <v>0</v>
      </c>
      <c r="AB48" s="39">
        <f>IFERROR(__xludf.DUMMYFUNCTION("IMPORTRANGE(""https://docs.google.com/spreadsheets/d/1CaLR8gtRCp0-wyyH0y5IvQnenreOSKFOo8AF4Pfpekc/edit?gid=400822622#gid=400822622"", ""GRADE 11!Z""&amp;ROW(Z45))"),0.0)</f>
        <v>0</v>
      </c>
    </row>
    <row r="49">
      <c r="A49" s="28" t="s">
        <v>19</v>
      </c>
      <c r="B49" s="29">
        <v>39.0</v>
      </c>
      <c r="C49" s="30" t="s">
        <v>104</v>
      </c>
      <c r="D49" s="118" t="s">
        <v>88</v>
      </c>
      <c r="E49" s="32" t="s">
        <v>105</v>
      </c>
      <c r="F49" s="32" t="s">
        <v>72</v>
      </c>
      <c r="G49" s="34">
        <v>16.0</v>
      </c>
      <c r="H49" s="34">
        <v>16.0</v>
      </c>
      <c r="I49" s="35">
        <f t="shared" si="1"/>
        <v>32</v>
      </c>
      <c r="J49" s="119">
        <f>IFERROR(__xludf.DUMMYFUNCTION("IMPORTRANGE(""https://docs.google.com/spreadsheets/d/1CaLR8gtRCp0-wyyH0y5IvQnenreOSKFOo8AF4Pfpekc/edit?gid=400822622#gid=400822622"", ""GRADE 11!H""&amp;ROW(H46))"),0.0)</f>
        <v>0</v>
      </c>
      <c r="K49" s="119">
        <f>IFERROR(__xludf.DUMMYFUNCTION("IMPORTRANGE(""https://docs.google.com/spreadsheets/d/1CaLR8gtRCp0-wyyH0y5IvQnenreOSKFOo8AF4Pfpekc/edit?gid=400822622#gid=400822622"", ""GRADE 11!I""&amp;ROW(I46))"),0.0)</f>
        <v>0</v>
      </c>
      <c r="L49" s="119">
        <f>IFERROR(__xludf.DUMMYFUNCTION("IMPORTRANGE(""https://docs.google.com/spreadsheets/d/1CaLR8gtRCp0-wyyH0y5IvQnenreOSKFOo8AF4Pfpekc/edit?gid=400822622#gid=400822622"", ""GRADE 11!J""&amp;ROW(J46))"),0.0)</f>
        <v>0</v>
      </c>
      <c r="M49" s="119">
        <f>IFERROR(__xludf.DUMMYFUNCTION("IMPORTRANGE(""https://docs.google.com/spreadsheets/d/1CaLR8gtRCp0-wyyH0y5IvQnenreOSKFOo8AF4Pfpekc/edit?gid=400822622#gid=400822622"", ""GRADE 11!K""&amp;ROW(K46))"),0.0)</f>
        <v>0</v>
      </c>
      <c r="N49" s="119">
        <f>IFERROR(__xludf.DUMMYFUNCTION("IMPORTRANGE(""https://docs.google.com/spreadsheets/d/1CaLR8gtRCp0-wyyH0y5IvQnenreOSKFOo8AF4Pfpekc/edit?gid=400822622#gid=400822622"", ""GRADE 11!L""&amp;ROW(L46))"),0.0)</f>
        <v>0</v>
      </c>
      <c r="O49" s="119">
        <f>IFERROR(__xludf.DUMMYFUNCTION("IMPORTRANGE(""https://docs.google.com/spreadsheets/d/1CaLR8gtRCp0-wyyH0y5IvQnenreOSKFOo8AF4Pfpekc/edit?gid=400822622#gid=400822622"", ""GRADE 11!M""&amp;ROW(M46))"),0.0)</f>
        <v>0</v>
      </c>
      <c r="P49" s="119" t="str">
        <f>IFERROR(__xludf.DUMMYFUNCTION("IMPORTRANGE(""https://docs.google.com/spreadsheets/d/1CaLR8gtRCp0-wyyH0y5IvQnenreOSKFOo8AF4Pfpekc/edit?gid=400822622#gid=400822622"", ""GRADE 11!N""&amp;ROW(N46))"),"")</f>
        <v/>
      </c>
      <c r="Q49" s="119">
        <f>IFERROR(__xludf.DUMMYFUNCTION("IMPORTRANGE(""https://docs.google.com/spreadsheets/d/1CaLR8gtRCp0-wyyH0y5IvQnenreOSKFOo8AF4Pfpekc/edit?gid=400822622#gid=400822622"", ""GRADE 11!O""&amp;ROW(O46))"),0.0)</f>
        <v>0</v>
      </c>
      <c r="R49" s="119" t="str">
        <f>IFERROR(__xludf.DUMMYFUNCTION("IMPORTRANGE(""https://docs.google.com/spreadsheets/d/1CaLR8gtRCp0-wyyH0y5IvQnenreOSKFOo8AF4Pfpekc/edit?gid=400822622#gid=400822622"", ""GRADE 11!P""&amp;ROW(P46))"),"")</f>
        <v/>
      </c>
      <c r="S49" s="119" t="str">
        <f>IFERROR(__xludf.DUMMYFUNCTION("IMPORTRANGE(""https://docs.google.com/spreadsheets/d/1CaLR8gtRCp0-wyyH0y5IvQnenreOSKFOo8AF4Pfpekc/edit?gid=400822622#gid=400822622"", ""GRADE 11!Q""&amp;ROW(Q46))"),"")</f>
        <v/>
      </c>
      <c r="T49" s="119" t="str">
        <f>IFERROR(__xludf.DUMMYFUNCTION("IMPORTRANGE(""https://docs.google.com/spreadsheets/d/1CaLR8gtRCp0-wyyH0y5IvQnenreOSKFOo8AF4Pfpekc/edit?gid=400822622#gid=400822622"", ""GRADE 11!R""&amp;ROW(R46))"),"")</f>
        <v/>
      </c>
      <c r="U49" s="119" t="str">
        <f>IFERROR(__xludf.DUMMYFUNCTION("IMPORTRANGE(""https://docs.google.com/spreadsheets/d/1CaLR8gtRCp0-wyyH0y5IvQnenreOSKFOo8AF4Pfpekc/edit?gid=400822622#gid=400822622"", ""GRADE 11!S""&amp;ROW(S46))"),"")</f>
        <v/>
      </c>
      <c r="V49" s="119" t="str">
        <f>IFERROR(__xludf.DUMMYFUNCTION("IMPORTRANGE(""https://docs.google.com/spreadsheets/d/1CaLR8gtRCp0-wyyH0y5IvQnenreOSKFOo8AF4Pfpekc/edit?gid=400822622#gid=400822622"", ""GRADE 11!T""&amp;ROW(T46))"),"")</f>
        <v/>
      </c>
      <c r="W49" s="119" t="str">
        <f>IFERROR(__xludf.DUMMYFUNCTION("IMPORTRANGE(""https://docs.google.com/spreadsheets/d/1CaLR8gtRCp0-wyyH0y5IvQnenreOSKFOo8AF4Pfpekc/edit?gid=400822622#gid=400822622"", ""GRADE 11!U""&amp;ROW(U46))"),"")</f>
        <v/>
      </c>
      <c r="X49" s="119">
        <f>IFERROR(__xludf.DUMMYFUNCTION("IMPORTRANGE(""https://docs.google.com/spreadsheets/d/1CaLR8gtRCp0-wyyH0y5IvQnenreOSKFOo8AF4Pfpekc/edit?gid=400822622#gid=400822622"", ""GRADE 11!V""&amp;ROW(V46))"),0.0)</f>
        <v>0</v>
      </c>
      <c r="Y49" s="119">
        <f>IFERROR(__xludf.DUMMYFUNCTION("IMPORTRANGE(""https://docs.google.com/spreadsheets/d/1CaLR8gtRCp0-wyyH0y5IvQnenreOSKFOo8AF4Pfpekc/edit?gid=400822622#gid=400822622"", ""GRADE 11!W""&amp;ROW(W46))"),0.0)</f>
        <v>0</v>
      </c>
      <c r="Z49" s="120">
        <f>IFERROR(__xludf.DUMMYFUNCTION("IMPORTRANGE(""https://docs.google.com/spreadsheets/d/1CaLR8gtRCp0-wyyH0y5IvQnenreOSKFOo8AF4Pfpekc/edit?gid=400822622#gid=400822622"", ""GRADE 11!X""&amp;ROW(X46))"),9.0)</f>
        <v>9</v>
      </c>
      <c r="AA49" s="121">
        <f>IFERROR(__xludf.DUMMYFUNCTION("IMPORTRANGE(""https://docs.google.com/spreadsheets/d/1CaLR8gtRCp0-wyyH0y5IvQnenreOSKFOo8AF4Pfpekc/edit?gid=400822622#gid=400822622"", ""GRADE 11!Y""&amp;ROW(Y46))"),0.0)</f>
        <v>0</v>
      </c>
      <c r="AB49" s="39">
        <f>IFERROR(__xludf.DUMMYFUNCTION("IMPORTRANGE(""https://docs.google.com/spreadsheets/d/1CaLR8gtRCp0-wyyH0y5IvQnenreOSKFOo8AF4Pfpekc/edit?gid=400822622#gid=400822622"", ""GRADE 11!Z""&amp;ROW(Z46))"),0.0)</f>
        <v>0</v>
      </c>
    </row>
    <row r="50">
      <c r="A50" s="28" t="s">
        <v>19</v>
      </c>
      <c r="B50" s="29">
        <v>40.0</v>
      </c>
      <c r="C50" s="30" t="s">
        <v>106</v>
      </c>
      <c r="D50" s="118" t="s">
        <v>88</v>
      </c>
      <c r="E50" s="32" t="s">
        <v>107</v>
      </c>
      <c r="F50" s="32" t="s">
        <v>27</v>
      </c>
      <c r="G50" s="34">
        <v>9.0</v>
      </c>
      <c r="H50" s="34">
        <v>21.0</v>
      </c>
      <c r="I50" s="35">
        <f t="shared" si="1"/>
        <v>30</v>
      </c>
      <c r="J50" s="119">
        <f>IFERROR(__xludf.DUMMYFUNCTION("IMPORTRANGE(""https://docs.google.com/spreadsheets/d/1CaLR8gtRCp0-wyyH0y5IvQnenreOSKFOo8AF4Pfpekc/edit?gid=400822622#gid=400822622"", ""GRADE 11!H""&amp;ROW(H47))"),0.0)</f>
        <v>0</v>
      </c>
      <c r="K50" s="119">
        <f>IFERROR(__xludf.DUMMYFUNCTION("IMPORTRANGE(""https://docs.google.com/spreadsheets/d/1CaLR8gtRCp0-wyyH0y5IvQnenreOSKFOo8AF4Pfpekc/edit?gid=400822622#gid=400822622"", ""GRADE 11!I""&amp;ROW(I47))"),0.0)</f>
        <v>0</v>
      </c>
      <c r="L50" s="119">
        <f>IFERROR(__xludf.DUMMYFUNCTION("IMPORTRANGE(""https://docs.google.com/spreadsheets/d/1CaLR8gtRCp0-wyyH0y5IvQnenreOSKFOo8AF4Pfpekc/edit?gid=400822622#gid=400822622"", ""GRADE 11!J""&amp;ROW(J47))"),0.0)</f>
        <v>0</v>
      </c>
      <c r="M50" s="119">
        <f>IFERROR(__xludf.DUMMYFUNCTION("IMPORTRANGE(""https://docs.google.com/spreadsheets/d/1CaLR8gtRCp0-wyyH0y5IvQnenreOSKFOo8AF4Pfpekc/edit?gid=400822622#gid=400822622"", ""GRADE 11!K""&amp;ROW(K47))"),0.0)</f>
        <v>0</v>
      </c>
      <c r="N50" s="119">
        <f>IFERROR(__xludf.DUMMYFUNCTION("IMPORTRANGE(""https://docs.google.com/spreadsheets/d/1CaLR8gtRCp0-wyyH0y5IvQnenreOSKFOo8AF4Pfpekc/edit?gid=400822622#gid=400822622"", ""GRADE 11!L""&amp;ROW(L47))"),0.0)</f>
        <v>0</v>
      </c>
      <c r="O50" s="119">
        <f>IFERROR(__xludf.DUMMYFUNCTION("IMPORTRANGE(""https://docs.google.com/spreadsheets/d/1CaLR8gtRCp0-wyyH0y5IvQnenreOSKFOo8AF4Pfpekc/edit?gid=400822622#gid=400822622"", ""GRADE 11!M""&amp;ROW(M47))"),0.0)</f>
        <v>0</v>
      </c>
      <c r="P50" s="119" t="str">
        <f>IFERROR(__xludf.DUMMYFUNCTION("IMPORTRANGE(""https://docs.google.com/spreadsheets/d/1CaLR8gtRCp0-wyyH0y5IvQnenreOSKFOo8AF4Pfpekc/edit?gid=400822622#gid=400822622"", ""GRADE 11!N""&amp;ROW(N47))"),"")</f>
        <v/>
      </c>
      <c r="Q50" s="119">
        <f>IFERROR(__xludf.DUMMYFUNCTION("IMPORTRANGE(""https://docs.google.com/spreadsheets/d/1CaLR8gtRCp0-wyyH0y5IvQnenreOSKFOo8AF4Pfpekc/edit?gid=400822622#gid=400822622"", ""GRADE 11!O""&amp;ROW(O47))"),0.0)</f>
        <v>0</v>
      </c>
      <c r="R50" s="119" t="str">
        <f>IFERROR(__xludf.DUMMYFUNCTION("IMPORTRANGE(""https://docs.google.com/spreadsheets/d/1CaLR8gtRCp0-wyyH0y5IvQnenreOSKFOo8AF4Pfpekc/edit?gid=400822622#gid=400822622"", ""GRADE 11!P""&amp;ROW(P47))"),"")</f>
        <v/>
      </c>
      <c r="S50" s="119" t="str">
        <f>IFERROR(__xludf.DUMMYFUNCTION("IMPORTRANGE(""https://docs.google.com/spreadsheets/d/1CaLR8gtRCp0-wyyH0y5IvQnenreOSKFOo8AF4Pfpekc/edit?gid=400822622#gid=400822622"", ""GRADE 11!Q""&amp;ROW(Q47))"),"")</f>
        <v/>
      </c>
      <c r="T50" s="119" t="str">
        <f>IFERROR(__xludf.DUMMYFUNCTION("IMPORTRANGE(""https://docs.google.com/spreadsheets/d/1CaLR8gtRCp0-wyyH0y5IvQnenreOSKFOo8AF4Pfpekc/edit?gid=400822622#gid=400822622"", ""GRADE 11!R""&amp;ROW(R47))"),"")</f>
        <v/>
      </c>
      <c r="U50" s="119" t="str">
        <f>IFERROR(__xludf.DUMMYFUNCTION("IMPORTRANGE(""https://docs.google.com/spreadsheets/d/1CaLR8gtRCp0-wyyH0y5IvQnenreOSKFOo8AF4Pfpekc/edit?gid=400822622#gid=400822622"", ""GRADE 11!S""&amp;ROW(S47))"),"")</f>
        <v/>
      </c>
      <c r="V50" s="119" t="str">
        <f>IFERROR(__xludf.DUMMYFUNCTION("IMPORTRANGE(""https://docs.google.com/spreadsheets/d/1CaLR8gtRCp0-wyyH0y5IvQnenreOSKFOo8AF4Pfpekc/edit?gid=400822622#gid=400822622"", ""GRADE 11!T""&amp;ROW(T47))"),"")</f>
        <v/>
      </c>
      <c r="W50" s="119" t="str">
        <f>IFERROR(__xludf.DUMMYFUNCTION("IMPORTRANGE(""https://docs.google.com/spreadsheets/d/1CaLR8gtRCp0-wyyH0y5IvQnenreOSKFOo8AF4Pfpekc/edit?gid=400822622#gid=400822622"", ""GRADE 11!U""&amp;ROW(U47))"),"")</f>
        <v/>
      </c>
      <c r="X50" s="119">
        <f>IFERROR(__xludf.DUMMYFUNCTION("IMPORTRANGE(""https://docs.google.com/spreadsheets/d/1CaLR8gtRCp0-wyyH0y5IvQnenreOSKFOo8AF4Pfpekc/edit?gid=400822622#gid=400822622"", ""GRADE 11!V""&amp;ROW(V47))"),0.0)</f>
        <v>0</v>
      </c>
      <c r="Y50" s="119">
        <f>IFERROR(__xludf.DUMMYFUNCTION("IMPORTRANGE(""https://docs.google.com/spreadsheets/d/1CaLR8gtRCp0-wyyH0y5IvQnenreOSKFOo8AF4Pfpekc/edit?gid=400822622#gid=400822622"", ""GRADE 11!W""&amp;ROW(W47))"),0.0)</f>
        <v>0</v>
      </c>
      <c r="Z50" s="120">
        <f>IFERROR(__xludf.DUMMYFUNCTION("IMPORTRANGE(""https://docs.google.com/spreadsheets/d/1CaLR8gtRCp0-wyyH0y5IvQnenreOSKFOo8AF4Pfpekc/edit?gid=400822622#gid=400822622"", ""GRADE 11!X""&amp;ROW(X47))"),9.0)</f>
        <v>9</v>
      </c>
      <c r="AA50" s="121">
        <f>IFERROR(__xludf.DUMMYFUNCTION("IMPORTRANGE(""https://docs.google.com/spreadsheets/d/1CaLR8gtRCp0-wyyH0y5IvQnenreOSKFOo8AF4Pfpekc/edit?gid=400822622#gid=400822622"", ""GRADE 11!Y""&amp;ROW(Y47))"),0.0)</f>
        <v>0</v>
      </c>
      <c r="AB50" s="39">
        <f>IFERROR(__xludf.DUMMYFUNCTION("IMPORTRANGE(""https://docs.google.com/spreadsheets/d/1CaLR8gtRCp0-wyyH0y5IvQnenreOSKFOo8AF4Pfpekc/edit?gid=400822622#gid=400822622"", ""GRADE 11!Z""&amp;ROW(Z47))"),0.0)</f>
        <v>0</v>
      </c>
    </row>
    <row r="51">
      <c r="A51" s="28" t="s">
        <v>19</v>
      </c>
      <c r="B51" s="29">
        <v>41.0</v>
      </c>
      <c r="C51" s="30" t="s">
        <v>108</v>
      </c>
      <c r="D51" s="118" t="s">
        <v>88</v>
      </c>
      <c r="E51" s="32" t="s">
        <v>109</v>
      </c>
      <c r="F51" s="32" t="s">
        <v>55</v>
      </c>
      <c r="G51" s="34">
        <v>18.0</v>
      </c>
      <c r="H51" s="34">
        <v>11.0</v>
      </c>
      <c r="I51" s="35">
        <f t="shared" si="1"/>
        <v>29</v>
      </c>
      <c r="J51" s="119" t="str">
        <f>IFERROR(__xludf.DUMMYFUNCTION("IMPORTRANGE(""https://docs.google.com/spreadsheets/d/1CaLR8gtRCp0-wyyH0y5IvQnenreOSKFOo8AF4Pfpekc/edit?gid=400822622#gid=400822622"", ""GRADE 11!H""&amp;ROW(H48))"),"")</f>
        <v/>
      </c>
      <c r="K51" s="119" t="str">
        <f>IFERROR(__xludf.DUMMYFUNCTION("IMPORTRANGE(""https://docs.google.com/spreadsheets/d/1CaLR8gtRCp0-wyyH0y5IvQnenreOSKFOo8AF4Pfpekc/edit?gid=400822622#gid=400822622"", ""GRADE 11!I""&amp;ROW(I48))"),"")</f>
        <v/>
      </c>
      <c r="L51" s="119" t="str">
        <f>IFERROR(__xludf.DUMMYFUNCTION("IMPORTRANGE(""https://docs.google.com/spreadsheets/d/1CaLR8gtRCp0-wyyH0y5IvQnenreOSKFOo8AF4Pfpekc/edit?gid=400822622#gid=400822622"", ""GRADE 11!J""&amp;ROW(J48))"),"")</f>
        <v/>
      </c>
      <c r="M51" s="119" t="str">
        <f>IFERROR(__xludf.DUMMYFUNCTION("IMPORTRANGE(""https://docs.google.com/spreadsheets/d/1CaLR8gtRCp0-wyyH0y5IvQnenreOSKFOo8AF4Pfpekc/edit?gid=400822622#gid=400822622"", ""GRADE 11!K""&amp;ROW(K48))"),"")</f>
        <v/>
      </c>
      <c r="N51" s="119" t="str">
        <f>IFERROR(__xludf.DUMMYFUNCTION("IMPORTRANGE(""https://docs.google.com/spreadsheets/d/1CaLR8gtRCp0-wyyH0y5IvQnenreOSKFOo8AF4Pfpekc/edit?gid=400822622#gid=400822622"", ""GRADE 11!L""&amp;ROW(L48))"),"")</f>
        <v/>
      </c>
      <c r="O51" s="119" t="str">
        <f>IFERROR(__xludf.DUMMYFUNCTION("IMPORTRANGE(""https://docs.google.com/spreadsheets/d/1CaLR8gtRCp0-wyyH0y5IvQnenreOSKFOo8AF4Pfpekc/edit?gid=400822622#gid=400822622"", ""GRADE 11!M""&amp;ROW(M48))"),"")</f>
        <v/>
      </c>
      <c r="P51" s="119" t="str">
        <f>IFERROR(__xludf.DUMMYFUNCTION("IMPORTRANGE(""https://docs.google.com/spreadsheets/d/1CaLR8gtRCp0-wyyH0y5IvQnenreOSKFOo8AF4Pfpekc/edit?gid=400822622#gid=400822622"", ""GRADE 11!N""&amp;ROW(N48))"),"")</f>
        <v/>
      </c>
      <c r="Q51" s="119" t="str">
        <f>IFERROR(__xludf.DUMMYFUNCTION("IMPORTRANGE(""https://docs.google.com/spreadsheets/d/1CaLR8gtRCp0-wyyH0y5IvQnenreOSKFOo8AF4Pfpekc/edit?gid=400822622#gid=400822622"", ""GRADE 11!O""&amp;ROW(O48))"),"")</f>
        <v/>
      </c>
      <c r="R51" s="119">
        <f>IFERROR(__xludf.DUMMYFUNCTION("IMPORTRANGE(""https://docs.google.com/spreadsheets/d/1CaLR8gtRCp0-wyyH0y5IvQnenreOSKFOo8AF4Pfpekc/edit?gid=400822622#gid=400822622"", ""GRADE 11!P""&amp;ROW(P48))"),0.0)</f>
        <v>0</v>
      </c>
      <c r="S51" s="119">
        <f>IFERROR(__xludf.DUMMYFUNCTION("IMPORTRANGE(""https://docs.google.com/spreadsheets/d/1CaLR8gtRCp0-wyyH0y5IvQnenreOSKFOo8AF4Pfpekc/edit?gid=400822622#gid=400822622"", ""GRADE 11!Q""&amp;ROW(Q48))"),0.0)</f>
        <v>0</v>
      </c>
      <c r="T51" s="119">
        <f>IFERROR(__xludf.DUMMYFUNCTION("IMPORTRANGE(""https://docs.google.com/spreadsheets/d/1CaLR8gtRCp0-wyyH0y5IvQnenreOSKFOo8AF4Pfpekc/edit?gid=400822622#gid=400822622"", ""GRADE 11!R""&amp;ROW(R48))"),0.0)</f>
        <v>0</v>
      </c>
      <c r="U51" s="119">
        <f>IFERROR(__xludf.DUMMYFUNCTION("IMPORTRANGE(""https://docs.google.com/spreadsheets/d/1CaLR8gtRCp0-wyyH0y5IvQnenreOSKFOo8AF4Pfpekc/edit?gid=400822622#gid=400822622"", ""GRADE 11!S""&amp;ROW(S48))"),0.0)</f>
        <v>0</v>
      </c>
      <c r="V51" s="119">
        <f>IFERROR(__xludf.DUMMYFUNCTION("IMPORTRANGE(""https://docs.google.com/spreadsheets/d/1CaLR8gtRCp0-wyyH0y5IvQnenreOSKFOo8AF4Pfpekc/edit?gid=400822622#gid=400822622"", ""GRADE 11!T""&amp;ROW(T48))"),0.0)</f>
        <v>0</v>
      </c>
      <c r="W51" s="119">
        <f>IFERROR(__xludf.DUMMYFUNCTION("IMPORTRANGE(""https://docs.google.com/spreadsheets/d/1CaLR8gtRCp0-wyyH0y5IvQnenreOSKFOo8AF4Pfpekc/edit?gid=400822622#gid=400822622"", ""GRADE 11!U""&amp;ROW(U48))"),0.0)</f>
        <v>0</v>
      </c>
      <c r="X51" s="119">
        <f>IFERROR(__xludf.DUMMYFUNCTION("IMPORTRANGE(""https://docs.google.com/spreadsheets/d/1CaLR8gtRCp0-wyyH0y5IvQnenreOSKFOo8AF4Pfpekc/edit?gid=400822622#gid=400822622"", ""GRADE 11!V""&amp;ROW(V48))"),0.0)</f>
        <v>0</v>
      </c>
      <c r="Y51" s="119">
        <f>IFERROR(__xludf.DUMMYFUNCTION("IMPORTRANGE(""https://docs.google.com/spreadsheets/d/1CaLR8gtRCp0-wyyH0y5IvQnenreOSKFOo8AF4Pfpekc/edit?gid=400822622#gid=400822622"", ""GRADE 11!W""&amp;ROW(W48))"),0.0)</f>
        <v>0</v>
      </c>
      <c r="Z51" s="120">
        <f>IFERROR(__xludf.DUMMYFUNCTION("IMPORTRANGE(""https://docs.google.com/spreadsheets/d/1CaLR8gtRCp0-wyyH0y5IvQnenreOSKFOo8AF4Pfpekc/edit?gid=400822622#gid=400822622"", ""GRADE 11!X""&amp;ROW(X48))"),8.0)</f>
        <v>8</v>
      </c>
      <c r="AA51" s="121">
        <f>IFERROR(__xludf.DUMMYFUNCTION("IMPORTRANGE(""https://docs.google.com/spreadsheets/d/1CaLR8gtRCp0-wyyH0y5IvQnenreOSKFOo8AF4Pfpekc/edit?gid=400822622#gid=400822622"", ""GRADE 11!Y""&amp;ROW(Y48))"),0.0)</f>
        <v>0</v>
      </c>
      <c r="AB51" s="39">
        <f>IFERROR(__xludf.DUMMYFUNCTION("IMPORTRANGE(""https://docs.google.com/spreadsheets/d/1CaLR8gtRCp0-wyyH0y5IvQnenreOSKFOo8AF4Pfpekc/edit?gid=400822622#gid=400822622"", ""GRADE 11!Z""&amp;ROW(Z48))"),0.0)</f>
        <v>0</v>
      </c>
    </row>
    <row r="52">
      <c r="A52" s="28" t="s">
        <v>19</v>
      </c>
      <c r="B52" s="29">
        <v>42.0</v>
      </c>
      <c r="C52" s="30" t="s">
        <v>110</v>
      </c>
      <c r="D52" s="118" t="s">
        <v>88</v>
      </c>
      <c r="E52" s="32" t="s">
        <v>111</v>
      </c>
      <c r="F52" s="32" t="s">
        <v>72</v>
      </c>
      <c r="G52" s="34">
        <v>12.0</v>
      </c>
      <c r="H52" s="34">
        <v>19.0</v>
      </c>
      <c r="I52" s="35">
        <f t="shared" si="1"/>
        <v>31</v>
      </c>
      <c r="J52" s="119" t="str">
        <f>IFERROR(__xludf.DUMMYFUNCTION("IMPORTRANGE(""https://docs.google.com/spreadsheets/d/1CaLR8gtRCp0-wyyH0y5IvQnenreOSKFOo8AF4Pfpekc/edit?gid=400822622#gid=400822622"", ""GRADE 11!H""&amp;ROW(H49))"),"")</f>
        <v/>
      </c>
      <c r="K52" s="119" t="str">
        <f>IFERROR(__xludf.DUMMYFUNCTION("IMPORTRANGE(""https://docs.google.com/spreadsheets/d/1CaLR8gtRCp0-wyyH0y5IvQnenreOSKFOo8AF4Pfpekc/edit?gid=400822622#gid=400822622"", ""GRADE 11!I""&amp;ROW(I49))"),"")</f>
        <v/>
      </c>
      <c r="L52" s="119" t="str">
        <f>IFERROR(__xludf.DUMMYFUNCTION("IMPORTRANGE(""https://docs.google.com/spreadsheets/d/1CaLR8gtRCp0-wyyH0y5IvQnenreOSKFOo8AF4Pfpekc/edit?gid=400822622#gid=400822622"", ""GRADE 11!J""&amp;ROW(J49))"),"")</f>
        <v/>
      </c>
      <c r="M52" s="119" t="str">
        <f>IFERROR(__xludf.DUMMYFUNCTION("IMPORTRANGE(""https://docs.google.com/spreadsheets/d/1CaLR8gtRCp0-wyyH0y5IvQnenreOSKFOo8AF4Pfpekc/edit?gid=400822622#gid=400822622"", ""GRADE 11!K""&amp;ROW(K49))"),"")</f>
        <v/>
      </c>
      <c r="N52" s="119" t="str">
        <f>IFERROR(__xludf.DUMMYFUNCTION("IMPORTRANGE(""https://docs.google.com/spreadsheets/d/1CaLR8gtRCp0-wyyH0y5IvQnenreOSKFOo8AF4Pfpekc/edit?gid=400822622#gid=400822622"", ""GRADE 11!L""&amp;ROW(L49))"),"")</f>
        <v/>
      </c>
      <c r="O52" s="119" t="str">
        <f>IFERROR(__xludf.DUMMYFUNCTION("IMPORTRANGE(""https://docs.google.com/spreadsheets/d/1CaLR8gtRCp0-wyyH0y5IvQnenreOSKFOo8AF4Pfpekc/edit?gid=400822622#gid=400822622"", ""GRADE 11!M""&amp;ROW(M49))"),"")</f>
        <v/>
      </c>
      <c r="P52" s="119" t="str">
        <f>IFERROR(__xludf.DUMMYFUNCTION("IMPORTRANGE(""https://docs.google.com/spreadsheets/d/1CaLR8gtRCp0-wyyH0y5IvQnenreOSKFOo8AF4Pfpekc/edit?gid=400822622#gid=400822622"", ""GRADE 11!N""&amp;ROW(N49))"),"")</f>
        <v/>
      </c>
      <c r="Q52" s="119" t="str">
        <f>IFERROR(__xludf.DUMMYFUNCTION("IMPORTRANGE(""https://docs.google.com/spreadsheets/d/1CaLR8gtRCp0-wyyH0y5IvQnenreOSKFOo8AF4Pfpekc/edit?gid=400822622#gid=400822622"", ""GRADE 11!O""&amp;ROW(O49))"),"")</f>
        <v/>
      </c>
      <c r="R52" s="119">
        <f>IFERROR(__xludf.DUMMYFUNCTION("IMPORTRANGE(""https://docs.google.com/spreadsheets/d/1CaLR8gtRCp0-wyyH0y5IvQnenreOSKFOo8AF4Pfpekc/edit?gid=400822622#gid=400822622"", ""GRADE 11!P""&amp;ROW(P49))"),0.0)</f>
        <v>0</v>
      </c>
      <c r="S52" s="119">
        <f>IFERROR(__xludf.DUMMYFUNCTION("IMPORTRANGE(""https://docs.google.com/spreadsheets/d/1CaLR8gtRCp0-wyyH0y5IvQnenreOSKFOo8AF4Pfpekc/edit?gid=400822622#gid=400822622"", ""GRADE 11!Q""&amp;ROW(Q49))"),0.0)</f>
        <v>0</v>
      </c>
      <c r="T52" s="119">
        <f>IFERROR(__xludf.DUMMYFUNCTION("IMPORTRANGE(""https://docs.google.com/spreadsheets/d/1CaLR8gtRCp0-wyyH0y5IvQnenreOSKFOo8AF4Pfpekc/edit?gid=400822622#gid=400822622"", ""GRADE 11!R""&amp;ROW(R49))"),0.0)</f>
        <v>0</v>
      </c>
      <c r="U52" s="119">
        <f>IFERROR(__xludf.DUMMYFUNCTION("IMPORTRANGE(""https://docs.google.com/spreadsheets/d/1CaLR8gtRCp0-wyyH0y5IvQnenreOSKFOo8AF4Pfpekc/edit?gid=400822622#gid=400822622"", ""GRADE 11!S""&amp;ROW(S49))"),0.0)</f>
        <v>0</v>
      </c>
      <c r="V52" s="119">
        <f>IFERROR(__xludf.DUMMYFUNCTION("IMPORTRANGE(""https://docs.google.com/spreadsheets/d/1CaLR8gtRCp0-wyyH0y5IvQnenreOSKFOo8AF4Pfpekc/edit?gid=400822622#gid=400822622"", ""GRADE 11!T""&amp;ROW(T49))"),0.0)</f>
        <v>0</v>
      </c>
      <c r="W52" s="119">
        <f>IFERROR(__xludf.DUMMYFUNCTION("IMPORTRANGE(""https://docs.google.com/spreadsheets/d/1CaLR8gtRCp0-wyyH0y5IvQnenreOSKFOo8AF4Pfpekc/edit?gid=400822622#gid=400822622"", ""GRADE 11!U""&amp;ROW(U49))"),0.0)</f>
        <v>0</v>
      </c>
      <c r="X52" s="119">
        <f>IFERROR(__xludf.DUMMYFUNCTION("IMPORTRANGE(""https://docs.google.com/spreadsheets/d/1CaLR8gtRCp0-wyyH0y5IvQnenreOSKFOo8AF4Pfpekc/edit?gid=400822622#gid=400822622"", ""GRADE 11!V""&amp;ROW(V49))"),0.0)</f>
        <v>0</v>
      </c>
      <c r="Y52" s="119">
        <f>IFERROR(__xludf.DUMMYFUNCTION("IMPORTRANGE(""https://docs.google.com/spreadsheets/d/1CaLR8gtRCp0-wyyH0y5IvQnenreOSKFOo8AF4Pfpekc/edit?gid=400822622#gid=400822622"", ""GRADE 11!W""&amp;ROW(W49))"),0.0)</f>
        <v>0</v>
      </c>
      <c r="Z52" s="120">
        <f>IFERROR(__xludf.DUMMYFUNCTION("IMPORTRANGE(""https://docs.google.com/spreadsheets/d/1CaLR8gtRCp0-wyyH0y5IvQnenreOSKFOo8AF4Pfpekc/edit?gid=400822622#gid=400822622"", ""GRADE 11!X""&amp;ROW(X49))"),8.0)</f>
        <v>8</v>
      </c>
      <c r="AA52" s="121">
        <f>IFERROR(__xludf.DUMMYFUNCTION("IMPORTRANGE(""https://docs.google.com/spreadsheets/d/1CaLR8gtRCp0-wyyH0y5IvQnenreOSKFOo8AF4Pfpekc/edit?gid=400822622#gid=400822622"", ""GRADE 11!Y""&amp;ROW(Y49))"),0.0)</f>
        <v>0</v>
      </c>
      <c r="AB52" s="39">
        <f>IFERROR(__xludf.DUMMYFUNCTION("IMPORTRANGE(""https://docs.google.com/spreadsheets/d/1CaLR8gtRCp0-wyyH0y5IvQnenreOSKFOo8AF4Pfpekc/edit?gid=400822622#gid=400822622"", ""GRADE 11!Z""&amp;ROW(Z49))"),0.0)</f>
        <v>0</v>
      </c>
    </row>
    <row r="53">
      <c r="A53" s="28" t="s">
        <v>19</v>
      </c>
      <c r="B53" s="29">
        <v>43.0</v>
      </c>
      <c r="C53" s="30" t="s">
        <v>112</v>
      </c>
      <c r="D53" s="118" t="s">
        <v>88</v>
      </c>
      <c r="E53" s="32" t="s">
        <v>113</v>
      </c>
      <c r="F53" s="32" t="s">
        <v>43</v>
      </c>
      <c r="G53" s="34">
        <v>20.0</v>
      </c>
      <c r="H53" s="34">
        <v>11.0</v>
      </c>
      <c r="I53" s="35">
        <f t="shared" si="1"/>
        <v>31</v>
      </c>
      <c r="J53" s="119" t="str">
        <f>IFERROR(__xludf.DUMMYFUNCTION("IMPORTRANGE(""https://docs.google.com/spreadsheets/d/1CaLR8gtRCp0-wyyH0y5IvQnenreOSKFOo8AF4Pfpekc/edit?gid=400822622#gid=400822622"", ""GRADE 11!H""&amp;ROW(H50))"),"")</f>
        <v/>
      </c>
      <c r="K53" s="119" t="str">
        <f>IFERROR(__xludf.DUMMYFUNCTION("IMPORTRANGE(""https://docs.google.com/spreadsheets/d/1CaLR8gtRCp0-wyyH0y5IvQnenreOSKFOo8AF4Pfpekc/edit?gid=400822622#gid=400822622"", ""GRADE 11!I""&amp;ROW(I50))"),"")</f>
        <v/>
      </c>
      <c r="L53" s="119" t="str">
        <f>IFERROR(__xludf.DUMMYFUNCTION("IMPORTRANGE(""https://docs.google.com/spreadsheets/d/1CaLR8gtRCp0-wyyH0y5IvQnenreOSKFOo8AF4Pfpekc/edit?gid=400822622#gid=400822622"", ""GRADE 11!J""&amp;ROW(J50))"),"")</f>
        <v/>
      </c>
      <c r="M53" s="119" t="str">
        <f>IFERROR(__xludf.DUMMYFUNCTION("IMPORTRANGE(""https://docs.google.com/spreadsheets/d/1CaLR8gtRCp0-wyyH0y5IvQnenreOSKFOo8AF4Pfpekc/edit?gid=400822622#gid=400822622"", ""GRADE 11!K""&amp;ROW(K50))"),"")</f>
        <v/>
      </c>
      <c r="N53" s="119" t="str">
        <f>IFERROR(__xludf.DUMMYFUNCTION("IMPORTRANGE(""https://docs.google.com/spreadsheets/d/1CaLR8gtRCp0-wyyH0y5IvQnenreOSKFOo8AF4Pfpekc/edit?gid=400822622#gid=400822622"", ""GRADE 11!L""&amp;ROW(L50))"),"")</f>
        <v/>
      </c>
      <c r="O53" s="119" t="str">
        <f>IFERROR(__xludf.DUMMYFUNCTION("IMPORTRANGE(""https://docs.google.com/spreadsheets/d/1CaLR8gtRCp0-wyyH0y5IvQnenreOSKFOo8AF4Pfpekc/edit?gid=400822622#gid=400822622"", ""GRADE 11!M""&amp;ROW(M50))"),"")</f>
        <v/>
      </c>
      <c r="P53" s="119" t="str">
        <f>IFERROR(__xludf.DUMMYFUNCTION("IMPORTRANGE(""https://docs.google.com/spreadsheets/d/1CaLR8gtRCp0-wyyH0y5IvQnenreOSKFOo8AF4Pfpekc/edit?gid=400822622#gid=400822622"", ""GRADE 11!N""&amp;ROW(N50))"),"")</f>
        <v/>
      </c>
      <c r="Q53" s="119" t="str">
        <f>IFERROR(__xludf.DUMMYFUNCTION("IMPORTRANGE(""https://docs.google.com/spreadsheets/d/1CaLR8gtRCp0-wyyH0y5IvQnenreOSKFOo8AF4Pfpekc/edit?gid=400822622#gid=400822622"", ""GRADE 11!O""&amp;ROW(O50))"),"")</f>
        <v/>
      </c>
      <c r="R53" s="119">
        <f>IFERROR(__xludf.DUMMYFUNCTION("IMPORTRANGE(""https://docs.google.com/spreadsheets/d/1CaLR8gtRCp0-wyyH0y5IvQnenreOSKFOo8AF4Pfpekc/edit?gid=400822622#gid=400822622"", ""GRADE 11!P""&amp;ROW(P50))"),1.0)</f>
        <v>1</v>
      </c>
      <c r="S53" s="119">
        <f>IFERROR(__xludf.DUMMYFUNCTION("IMPORTRANGE(""https://docs.google.com/spreadsheets/d/1CaLR8gtRCp0-wyyH0y5IvQnenreOSKFOo8AF4Pfpekc/edit?gid=400822622#gid=400822622"", ""GRADE 11!Q""&amp;ROW(Q50))"),1.0)</f>
        <v>1</v>
      </c>
      <c r="T53" s="119">
        <f>IFERROR(__xludf.DUMMYFUNCTION("IMPORTRANGE(""https://docs.google.com/spreadsheets/d/1CaLR8gtRCp0-wyyH0y5IvQnenreOSKFOo8AF4Pfpekc/edit?gid=400822622#gid=400822622"", ""GRADE 11!R""&amp;ROW(R50))"),1.0)</f>
        <v>1</v>
      </c>
      <c r="U53" s="119">
        <f>IFERROR(__xludf.DUMMYFUNCTION("IMPORTRANGE(""https://docs.google.com/spreadsheets/d/1CaLR8gtRCp0-wyyH0y5IvQnenreOSKFOo8AF4Pfpekc/edit?gid=400822622#gid=400822622"", ""GRADE 11!S""&amp;ROW(S50))"),1.0)</f>
        <v>1</v>
      </c>
      <c r="V53" s="119">
        <f>IFERROR(__xludf.DUMMYFUNCTION("IMPORTRANGE(""https://docs.google.com/spreadsheets/d/1CaLR8gtRCp0-wyyH0y5IvQnenreOSKFOo8AF4Pfpekc/edit?gid=400822622#gid=400822622"", ""GRADE 11!T""&amp;ROW(T50))"),1.0)</f>
        <v>1</v>
      </c>
      <c r="W53" s="119">
        <f>IFERROR(__xludf.DUMMYFUNCTION("IMPORTRANGE(""https://docs.google.com/spreadsheets/d/1CaLR8gtRCp0-wyyH0y5IvQnenreOSKFOo8AF4Pfpekc/edit?gid=400822622#gid=400822622"", ""GRADE 11!U""&amp;ROW(U50))"),1.0)</f>
        <v>1</v>
      </c>
      <c r="X53" s="119">
        <f>IFERROR(__xludf.DUMMYFUNCTION("IMPORTRANGE(""https://docs.google.com/spreadsheets/d/1CaLR8gtRCp0-wyyH0y5IvQnenreOSKFOo8AF4Pfpekc/edit?gid=400822622#gid=400822622"", ""GRADE 11!V""&amp;ROW(V50))"),1.0)</f>
        <v>1</v>
      </c>
      <c r="Y53" s="119">
        <f>IFERROR(__xludf.DUMMYFUNCTION("IMPORTRANGE(""https://docs.google.com/spreadsheets/d/1CaLR8gtRCp0-wyyH0y5IvQnenreOSKFOo8AF4Pfpekc/edit?gid=400822622#gid=400822622"", ""GRADE 11!W""&amp;ROW(W50))"),1.0)</f>
        <v>1</v>
      </c>
      <c r="Z53" s="120">
        <f>IFERROR(__xludf.DUMMYFUNCTION("IMPORTRANGE(""https://docs.google.com/spreadsheets/d/1CaLR8gtRCp0-wyyH0y5IvQnenreOSKFOo8AF4Pfpekc/edit?gid=400822622#gid=400822622"", ""GRADE 11!X""&amp;ROW(X50))"),0.0)</f>
        <v>0</v>
      </c>
      <c r="AA53" s="121">
        <f>IFERROR(__xludf.DUMMYFUNCTION("IMPORTRANGE(""https://docs.google.com/spreadsheets/d/1CaLR8gtRCp0-wyyH0y5IvQnenreOSKFOo8AF4Pfpekc/edit?gid=400822622#gid=400822622"", ""GRADE 11!Y""&amp;ROW(Y50))"),8.0)</f>
        <v>8</v>
      </c>
      <c r="AB53" s="39">
        <f>IFERROR(__xludf.DUMMYFUNCTION("IMPORTRANGE(""https://docs.google.com/spreadsheets/d/1CaLR8gtRCp0-wyyH0y5IvQnenreOSKFOo8AF4Pfpekc/edit?gid=400822622#gid=400822622"", ""GRADE 11!Z""&amp;ROW(Z50))"),-8.0)</f>
        <v>-8</v>
      </c>
    </row>
    <row r="54">
      <c r="A54" s="28" t="s">
        <v>19</v>
      </c>
      <c r="B54" s="29">
        <v>44.0</v>
      </c>
      <c r="C54" s="30" t="s">
        <v>114</v>
      </c>
      <c r="D54" s="118" t="s">
        <v>88</v>
      </c>
      <c r="E54" s="32" t="s">
        <v>115</v>
      </c>
      <c r="F54" s="32" t="s">
        <v>72</v>
      </c>
      <c r="G54" s="34">
        <v>19.0</v>
      </c>
      <c r="H54" s="34">
        <v>12.0</v>
      </c>
      <c r="I54" s="35">
        <f t="shared" si="1"/>
        <v>31</v>
      </c>
      <c r="J54" s="119" t="str">
        <f>IFERROR(__xludf.DUMMYFUNCTION("IMPORTRANGE(""https://docs.google.com/spreadsheets/d/1CaLR8gtRCp0-wyyH0y5IvQnenreOSKFOo8AF4Pfpekc/edit?gid=400822622#gid=400822622"", ""GRADE 11!H""&amp;ROW(H51))"),"")</f>
        <v/>
      </c>
      <c r="K54" s="119" t="str">
        <f>IFERROR(__xludf.DUMMYFUNCTION("IMPORTRANGE(""https://docs.google.com/spreadsheets/d/1CaLR8gtRCp0-wyyH0y5IvQnenreOSKFOo8AF4Pfpekc/edit?gid=400822622#gid=400822622"", ""GRADE 11!I""&amp;ROW(I51))"),"")</f>
        <v/>
      </c>
      <c r="L54" s="119" t="str">
        <f>IFERROR(__xludf.DUMMYFUNCTION("IMPORTRANGE(""https://docs.google.com/spreadsheets/d/1CaLR8gtRCp0-wyyH0y5IvQnenreOSKFOo8AF4Pfpekc/edit?gid=400822622#gid=400822622"", ""GRADE 11!J""&amp;ROW(J51))"),"")</f>
        <v/>
      </c>
      <c r="M54" s="119" t="str">
        <f>IFERROR(__xludf.DUMMYFUNCTION("IMPORTRANGE(""https://docs.google.com/spreadsheets/d/1CaLR8gtRCp0-wyyH0y5IvQnenreOSKFOo8AF4Pfpekc/edit?gid=400822622#gid=400822622"", ""GRADE 11!K""&amp;ROW(K51))"),"")</f>
        <v/>
      </c>
      <c r="N54" s="119" t="str">
        <f>IFERROR(__xludf.DUMMYFUNCTION("IMPORTRANGE(""https://docs.google.com/spreadsheets/d/1CaLR8gtRCp0-wyyH0y5IvQnenreOSKFOo8AF4Pfpekc/edit?gid=400822622#gid=400822622"", ""GRADE 11!L""&amp;ROW(L51))"),"")</f>
        <v/>
      </c>
      <c r="O54" s="119" t="str">
        <f>IFERROR(__xludf.DUMMYFUNCTION("IMPORTRANGE(""https://docs.google.com/spreadsheets/d/1CaLR8gtRCp0-wyyH0y5IvQnenreOSKFOo8AF4Pfpekc/edit?gid=400822622#gid=400822622"", ""GRADE 11!M""&amp;ROW(M51))"),"")</f>
        <v/>
      </c>
      <c r="P54" s="119" t="str">
        <f>IFERROR(__xludf.DUMMYFUNCTION("IMPORTRANGE(""https://docs.google.com/spreadsheets/d/1CaLR8gtRCp0-wyyH0y5IvQnenreOSKFOo8AF4Pfpekc/edit?gid=400822622#gid=400822622"", ""GRADE 11!N""&amp;ROW(N51))"),"")</f>
        <v/>
      </c>
      <c r="Q54" s="119" t="str">
        <f>IFERROR(__xludf.DUMMYFUNCTION("IMPORTRANGE(""https://docs.google.com/spreadsheets/d/1CaLR8gtRCp0-wyyH0y5IvQnenreOSKFOo8AF4Pfpekc/edit?gid=400822622#gid=400822622"", ""GRADE 11!O""&amp;ROW(O51))"),"")</f>
        <v/>
      </c>
      <c r="R54" s="119">
        <f>IFERROR(__xludf.DUMMYFUNCTION("IMPORTRANGE(""https://docs.google.com/spreadsheets/d/1CaLR8gtRCp0-wyyH0y5IvQnenreOSKFOo8AF4Pfpekc/edit?gid=400822622#gid=400822622"", ""GRADE 11!P""&amp;ROW(P51))"),0.0)</f>
        <v>0</v>
      </c>
      <c r="S54" s="119">
        <f>IFERROR(__xludf.DUMMYFUNCTION("IMPORTRANGE(""https://docs.google.com/spreadsheets/d/1CaLR8gtRCp0-wyyH0y5IvQnenreOSKFOo8AF4Pfpekc/edit?gid=400822622#gid=400822622"", ""GRADE 11!Q""&amp;ROW(Q51))"),0.0)</f>
        <v>0</v>
      </c>
      <c r="T54" s="119">
        <f>IFERROR(__xludf.DUMMYFUNCTION("IMPORTRANGE(""https://docs.google.com/spreadsheets/d/1CaLR8gtRCp0-wyyH0y5IvQnenreOSKFOo8AF4Pfpekc/edit?gid=400822622#gid=400822622"", ""GRADE 11!R""&amp;ROW(R51))"),0.0)</f>
        <v>0</v>
      </c>
      <c r="U54" s="119">
        <f>IFERROR(__xludf.DUMMYFUNCTION("IMPORTRANGE(""https://docs.google.com/spreadsheets/d/1CaLR8gtRCp0-wyyH0y5IvQnenreOSKFOo8AF4Pfpekc/edit?gid=400822622#gid=400822622"", ""GRADE 11!S""&amp;ROW(S51))"),0.0)</f>
        <v>0</v>
      </c>
      <c r="V54" s="119">
        <f>IFERROR(__xludf.DUMMYFUNCTION("IMPORTRANGE(""https://docs.google.com/spreadsheets/d/1CaLR8gtRCp0-wyyH0y5IvQnenreOSKFOo8AF4Pfpekc/edit?gid=400822622#gid=400822622"", ""GRADE 11!T""&amp;ROW(T51))"),0.0)</f>
        <v>0</v>
      </c>
      <c r="W54" s="119">
        <f>IFERROR(__xludf.DUMMYFUNCTION("IMPORTRANGE(""https://docs.google.com/spreadsheets/d/1CaLR8gtRCp0-wyyH0y5IvQnenreOSKFOo8AF4Pfpekc/edit?gid=400822622#gid=400822622"", ""GRADE 11!U""&amp;ROW(U51))"),0.0)</f>
        <v>0</v>
      </c>
      <c r="X54" s="119">
        <f>IFERROR(__xludf.DUMMYFUNCTION("IMPORTRANGE(""https://docs.google.com/spreadsheets/d/1CaLR8gtRCp0-wyyH0y5IvQnenreOSKFOo8AF4Pfpekc/edit?gid=400822622#gid=400822622"", ""GRADE 11!V""&amp;ROW(V51))"),0.0)</f>
        <v>0</v>
      </c>
      <c r="Y54" s="119">
        <f>IFERROR(__xludf.DUMMYFUNCTION("IMPORTRANGE(""https://docs.google.com/spreadsheets/d/1CaLR8gtRCp0-wyyH0y5IvQnenreOSKFOo8AF4Pfpekc/edit?gid=400822622#gid=400822622"", ""GRADE 11!W""&amp;ROW(W51))"),0.0)</f>
        <v>0</v>
      </c>
      <c r="Z54" s="120">
        <f>IFERROR(__xludf.DUMMYFUNCTION("IMPORTRANGE(""https://docs.google.com/spreadsheets/d/1CaLR8gtRCp0-wyyH0y5IvQnenreOSKFOo8AF4Pfpekc/edit?gid=400822622#gid=400822622"", ""GRADE 11!X""&amp;ROW(X51))"),8.0)</f>
        <v>8</v>
      </c>
      <c r="AA54" s="121">
        <f>IFERROR(__xludf.DUMMYFUNCTION("IMPORTRANGE(""https://docs.google.com/spreadsheets/d/1CaLR8gtRCp0-wyyH0y5IvQnenreOSKFOo8AF4Pfpekc/edit?gid=400822622#gid=400822622"", ""GRADE 11!Y""&amp;ROW(Y51))"),0.0)</f>
        <v>0</v>
      </c>
      <c r="AB54" s="39">
        <f>IFERROR(__xludf.DUMMYFUNCTION("IMPORTRANGE(""https://docs.google.com/spreadsheets/d/1CaLR8gtRCp0-wyyH0y5IvQnenreOSKFOo8AF4Pfpekc/edit?gid=400822622#gid=400822622"", ""GRADE 11!Z""&amp;ROW(Z51))"),0.0)</f>
        <v>0</v>
      </c>
    </row>
    <row r="55">
      <c r="A55" s="28" t="s">
        <v>19</v>
      </c>
      <c r="B55" s="29">
        <v>45.0</v>
      </c>
      <c r="C55" s="30" t="s">
        <v>116</v>
      </c>
      <c r="D55" s="118" t="s">
        <v>88</v>
      </c>
      <c r="E55" s="32" t="s">
        <v>117</v>
      </c>
      <c r="F55" s="32" t="s">
        <v>43</v>
      </c>
      <c r="G55" s="34">
        <v>18.0</v>
      </c>
      <c r="H55" s="34">
        <v>12.0</v>
      </c>
      <c r="I55" s="35">
        <f t="shared" si="1"/>
        <v>30</v>
      </c>
      <c r="J55" s="119" t="str">
        <f>IFERROR(__xludf.DUMMYFUNCTION("IMPORTRANGE(""https://docs.google.com/spreadsheets/d/1CaLR8gtRCp0-wyyH0y5IvQnenreOSKFOo8AF4Pfpekc/edit?gid=400822622#gid=400822622"", ""GRADE 11!H""&amp;ROW(H52))"),"")</f>
        <v/>
      </c>
      <c r="K55" s="119" t="str">
        <f>IFERROR(__xludf.DUMMYFUNCTION("IMPORTRANGE(""https://docs.google.com/spreadsheets/d/1CaLR8gtRCp0-wyyH0y5IvQnenreOSKFOo8AF4Pfpekc/edit?gid=400822622#gid=400822622"", ""GRADE 11!I""&amp;ROW(I52))"),"")</f>
        <v/>
      </c>
      <c r="L55" s="119" t="str">
        <f>IFERROR(__xludf.DUMMYFUNCTION("IMPORTRANGE(""https://docs.google.com/spreadsheets/d/1CaLR8gtRCp0-wyyH0y5IvQnenreOSKFOo8AF4Pfpekc/edit?gid=400822622#gid=400822622"", ""GRADE 11!J""&amp;ROW(J52))"),"")</f>
        <v/>
      </c>
      <c r="M55" s="119" t="str">
        <f>IFERROR(__xludf.DUMMYFUNCTION("IMPORTRANGE(""https://docs.google.com/spreadsheets/d/1CaLR8gtRCp0-wyyH0y5IvQnenreOSKFOo8AF4Pfpekc/edit?gid=400822622#gid=400822622"", ""GRADE 11!K""&amp;ROW(K52))"),"")</f>
        <v/>
      </c>
      <c r="N55" s="119" t="str">
        <f>IFERROR(__xludf.DUMMYFUNCTION("IMPORTRANGE(""https://docs.google.com/spreadsheets/d/1CaLR8gtRCp0-wyyH0y5IvQnenreOSKFOo8AF4Pfpekc/edit?gid=400822622#gid=400822622"", ""GRADE 11!L""&amp;ROW(L52))"),"")</f>
        <v/>
      </c>
      <c r="O55" s="119" t="str">
        <f>IFERROR(__xludf.DUMMYFUNCTION("IMPORTRANGE(""https://docs.google.com/spreadsheets/d/1CaLR8gtRCp0-wyyH0y5IvQnenreOSKFOo8AF4Pfpekc/edit?gid=400822622#gid=400822622"", ""GRADE 11!M""&amp;ROW(M52))"),"")</f>
        <v/>
      </c>
      <c r="P55" s="119" t="str">
        <f>IFERROR(__xludf.DUMMYFUNCTION("IMPORTRANGE(""https://docs.google.com/spreadsheets/d/1CaLR8gtRCp0-wyyH0y5IvQnenreOSKFOo8AF4Pfpekc/edit?gid=400822622#gid=400822622"", ""GRADE 11!N""&amp;ROW(N52))"),"")</f>
        <v/>
      </c>
      <c r="Q55" s="119" t="str">
        <f>IFERROR(__xludf.DUMMYFUNCTION("IMPORTRANGE(""https://docs.google.com/spreadsheets/d/1CaLR8gtRCp0-wyyH0y5IvQnenreOSKFOo8AF4Pfpekc/edit?gid=400822622#gid=400822622"", ""GRADE 11!O""&amp;ROW(O52))"),"")</f>
        <v/>
      </c>
      <c r="R55" s="119">
        <f>IFERROR(__xludf.DUMMYFUNCTION("IMPORTRANGE(""https://docs.google.com/spreadsheets/d/1CaLR8gtRCp0-wyyH0y5IvQnenreOSKFOo8AF4Pfpekc/edit?gid=400822622#gid=400822622"", ""GRADE 11!P""&amp;ROW(P52))"),0.0)</f>
        <v>0</v>
      </c>
      <c r="S55" s="119">
        <f>IFERROR(__xludf.DUMMYFUNCTION("IMPORTRANGE(""https://docs.google.com/spreadsheets/d/1CaLR8gtRCp0-wyyH0y5IvQnenreOSKFOo8AF4Pfpekc/edit?gid=400822622#gid=400822622"", ""GRADE 11!Q""&amp;ROW(Q52))"),0.0)</f>
        <v>0</v>
      </c>
      <c r="T55" s="119">
        <f>IFERROR(__xludf.DUMMYFUNCTION("IMPORTRANGE(""https://docs.google.com/spreadsheets/d/1CaLR8gtRCp0-wyyH0y5IvQnenreOSKFOo8AF4Pfpekc/edit?gid=400822622#gid=400822622"", ""GRADE 11!R""&amp;ROW(R52))"),0.0)</f>
        <v>0</v>
      </c>
      <c r="U55" s="119">
        <f>IFERROR(__xludf.DUMMYFUNCTION("IMPORTRANGE(""https://docs.google.com/spreadsheets/d/1CaLR8gtRCp0-wyyH0y5IvQnenreOSKFOo8AF4Pfpekc/edit?gid=400822622#gid=400822622"", ""GRADE 11!S""&amp;ROW(S52))"),0.0)</f>
        <v>0</v>
      </c>
      <c r="V55" s="119">
        <f>IFERROR(__xludf.DUMMYFUNCTION("IMPORTRANGE(""https://docs.google.com/spreadsheets/d/1CaLR8gtRCp0-wyyH0y5IvQnenreOSKFOo8AF4Pfpekc/edit?gid=400822622#gid=400822622"", ""GRADE 11!T""&amp;ROW(T52))"),0.0)</f>
        <v>0</v>
      </c>
      <c r="W55" s="119">
        <f>IFERROR(__xludf.DUMMYFUNCTION("IMPORTRANGE(""https://docs.google.com/spreadsheets/d/1CaLR8gtRCp0-wyyH0y5IvQnenreOSKFOo8AF4Pfpekc/edit?gid=400822622#gid=400822622"", ""GRADE 11!U""&amp;ROW(U52))"),0.0)</f>
        <v>0</v>
      </c>
      <c r="X55" s="119">
        <f>IFERROR(__xludf.DUMMYFUNCTION("IMPORTRANGE(""https://docs.google.com/spreadsheets/d/1CaLR8gtRCp0-wyyH0y5IvQnenreOSKFOo8AF4Pfpekc/edit?gid=400822622#gid=400822622"", ""GRADE 11!V""&amp;ROW(V52))"),0.0)</f>
        <v>0</v>
      </c>
      <c r="Y55" s="119">
        <f>IFERROR(__xludf.DUMMYFUNCTION("IMPORTRANGE(""https://docs.google.com/spreadsheets/d/1CaLR8gtRCp0-wyyH0y5IvQnenreOSKFOo8AF4Pfpekc/edit?gid=400822622#gid=400822622"", ""GRADE 11!W""&amp;ROW(W52))"),0.0)</f>
        <v>0</v>
      </c>
      <c r="Z55" s="120">
        <f>IFERROR(__xludf.DUMMYFUNCTION("IMPORTRANGE(""https://docs.google.com/spreadsheets/d/1CaLR8gtRCp0-wyyH0y5IvQnenreOSKFOo8AF4Pfpekc/edit?gid=400822622#gid=400822622"", ""GRADE 11!X""&amp;ROW(X52))"),8.0)</f>
        <v>8</v>
      </c>
      <c r="AA55" s="121">
        <f>IFERROR(__xludf.DUMMYFUNCTION("IMPORTRANGE(""https://docs.google.com/spreadsheets/d/1CaLR8gtRCp0-wyyH0y5IvQnenreOSKFOo8AF4Pfpekc/edit?gid=400822622#gid=400822622"", ""GRADE 11!Y""&amp;ROW(Y52))"),0.0)</f>
        <v>0</v>
      </c>
      <c r="AB55" s="39">
        <f>IFERROR(__xludf.DUMMYFUNCTION("IMPORTRANGE(""https://docs.google.com/spreadsheets/d/1CaLR8gtRCp0-wyyH0y5IvQnenreOSKFOo8AF4Pfpekc/edit?gid=400822622#gid=400822622"", ""GRADE 11!Z""&amp;ROW(Z52))"),0.0)</f>
        <v>0</v>
      </c>
    </row>
    <row r="56">
      <c r="A56" s="28" t="s">
        <v>19</v>
      </c>
      <c r="B56" s="29">
        <v>46.0</v>
      </c>
      <c r="C56" s="30" t="s">
        <v>118</v>
      </c>
      <c r="D56" s="118" t="s">
        <v>119</v>
      </c>
      <c r="E56" s="32" t="s">
        <v>120</v>
      </c>
      <c r="F56" s="32" t="s">
        <v>27</v>
      </c>
      <c r="G56" s="34">
        <v>24.0</v>
      </c>
      <c r="H56" s="34">
        <v>29.0</v>
      </c>
      <c r="I56" s="35">
        <f t="shared" si="1"/>
        <v>53</v>
      </c>
      <c r="J56" s="119">
        <f>IFERROR(__xludf.DUMMYFUNCTION("IMPORTRANGE(""https://docs.google.com/spreadsheets/d/1CaLR8gtRCp0-wyyH0y5IvQnenreOSKFOo8AF4Pfpekc/edit?gid=400822622#gid=400822622"", ""GRADE 11!H""&amp;ROW(H53))"),0.0)</f>
        <v>0</v>
      </c>
      <c r="K56" s="119">
        <f>IFERROR(__xludf.DUMMYFUNCTION("IMPORTRANGE(""https://docs.google.com/spreadsheets/d/1CaLR8gtRCp0-wyyH0y5IvQnenreOSKFOo8AF4Pfpekc/edit?gid=400822622#gid=400822622"", ""GRADE 11!I""&amp;ROW(I53))"),0.0)</f>
        <v>0</v>
      </c>
      <c r="L56" s="119">
        <f>IFERROR(__xludf.DUMMYFUNCTION("IMPORTRANGE(""https://docs.google.com/spreadsheets/d/1CaLR8gtRCp0-wyyH0y5IvQnenreOSKFOo8AF4Pfpekc/edit?gid=400822622#gid=400822622"", ""GRADE 11!J""&amp;ROW(J53))"),0.0)</f>
        <v>0</v>
      </c>
      <c r="M56" s="119">
        <f>IFERROR(__xludf.DUMMYFUNCTION("IMPORTRANGE(""https://docs.google.com/spreadsheets/d/1CaLR8gtRCp0-wyyH0y5IvQnenreOSKFOo8AF4Pfpekc/edit?gid=400822622#gid=400822622"", ""GRADE 11!K""&amp;ROW(K53))"),0.0)</f>
        <v>0</v>
      </c>
      <c r="N56" s="119">
        <f>IFERROR(__xludf.DUMMYFUNCTION("IMPORTRANGE(""https://docs.google.com/spreadsheets/d/1CaLR8gtRCp0-wyyH0y5IvQnenreOSKFOo8AF4Pfpekc/edit?gid=400822622#gid=400822622"", ""GRADE 11!L""&amp;ROW(L53))"),0.0)</f>
        <v>0</v>
      </c>
      <c r="O56" s="119">
        <f>IFERROR(__xludf.DUMMYFUNCTION("IMPORTRANGE(""https://docs.google.com/spreadsheets/d/1CaLR8gtRCp0-wyyH0y5IvQnenreOSKFOo8AF4Pfpekc/edit?gid=400822622#gid=400822622"", ""GRADE 11!M""&amp;ROW(M53))"),0.0)</f>
        <v>0</v>
      </c>
      <c r="P56" s="119" t="str">
        <f>IFERROR(__xludf.DUMMYFUNCTION("IMPORTRANGE(""https://docs.google.com/spreadsheets/d/1CaLR8gtRCp0-wyyH0y5IvQnenreOSKFOo8AF4Pfpekc/edit?gid=400822622#gid=400822622"", ""GRADE 11!N""&amp;ROW(N53))"),"")</f>
        <v/>
      </c>
      <c r="Q56" s="119">
        <f>IFERROR(__xludf.DUMMYFUNCTION("IMPORTRANGE(""https://docs.google.com/spreadsheets/d/1CaLR8gtRCp0-wyyH0y5IvQnenreOSKFOo8AF4Pfpekc/edit?gid=400822622#gid=400822622"", ""GRADE 11!O""&amp;ROW(O53))"),0.0)</f>
        <v>0</v>
      </c>
      <c r="R56" s="119" t="str">
        <f>IFERROR(__xludf.DUMMYFUNCTION("IMPORTRANGE(""https://docs.google.com/spreadsheets/d/1CaLR8gtRCp0-wyyH0y5IvQnenreOSKFOo8AF4Pfpekc/edit?gid=400822622#gid=400822622"", ""GRADE 11!P""&amp;ROW(P53))"),"")</f>
        <v/>
      </c>
      <c r="S56" s="119" t="str">
        <f>IFERROR(__xludf.DUMMYFUNCTION("IMPORTRANGE(""https://docs.google.com/spreadsheets/d/1CaLR8gtRCp0-wyyH0y5IvQnenreOSKFOo8AF4Pfpekc/edit?gid=400822622#gid=400822622"", ""GRADE 11!Q""&amp;ROW(Q53))"),"")</f>
        <v/>
      </c>
      <c r="T56" s="119" t="str">
        <f>IFERROR(__xludf.DUMMYFUNCTION("IMPORTRANGE(""https://docs.google.com/spreadsheets/d/1CaLR8gtRCp0-wyyH0y5IvQnenreOSKFOo8AF4Pfpekc/edit?gid=400822622#gid=400822622"", ""GRADE 11!R""&amp;ROW(R53))"),"")</f>
        <v/>
      </c>
      <c r="U56" s="119" t="str">
        <f>IFERROR(__xludf.DUMMYFUNCTION("IMPORTRANGE(""https://docs.google.com/spreadsheets/d/1CaLR8gtRCp0-wyyH0y5IvQnenreOSKFOo8AF4Pfpekc/edit?gid=400822622#gid=400822622"", ""GRADE 11!S""&amp;ROW(S53))"),"")</f>
        <v/>
      </c>
      <c r="V56" s="119" t="str">
        <f>IFERROR(__xludf.DUMMYFUNCTION("IMPORTRANGE(""https://docs.google.com/spreadsheets/d/1CaLR8gtRCp0-wyyH0y5IvQnenreOSKFOo8AF4Pfpekc/edit?gid=400822622#gid=400822622"", ""GRADE 11!T""&amp;ROW(T53))"),"")</f>
        <v/>
      </c>
      <c r="W56" s="119" t="str">
        <f>IFERROR(__xludf.DUMMYFUNCTION("IMPORTRANGE(""https://docs.google.com/spreadsheets/d/1CaLR8gtRCp0-wyyH0y5IvQnenreOSKFOo8AF4Pfpekc/edit?gid=400822622#gid=400822622"", ""GRADE 11!U""&amp;ROW(U53))"),"")</f>
        <v/>
      </c>
      <c r="X56" s="119">
        <f>IFERROR(__xludf.DUMMYFUNCTION("IMPORTRANGE(""https://docs.google.com/spreadsheets/d/1CaLR8gtRCp0-wyyH0y5IvQnenreOSKFOo8AF4Pfpekc/edit?gid=400822622#gid=400822622"", ""GRADE 11!V""&amp;ROW(V53))"),0.0)</f>
        <v>0</v>
      </c>
      <c r="Y56" s="119" t="str">
        <f>IFERROR(__xludf.DUMMYFUNCTION("IMPORTRANGE(""https://docs.google.com/spreadsheets/d/1CaLR8gtRCp0-wyyH0y5IvQnenreOSKFOo8AF4Pfpekc/edit?gid=400822622#gid=400822622"", ""GRADE 11!W""&amp;ROW(W53))"),"")</f>
        <v/>
      </c>
      <c r="Z56" s="120">
        <f>IFERROR(__xludf.DUMMYFUNCTION("IMPORTRANGE(""https://docs.google.com/spreadsheets/d/1CaLR8gtRCp0-wyyH0y5IvQnenreOSKFOo8AF4Pfpekc/edit?gid=400822622#gid=400822622"", ""GRADE 11!X""&amp;ROW(X53))"),8.0)</f>
        <v>8</v>
      </c>
      <c r="AA56" s="121">
        <f>IFERROR(__xludf.DUMMYFUNCTION("IMPORTRANGE(""https://docs.google.com/spreadsheets/d/1CaLR8gtRCp0-wyyH0y5IvQnenreOSKFOo8AF4Pfpekc/edit?gid=400822622#gid=400822622"", ""GRADE 11!Y""&amp;ROW(Y53))"),0.0)</f>
        <v>0</v>
      </c>
      <c r="AB56" s="39">
        <f>IFERROR(__xludf.DUMMYFUNCTION("IMPORTRANGE(""https://docs.google.com/spreadsheets/d/1CaLR8gtRCp0-wyyH0y5IvQnenreOSKFOo8AF4Pfpekc/edit?gid=400822622#gid=400822622"", ""GRADE 11!Z""&amp;ROW(Z53))"),0.0)</f>
        <v>0</v>
      </c>
    </row>
    <row r="57">
      <c r="A57" s="28" t="s">
        <v>19</v>
      </c>
      <c r="B57" s="29">
        <v>47.0</v>
      </c>
      <c r="C57" s="30" t="s">
        <v>121</v>
      </c>
      <c r="D57" s="118" t="s">
        <v>119</v>
      </c>
      <c r="E57" s="32" t="s">
        <v>122</v>
      </c>
      <c r="F57" s="32" t="s">
        <v>30</v>
      </c>
      <c r="G57" s="34">
        <v>21.0</v>
      </c>
      <c r="H57" s="34">
        <v>29.0</v>
      </c>
      <c r="I57" s="35">
        <f t="shared" si="1"/>
        <v>50</v>
      </c>
      <c r="J57" s="119">
        <f>IFERROR(__xludf.DUMMYFUNCTION("IMPORTRANGE(""https://docs.google.com/spreadsheets/d/1CaLR8gtRCp0-wyyH0y5IvQnenreOSKFOo8AF4Pfpekc/edit?gid=400822622#gid=400822622"", ""GRADE 11!H""&amp;ROW(H54))"),1.0)</f>
        <v>1</v>
      </c>
      <c r="K57" s="119">
        <f>IFERROR(__xludf.DUMMYFUNCTION("IMPORTRANGE(""https://docs.google.com/spreadsheets/d/1CaLR8gtRCp0-wyyH0y5IvQnenreOSKFOo8AF4Pfpekc/edit?gid=400822622#gid=400822622"", ""GRADE 11!I""&amp;ROW(I54))"),1.0)</f>
        <v>1</v>
      </c>
      <c r="L57" s="119">
        <f>IFERROR(__xludf.DUMMYFUNCTION("IMPORTRANGE(""https://docs.google.com/spreadsheets/d/1CaLR8gtRCp0-wyyH0y5IvQnenreOSKFOo8AF4Pfpekc/edit?gid=400822622#gid=400822622"", ""GRADE 11!J""&amp;ROW(J54))"),1.0)</f>
        <v>1</v>
      </c>
      <c r="M57" s="119">
        <f>IFERROR(__xludf.DUMMYFUNCTION("IMPORTRANGE(""https://docs.google.com/spreadsheets/d/1CaLR8gtRCp0-wyyH0y5IvQnenreOSKFOo8AF4Pfpekc/edit?gid=400822622#gid=400822622"", ""GRADE 11!K""&amp;ROW(K54))"),1.0)</f>
        <v>1</v>
      </c>
      <c r="N57" s="119">
        <f>IFERROR(__xludf.DUMMYFUNCTION("IMPORTRANGE(""https://docs.google.com/spreadsheets/d/1CaLR8gtRCp0-wyyH0y5IvQnenreOSKFOo8AF4Pfpekc/edit?gid=400822622#gid=400822622"", ""GRADE 11!L""&amp;ROW(L54))"),1.0)</f>
        <v>1</v>
      </c>
      <c r="O57" s="119">
        <f>IFERROR(__xludf.DUMMYFUNCTION("IMPORTRANGE(""https://docs.google.com/spreadsheets/d/1CaLR8gtRCp0-wyyH0y5IvQnenreOSKFOo8AF4Pfpekc/edit?gid=400822622#gid=400822622"", ""GRADE 11!M""&amp;ROW(M54))"),1.0)</f>
        <v>1</v>
      </c>
      <c r="P57" s="119" t="str">
        <f>IFERROR(__xludf.DUMMYFUNCTION("IMPORTRANGE(""https://docs.google.com/spreadsheets/d/1CaLR8gtRCp0-wyyH0y5IvQnenreOSKFOo8AF4Pfpekc/edit?gid=400822622#gid=400822622"", ""GRADE 11!N""&amp;ROW(N54))"),"")</f>
        <v/>
      </c>
      <c r="Q57" s="119">
        <f>IFERROR(__xludf.DUMMYFUNCTION("IMPORTRANGE(""https://docs.google.com/spreadsheets/d/1CaLR8gtRCp0-wyyH0y5IvQnenreOSKFOo8AF4Pfpekc/edit?gid=400822622#gid=400822622"", ""GRADE 11!O""&amp;ROW(O54))"),1.0)</f>
        <v>1</v>
      </c>
      <c r="R57" s="119" t="str">
        <f>IFERROR(__xludf.DUMMYFUNCTION("IMPORTRANGE(""https://docs.google.com/spreadsheets/d/1CaLR8gtRCp0-wyyH0y5IvQnenreOSKFOo8AF4Pfpekc/edit?gid=400822622#gid=400822622"", ""GRADE 11!P""&amp;ROW(P54))"),"")</f>
        <v/>
      </c>
      <c r="S57" s="119" t="str">
        <f>IFERROR(__xludf.DUMMYFUNCTION("IMPORTRANGE(""https://docs.google.com/spreadsheets/d/1CaLR8gtRCp0-wyyH0y5IvQnenreOSKFOo8AF4Pfpekc/edit?gid=400822622#gid=400822622"", ""GRADE 11!Q""&amp;ROW(Q54))"),"")</f>
        <v/>
      </c>
      <c r="T57" s="119" t="str">
        <f>IFERROR(__xludf.DUMMYFUNCTION("IMPORTRANGE(""https://docs.google.com/spreadsheets/d/1CaLR8gtRCp0-wyyH0y5IvQnenreOSKFOo8AF4Pfpekc/edit?gid=400822622#gid=400822622"", ""GRADE 11!R""&amp;ROW(R54))"),"")</f>
        <v/>
      </c>
      <c r="U57" s="119" t="str">
        <f>IFERROR(__xludf.DUMMYFUNCTION("IMPORTRANGE(""https://docs.google.com/spreadsheets/d/1CaLR8gtRCp0-wyyH0y5IvQnenreOSKFOo8AF4Pfpekc/edit?gid=400822622#gid=400822622"", ""GRADE 11!S""&amp;ROW(S54))"),"")</f>
        <v/>
      </c>
      <c r="V57" s="119" t="str">
        <f>IFERROR(__xludf.DUMMYFUNCTION("IMPORTRANGE(""https://docs.google.com/spreadsheets/d/1CaLR8gtRCp0-wyyH0y5IvQnenreOSKFOo8AF4Pfpekc/edit?gid=400822622#gid=400822622"", ""GRADE 11!T""&amp;ROW(T54))"),"")</f>
        <v/>
      </c>
      <c r="W57" s="119" t="str">
        <f>IFERROR(__xludf.DUMMYFUNCTION("IMPORTRANGE(""https://docs.google.com/spreadsheets/d/1CaLR8gtRCp0-wyyH0y5IvQnenreOSKFOo8AF4Pfpekc/edit?gid=400822622#gid=400822622"", ""GRADE 11!U""&amp;ROW(U54))"),"")</f>
        <v/>
      </c>
      <c r="X57" s="119">
        <f>IFERROR(__xludf.DUMMYFUNCTION("IMPORTRANGE(""https://docs.google.com/spreadsheets/d/1CaLR8gtRCp0-wyyH0y5IvQnenreOSKFOo8AF4Pfpekc/edit?gid=400822622#gid=400822622"", ""GRADE 11!V""&amp;ROW(V54))"),1.0)</f>
        <v>1</v>
      </c>
      <c r="Y57" s="119" t="str">
        <f>IFERROR(__xludf.DUMMYFUNCTION("IMPORTRANGE(""https://docs.google.com/spreadsheets/d/1CaLR8gtRCp0-wyyH0y5IvQnenreOSKFOo8AF4Pfpekc/edit?gid=400822622#gid=400822622"", ""GRADE 11!W""&amp;ROW(W54))"),"")</f>
        <v/>
      </c>
      <c r="Z57" s="120">
        <f>IFERROR(__xludf.DUMMYFUNCTION("IMPORTRANGE(""https://docs.google.com/spreadsheets/d/1CaLR8gtRCp0-wyyH0y5IvQnenreOSKFOo8AF4Pfpekc/edit?gid=400822622#gid=400822622"", ""GRADE 11!X""&amp;ROW(X54))"),0.0)</f>
        <v>0</v>
      </c>
      <c r="AA57" s="121">
        <f>IFERROR(__xludf.DUMMYFUNCTION("IMPORTRANGE(""https://docs.google.com/spreadsheets/d/1CaLR8gtRCp0-wyyH0y5IvQnenreOSKFOo8AF4Pfpekc/edit?gid=400822622#gid=400822622"", ""GRADE 11!Y""&amp;ROW(Y54))"),8.0)</f>
        <v>8</v>
      </c>
      <c r="AB57" s="39">
        <f>IFERROR(__xludf.DUMMYFUNCTION("IMPORTRANGE(""https://docs.google.com/spreadsheets/d/1CaLR8gtRCp0-wyyH0y5IvQnenreOSKFOo8AF4Pfpekc/edit?gid=400822622#gid=400822622"", ""GRADE 11!Z""&amp;ROW(Z54))"),-8.0)</f>
        <v>-8</v>
      </c>
    </row>
    <row r="58">
      <c r="A58" s="28" t="s">
        <v>19</v>
      </c>
      <c r="B58" s="29">
        <v>48.0</v>
      </c>
      <c r="C58" s="30" t="s">
        <v>123</v>
      </c>
      <c r="D58" s="118" t="s">
        <v>119</v>
      </c>
      <c r="E58" s="32" t="s">
        <v>124</v>
      </c>
      <c r="F58" s="32" t="s">
        <v>72</v>
      </c>
      <c r="G58" s="34">
        <v>23.0</v>
      </c>
      <c r="H58" s="34">
        <v>30.0</v>
      </c>
      <c r="I58" s="35">
        <f t="shared" si="1"/>
        <v>53</v>
      </c>
      <c r="J58" s="119">
        <f>IFERROR(__xludf.DUMMYFUNCTION("IMPORTRANGE(""https://docs.google.com/spreadsheets/d/1CaLR8gtRCp0-wyyH0y5IvQnenreOSKFOo8AF4Pfpekc/edit?gid=400822622#gid=400822622"", ""GRADE 11!H""&amp;ROW(H55))"),0.0)</f>
        <v>0</v>
      </c>
      <c r="K58" s="119">
        <f>IFERROR(__xludf.DUMMYFUNCTION("IMPORTRANGE(""https://docs.google.com/spreadsheets/d/1CaLR8gtRCp0-wyyH0y5IvQnenreOSKFOo8AF4Pfpekc/edit?gid=400822622#gid=400822622"", ""GRADE 11!I""&amp;ROW(I55))"),0.0)</f>
        <v>0</v>
      </c>
      <c r="L58" s="119">
        <f>IFERROR(__xludf.DUMMYFUNCTION("IMPORTRANGE(""https://docs.google.com/spreadsheets/d/1CaLR8gtRCp0-wyyH0y5IvQnenreOSKFOo8AF4Pfpekc/edit?gid=400822622#gid=400822622"", ""GRADE 11!J""&amp;ROW(J55))"),0.0)</f>
        <v>0</v>
      </c>
      <c r="M58" s="119">
        <f>IFERROR(__xludf.DUMMYFUNCTION("IMPORTRANGE(""https://docs.google.com/spreadsheets/d/1CaLR8gtRCp0-wyyH0y5IvQnenreOSKFOo8AF4Pfpekc/edit?gid=400822622#gid=400822622"", ""GRADE 11!K""&amp;ROW(K55))"),0.0)</f>
        <v>0</v>
      </c>
      <c r="N58" s="119">
        <f>IFERROR(__xludf.DUMMYFUNCTION("IMPORTRANGE(""https://docs.google.com/spreadsheets/d/1CaLR8gtRCp0-wyyH0y5IvQnenreOSKFOo8AF4Pfpekc/edit?gid=400822622#gid=400822622"", ""GRADE 11!L""&amp;ROW(L55))"),0.0)</f>
        <v>0</v>
      </c>
      <c r="O58" s="119">
        <f>IFERROR(__xludf.DUMMYFUNCTION("IMPORTRANGE(""https://docs.google.com/spreadsheets/d/1CaLR8gtRCp0-wyyH0y5IvQnenreOSKFOo8AF4Pfpekc/edit?gid=400822622#gid=400822622"", ""GRADE 11!M""&amp;ROW(M55))"),0.0)</f>
        <v>0</v>
      </c>
      <c r="P58" s="119" t="str">
        <f>IFERROR(__xludf.DUMMYFUNCTION("IMPORTRANGE(""https://docs.google.com/spreadsheets/d/1CaLR8gtRCp0-wyyH0y5IvQnenreOSKFOo8AF4Pfpekc/edit?gid=400822622#gid=400822622"", ""GRADE 11!N""&amp;ROW(N55))"),"")</f>
        <v/>
      </c>
      <c r="Q58" s="119">
        <f>IFERROR(__xludf.DUMMYFUNCTION("IMPORTRANGE(""https://docs.google.com/spreadsheets/d/1CaLR8gtRCp0-wyyH0y5IvQnenreOSKFOo8AF4Pfpekc/edit?gid=400822622#gid=400822622"", ""GRADE 11!O""&amp;ROW(O55))"),0.0)</f>
        <v>0</v>
      </c>
      <c r="R58" s="119" t="str">
        <f>IFERROR(__xludf.DUMMYFUNCTION("IMPORTRANGE(""https://docs.google.com/spreadsheets/d/1CaLR8gtRCp0-wyyH0y5IvQnenreOSKFOo8AF4Pfpekc/edit?gid=400822622#gid=400822622"", ""GRADE 11!P""&amp;ROW(P55))"),"")</f>
        <v/>
      </c>
      <c r="S58" s="119" t="str">
        <f>IFERROR(__xludf.DUMMYFUNCTION("IMPORTRANGE(""https://docs.google.com/spreadsheets/d/1CaLR8gtRCp0-wyyH0y5IvQnenreOSKFOo8AF4Pfpekc/edit?gid=400822622#gid=400822622"", ""GRADE 11!Q""&amp;ROW(Q55))"),"")</f>
        <v/>
      </c>
      <c r="T58" s="119" t="str">
        <f>IFERROR(__xludf.DUMMYFUNCTION("IMPORTRANGE(""https://docs.google.com/spreadsheets/d/1CaLR8gtRCp0-wyyH0y5IvQnenreOSKFOo8AF4Pfpekc/edit?gid=400822622#gid=400822622"", ""GRADE 11!R""&amp;ROW(R55))"),"")</f>
        <v/>
      </c>
      <c r="U58" s="119" t="str">
        <f>IFERROR(__xludf.DUMMYFUNCTION("IMPORTRANGE(""https://docs.google.com/spreadsheets/d/1CaLR8gtRCp0-wyyH0y5IvQnenreOSKFOo8AF4Pfpekc/edit?gid=400822622#gid=400822622"", ""GRADE 11!S""&amp;ROW(S55))"),"")</f>
        <v/>
      </c>
      <c r="V58" s="119" t="str">
        <f>IFERROR(__xludf.DUMMYFUNCTION("IMPORTRANGE(""https://docs.google.com/spreadsheets/d/1CaLR8gtRCp0-wyyH0y5IvQnenreOSKFOo8AF4Pfpekc/edit?gid=400822622#gid=400822622"", ""GRADE 11!T""&amp;ROW(T55))"),"")</f>
        <v/>
      </c>
      <c r="W58" s="119" t="str">
        <f>IFERROR(__xludf.DUMMYFUNCTION("IMPORTRANGE(""https://docs.google.com/spreadsheets/d/1CaLR8gtRCp0-wyyH0y5IvQnenreOSKFOo8AF4Pfpekc/edit?gid=400822622#gid=400822622"", ""GRADE 11!U""&amp;ROW(U55))"),"")</f>
        <v/>
      </c>
      <c r="X58" s="119">
        <f>IFERROR(__xludf.DUMMYFUNCTION("IMPORTRANGE(""https://docs.google.com/spreadsheets/d/1CaLR8gtRCp0-wyyH0y5IvQnenreOSKFOo8AF4Pfpekc/edit?gid=400822622#gid=400822622"", ""GRADE 11!V""&amp;ROW(V55))"),0.0)</f>
        <v>0</v>
      </c>
      <c r="Y58" s="119" t="str">
        <f>IFERROR(__xludf.DUMMYFUNCTION("IMPORTRANGE(""https://docs.google.com/spreadsheets/d/1CaLR8gtRCp0-wyyH0y5IvQnenreOSKFOo8AF4Pfpekc/edit?gid=400822622#gid=400822622"", ""GRADE 11!W""&amp;ROW(W55))"),"")</f>
        <v/>
      </c>
      <c r="Z58" s="120">
        <f>IFERROR(__xludf.DUMMYFUNCTION("IMPORTRANGE(""https://docs.google.com/spreadsheets/d/1CaLR8gtRCp0-wyyH0y5IvQnenreOSKFOo8AF4Pfpekc/edit?gid=400822622#gid=400822622"", ""GRADE 11!X""&amp;ROW(X55))"),8.0)</f>
        <v>8</v>
      </c>
      <c r="AA58" s="121">
        <f>IFERROR(__xludf.DUMMYFUNCTION("IMPORTRANGE(""https://docs.google.com/spreadsheets/d/1CaLR8gtRCp0-wyyH0y5IvQnenreOSKFOo8AF4Pfpekc/edit?gid=400822622#gid=400822622"", ""GRADE 11!Y""&amp;ROW(Y55))"),0.0)</f>
        <v>0</v>
      </c>
      <c r="AB58" s="39">
        <f>IFERROR(__xludf.DUMMYFUNCTION("IMPORTRANGE(""https://docs.google.com/spreadsheets/d/1CaLR8gtRCp0-wyyH0y5IvQnenreOSKFOo8AF4Pfpekc/edit?gid=400822622#gid=400822622"", ""GRADE 11!Z""&amp;ROW(Z55))"),0.0)</f>
        <v>0</v>
      </c>
    </row>
    <row r="59">
      <c r="A59" s="28" t="s">
        <v>19</v>
      </c>
      <c r="B59" s="29">
        <v>49.0</v>
      </c>
      <c r="C59" s="30" t="s">
        <v>125</v>
      </c>
      <c r="D59" s="118" t="s">
        <v>119</v>
      </c>
      <c r="E59" s="32" t="s">
        <v>126</v>
      </c>
      <c r="F59" s="32" t="s">
        <v>61</v>
      </c>
      <c r="G59" s="34">
        <v>27.0</v>
      </c>
      <c r="H59" s="34">
        <v>23.0</v>
      </c>
      <c r="I59" s="35">
        <f t="shared" si="1"/>
        <v>50</v>
      </c>
      <c r="J59" s="119">
        <f>IFERROR(__xludf.DUMMYFUNCTION("IMPORTRANGE(""https://docs.google.com/spreadsheets/d/1CaLR8gtRCp0-wyyH0y5IvQnenreOSKFOo8AF4Pfpekc/edit?gid=400822622#gid=400822622"", ""GRADE 11!H""&amp;ROW(H56))"),0.0)</f>
        <v>0</v>
      </c>
      <c r="K59" s="119">
        <f>IFERROR(__xludf.DUMMYFUNCTION("IMPORTRANGE(""https://docs.google.com/spreadsheets/d/1CaLR8gtRCp0-wyyH0y5IvQnenreOSKFOo8AF4Pfpekc/edit?gid=400822622#gid=400822622"", ""GRADE 11!I""&amp;ROW(I56))"),0.0)</f>
        <v>0</v>
      </c>
      <c r="L59" s="119">
        <f>IFERROR(__xludf.DUMMYFUNCTION("IMPORTRANGE(""https://docs.google.com/spreadsheets/d/1CaLR8gtRCp0-wyyH0y5IvQnenreOSKFOo8AF4Pfpekc/edit?gid=400822622#gid=400822622"", ""GRADE 11!J""&amp;ROW(J56))"),0.0)</f>
        <v>0</v>
      </c>
      <c r="M59" s="119">
        <f>IFERROR(__xludf.DUMMYFUNCTION("IMPORTRANGE(""https://docs.google.com/spreadsheets/d/1CaLR8gtRCp0-wyyH0y5IvQnenreOSKFOo8AF4Pfpekc/edit?gid=400822622#gid=400822622"", ""GRADE 11!K""&amp;ROW(K56))"),0.0)</f>
        <v>0</v>
      </c>
      <c r="N59" s="119">
        <f>IFERROR(__xludf.DUMMYFUNCTION("IMPORTRANGE(""https://docs.google.com/spreadsheets/d/1CaLR8gtRCp0-wyyH0y5IvQnenreOSKFOo8AF4Pfpekc/edit?gid=400822622#gid=400822622"", ""GRADE 11!L""&amp;ROW(L56))"),0.0)</f>
        <v>0</v>
      </c>
      <c r="O59" s="119">
        <f>IFERROR(__xludf.DUMMYFUNCTION("IMPORTRANGE(""https://docs.google.com/spreadsheets/d/1CaLR8gtRCp0-wyyH0y5IvQnenreOSKFOo8AF4Pfpekc/edit?gid=400822622#gid=400822622"", ""GRADE 11!M""&amp;ROW(M56))"),0.0)</f>
        <v>0</v>
      </c>
      <c r="P59" s="119" t="str">
        <f>IFERROR(__xludf.DUMMYFUNCTION("IMPORTRANGE(""https://docs.google.com/spreadsheets/d/1CaLR8gtRCp0-wyyH0y5IvQnenreOSKFOo8AF4Pfpekc/edit?gid=400822622#gid=400822622"", ""GRADE 11!N""&amp;ROW(N56))"),"")</f>
        <v/>
      </c>
      <c r="Q59" s="119">
        <f>IFERROR(__xludf.DUMMYFUNCTION("IMPORTRANGE(""https://docs.google.com/spreadsheets/d/1CaLR8gtRCp0-wyyH0y5IvQnenreOSKFOo8AF4Pfpekc/edit?gid=400822622#gid=400822622"", ""GRADE 11!O""&amp;ROW(O56))"),0.0)</f>
        <v>0</v>
      </c>
      <c r="R59" s="119" t="str">
        <f>IFERROR(__xludf.DUMMYFUNCTION("IMPORTRANGE(""https://docs.google.com/spreadsheets/d/1CaLR8gtRCp0-wyyH0y5IvQnenreOSKFOo8AF4Pfpekc/edit?gid=400822622#gid=400822622"", ""GRADE 11!P""&amp;ROW(P56))"),"")</f>
        <v/>
      </c>
      <c r="S59" s="119" t="str">
        <f>IFERROR(__xludf.DUMMYFUNCTION("IMPORTRANGE(""https://docs.google.com/spreadsheets/d/1CaLR8gtRCp0-wyyH0y5IvQnenreOSKFOo8AF4Pfpekc/edit?gid=400822622#gid=400822622"", ""GRADE 11!Q""&amp;ROW(Q56))"),"")</f>
        <v/>
      </c>
      <c r="T59" s="119" t="str">
        <f>IFERROR(__xludf.DUMMYFUNCTION("IMPORTRANGE(""https://docs.google.com/spreadsheets/d/1CaLR8gtRCp0-wyyH0y5IvQnenreOSKFOo8AF4Pfpekc/edit?gid=400822622#gid=400822622"", ""GRADE 11!R""&amp;ROW(R56))"),"")</f>
        <v/>
      </c>
      <c r="U59" s="119" t="str">
        <f>IFERROR(__xludf.DUMMYFUNCTION("IMPORTRANGE(""https://docs.google.com/spreadsheets/d/1CaLR8gtRCp0-wyyH0y5IvQnenreOSKFOo8AF4Pfpekc/edit?gid=400822622#gid=400822622"", ""GRADE 11!S""&amp;ROW(S56))"),"")</f>
        <v/>
      </c>
      <c r="V59" s="119" t="str">
        <f>IFERROR(__xludf.DUMMYFUNCTION("IMPORTRANGE(""https://docs.google.com/spreadsheets/d/1CaLR8gtRCp0-wyyH0y5IvQnenreOSKFOo8AF4Pfpekc/edit?gid=400822622#gid=400822622"", ""GRADE 11!T""&amp;ROW(T56))"),"")</f>
        <v/>
      </c>
      <c r="W59" s="119" t="str">
        <f>IFERROR(__xludf.DUMMYFUNCTION("IMPORTRANGE(""https://docs.google.com/spreadsheets/d/1CaLR8gtRCp0-wyyH0y5IvQnenreOSKFOo8AF4Pfpekc/edit?gid=400822622#gid=400822622"", ""GRADE 11!U""&amp;ROW(U56))"),"")</f>
        <v/>
      </c>
      <c r="X59" s="119">
        <f>IFERROR(__xludf.DUMMYFUNCTION("IMPORTRANGE(""https://docs.google.com/spreadsheets/d/1CaLR8gtRCp0-wyyH0y5IvQnenreOSKFOo8AF4Pfpekc/edit?gid=400822622#gid=400822622"", ""GRADE 11!V""&amp;ROW(V56))"),0.0)</f>
        <v>0</v>
      </c>
      <c r="Y59" s="119" t="str">
        <f>IFERROR(__xludf.DUMMYFUNCTION("IMPORTRANGE(""https://docs.google.com/spreadsheets/d/1CaLR8gtRCp0-wyyH0y5IvQnenreOSKFOo8AF4Pfpekc/edit?gid=400822622#gid=400822622"", ""GRADE 11!W""&amp;ROW(W56))"),"")</f>
        <v/>
      </c>
      <c r="Z59" s="120">
        <f>IFERROR(__xludf.DUMMYFUNCTION("IMPORTRANGE(""https://docs.google.com/spreadsheets/d/1CaLR8gtRCp0-wyyH0y5IvQnenreOSKFOo8AF4Pfpekc/edit?gid=400822622#gid=400822622"", ""GRADE 11!X""&amp;ROW(X56))"),8.0)</f>
        <v>8</v>
      </c>
      <c r="AA59" s="121">
        <f>IFERROR(__xludf.DUMMYFUNCTION("IMPORTRANGE(""https://docs.google.com/spreadsheets/d/1CaLR8gtRCp0-wyyH0y5IvQnenreOSKFOo8AF4Pfpekc/edit?gid=400822622#gid=400822622"", ""GRADE 11!Y""&amp;ROW(Y56))"),0.0)</f>
        <v>0</v>
      </c>
      <c r="AB59" s="39">
        <f>IFERROR(__xludf.DUMMYFUNCTION("IMPORTRANGE(""https://docs.google.com/spreadsheets/d/1CaLR8gtRCp0-wyyH0y5IvQnenreOSKFOo8AF4Pfpekc/edit?gid=400822622#gid=400822622"", ""GRADE 11!Z""&amp;ROW(Z56))"),0.0)</f>
        <v>0</v>
      </c>
    </row>
    <row r="60">
      <c r="A60" s="28" t="s">
        <v>19</v>
      </c>
      <c r="B60" s="29">
        <v>50.0</v>
      </c>
      <c r="C60" s="30" t="s">
        <v>127</v>
      </c>
      <c r="D60" s="118" t="s">
        <v>119</v>
      </c>
      <c r="E60" s="32" t="s">
        <v>128</v>
      </c>
      <c r="F60" s="32" t="s">
        <v>27</v>
      </c>
      <c r="G60" s="34">
        <v>24.0</v>
      </c>
      <c r="H60" s="34">
        <v>28.0</v>
      </c>
      <c r="I60" s="35">
        <f t="shared" si="1"/>
        <v>52</v>
      </c>
      <c r="J60" s="119">
        <f>IFERROR(__xludf.DUMMYFUNCTION("IMPORTRANGE(""https://docs.google.com/spreadsheets/d/1CaLR8gtRCp0-wyyH0y5IvQnenreOSKFOo8AF4Pfpekc/edit?gid=400822622#gid=400822622"", ""GRADE 11!H""&amp;ROW(H57))"),0.0)</f>
        <v>0</v>
      </c>
      <c r="K60" s="119">
        <f>IFERROR(__xludf.DUMMYFUNCTION("IMPORTRANGE(""https://docs.google.com/spreadsheets/d/1CaLR8gtRCp0-wyyH0y5IvQnenreOSKFOo8AF4Pfpekc/edit?gid=400822622#gid=400822622"", ""GRADE 11!I""&amp;ROW(I57))"),0.0)</f>
        <v>0</v>
      </c>
      <c r="L60" s="119">
        <f>IFERROR(__xludf.DUMMYFUNCTION("IMPORTRANGE(""https://docs.google.com/spreadsheets/d/1CaLR8gtRCp0-wyyH0y5IvQnenreOSKFOo8AF4Pfpekc/edit?gid=400822622#gid=400822622"", ""GRADE 11!J""&amp;ROW(J57))"),0.0)</f>
        <v>0</v>
      </c>
      <c r="M60" s="119">
        <f>IFERROR(__xludf.DUMMYFUNCTION("IMPORTRANGE(""https://docs.google.com/spreadsheets/d/1CaLR8gtRCp0-wyyH0y5IvQnenreOSKFOo8AF4Pfpekc/edit?gid=400822622#gid=400822622"", ""GRADE 11!K""&amp;ROW(K57))"),0.0)</f>
        <v>0</v>
      </c>
      <c r="N60" s="119">
        <f>IFERROR(__xludf.DUMMYFUNCTION("IMPORTRANGE(""https://docs.google.com/spreadsheets/d/1CaLR8gtRCp0-wyyH0y5IvQnenreOSKFOo8AF4Pfpekc/edit?gid=400822622#gid=400822622"", ""GRADE 11!L""&amp;ROW(L57))"),0.0)</f>
        <v>0</v>
      </c>
      <c r="O60" s="119">
        <f>IFERROR(__xludf.DUMMYFUNCTION("IMPORTRANGE(""https://docs.google.com/spreadsheets/d/1CaLR8gtRCp0-wyyH0y5IvQnenreOSKFOo8AF4Pfpekc/edit?gid=400822622#gid=400822622"", ""GRADE 11!M""&amp;ROW(M57))"),0.0)</f>
        <v>0</v>
      </c>
      <c r="P60" s="119" t="str">
        <f>IFERROR(__xludf.DUMMYFUNCTION("IMPORTRANGE(""https://docs.google.com/spreadsheets/d/1CaLR8gtRCp0-wyyH0y5IvQnenreOSKFOo8AF4Pfpekc/edit?gid=400822622#gid=400822622"", ""GRADE 11!N""&amp;ROW(N57))"),"")</f>
        <v/>
      </c>
      <c r="Q60" s="119">
        <f>IFERROR(__xludf.DUMMYFUNCTION("IMPORTRANGE(""https://docs.google.com/spreadsheets/d/1CaLR8gtRCp0-wyyH0y5IvQnenreOSKFOo8AF4Pfpekc/edit?gid=400822622#gid=400822622"", ""GRADE 11!O""&amp;ROW(O57))"),0.0)</f>
        <v>0</v>
      </c>
      <c r="R60" s="119" t="str">
        <f>IFERROR(__xludf.DUMMYFUNCTION("IMPORTRANGE(""https://docs.google.com/spreadsheets/d/1CaLR8gtRCp0-wyyH0y5IvQnenreOSKFOo8AF4Pfpekc/edit?gid=400822622#gid=400822622"", ""GRADE 11!P""&amp;ROW(P57))"),"")</f>
        <v/>
      </c>
      <c r="S60" s="119" t="str">
        <f>IFERROR(__xludf.DUMMYFUNCTION("IMPORTRANGE(""https://docs.google.com/spreadsheets/d/1CaLR8gtRCp0-wyyH0y5IvQnenreOSKFOo8AF4Pfpekc/edit?gid=400822622#gid=400822622"", ""GRADE 11!Q""&amp;ROW(Q57))"),"")</f>
        <v/>
      </c>
      <c r="T60" s="119" t="str">
        <f>IFERROR(__xludf.DUMMYFUNCTION("IMPORTRANGE(""https://docs.google.com/spreadsheets/d/1CaLR8gtRCp0-wyyH0y5IvQnenreOSKFOo8AF4Pfpekc/edit?gid=400822622#gid=400822622"", ""GRADE 11!R""&amp;ROW(R57))"),"")</f>
        <v/>
      </c>
      <c r="U60" s="119" t="str">
        <f>IFERROR(__xludf.DUMMYFUNCTION("IMPORTRANGE(""https://docs.google.com/spreadsheets/d/1CaLR8gtRCp0-wyyH0y5IvQnenreOSKFOo8AF4Pfpekc/edit?gid=400822622#gid=400822622"", ""GRADE 11!S""&amp;ROW(S57))"),"")</f>
        <v/>
      </c>
      <c r="V60" s="119" t="str">
        <f>IFERROR(__xludf.DUMMYFUNCTION("IMPORTRANGE(""https://docs.google.com/spreadsheets/d/1CaLR8gtRCp0-wyyH0y5IvQnenreOSKFOo8AF4Pfpekc/edit?gid=400822622#gid=400822622"", ""GRADE 11!T""&amp;ROW(T57))"),"")</f>
        <v/>
      </c>
      <c r="W60" s="119" t="str">
        <f>IFERROR(__xludf.DUMMYFUNCTION("IMPORTRANGE(""https://docs.google.com/spreadsheets/d/1CaLR8gtRCp0-wyyH0y5IvQnenreOSKFOo8AF4Pfpekc/edit?gid=400822622#gid=400822622"", ""GRADE 11!U""&amp;ROW(U57))"),"")</f>
        <v/>
      </c>
      <c r="X60" s="119">
        <f>IFERROR(__xludf.DUMMYFUNCTION("IMPORTRANGE(""https://docs.google.com/spreadsheets/d/1CaLR8gtRCp0-wyyH0y5IvQnenreOSKFOo8AF4Pfpekc/edit?gid=400822622#gid=400822622"", ""GRADE 11!V""&amp;ROW(V57))"),0.0)</f>
        <v>0</v>
      </c>
      <c r="Y60" s="119" t="str">
        <f>IFERROR(__xludf.DUMMYFUNCTION("IMPORTRANGE(""https://docs.google.com/spreadsheets/d/1CaLR8gtRCp0-wyyH0y5IvQnenreOSKFOo8AF4Pfpekc/edit?gid=400822622#gid=400822622"", ""GRADE 11!W""&amp;ROW(W57))"),"")</f>
        <v/>
      </c>
      <c r="Z60" s="120">
        <f>IFERROR(__xludf.DUMMYFUNCTION("IMPORTRANGE(""https://docs.google.com/spreadsheets/d/1CaLR8gtRCp0-wyyH0y5IvQnenreOSKFOo8AF4Pfpekc/edit?gid=400822622#gid=400822622"", ""GRADE 11!X""&amp;ROW(X57))"),8.0)</f>
        <v>8</v>
      </c>
      <c r="AA60" s="121">
        <f>IFERROR(__xludf.DUMMYFUNCTION("IMPORTRANGE(""https://docs.google.com/spreadsheets/d/1CaLR8gtRCp0-wyyH0y5IvQnenreOSKFOo8AF4Pfpekc/edit?gid=400822622#gid=400822622"", ""GRADE 11!Y""&amp;ROW(Y57))"),0.0)</f>
        <v>0</v>
      </c>
      <c r="AB60" s="39">
        <f>IFERROR(__xludf.DUMMYFUNCTION("IMPORTRANGE(""https://docs.google.com/spreadsheets/d/1CaLR8gtRCp0-wyyH0y5IvQnenreOSKFOo8AF4Pfpekc/edit?gid=400822622#gid=400822622"", ""GRADE 11!Z""&amp;ROW(Z57))"),0.0)</f>
        <v>0</v>
      </c>
    </row>
    <row r="61">
      <c r="A61" s="28" t="s">
        <v>19</v>
      </c>
      <c r="B61" s="29">
        <v>51.0</v>
      </c>
      <c r="C61" s="30" t="s">
        <v>129</v>
      </c>
      <c r="D61" s="118" t="s">
        <v>119</v>
      </c>
      <c r="E61" s="32" t="s">
        <v>130</v>
      </c>
      <c r="F61" s="32" t="s">
        <v>72</v>
      </c>
      <c r="G61" s="34">
        <v>23.0</v>
      </c>
      <c r="H61" s="34">
        <v>28.0</v>
      </c>
      <c r="I61" s="35">
        <f t="shared" si="1"/>
        <v>51</v>
      </c>
      <c r="J61" s="119" t="str">
        <f>IFERROR(__xludf.DUMMYFUNCTION("IMPORTRANGE(""https://docs.google.com/spreadsheets/d/1CaLR8gtRCp0-wyyH0y5IvQnenreOSKFOo8AF4Pfpekc/edit?gid=400822622#gid=400822622"", ""GRADE 11!H""&amp;ROW(H58))"),"")</f>
        <v/>
      </c>
      <c r="K61" s="119" t="str">
        <f>IFERROR(__xludf.DUMMYFUNCTION("IMPORTRANGE(""https://docs.google.com/spreadsheets/d/1CaLR8gtRCp0-wyyH0y5IvQnenreOSKFOo8AF4Pfpekc/edit?gid=400822622#gid=400822622"", ""GRADE 11!I""&amp;ROW(I58))"),"")</f>
        <v/>
      </c>
      <c r="L61" s="119" t="str">
        <f>IFERROR(__xludf.DUMMYFUNCTION("IMPORTRANGE(""https://docs.google.com/spreadsheets/d/1CaLR8gtRCp0-wyyH0y5IvQnenreOSKFOo8AF4Pfpekc/edit?gid=400822622#gid=400822622"", ""GRADE 11!J""&amp;ROW(J58))"),"")</f>
        <v/>
      </c>
      <c r="M61" s="119" t="str">
        <f>IFERROR(__xludf.DUMMYFUNCTION("IMPORTRANGE(""https://docs.google.com/spreadsheets/d/1CaLR8gtRCp0-wyyH0y5IvQnenreOSKFOo8AF4Pfpekc/edit?gid=400822622#gid=400822622"", ""GRADE 11!K""&amp;ROW(K58))"),"")</f>
        <v/>
      </c>
      <c r="N61" s="119" t="str">
        <f>IFERROR(__xludf.DUMMYFUNCTION("IMPORTRANGE(""https://docs.google.com/spreadsheets/d/1CaLR8gtRCp0-wyyH0y5IvQnenreOSKFOo8AF4Pfpekc/edit?gid=400822622#gid=400822622"", ""GRADE 11!L""&amp;ROW(L58))"),"")</f>
        <v/>
      </c>
      <c r="O61" s="119" t="str">
        <f>IFERROR(__xludf.DUMMYFUNCTION("IMPORTRANGE(""https://docs.google.com/spreadsheets/d/1CaLR8gtRCp0-wyyH0y5IvQnenreOSKFOo8AF4Pfpekc/edit?gid=400822622#gid=400822622"", ""GRADE 11!M""&amp;ROW(M58))"),"")</f>
        <v/>
      </c>
      <c r="P61" s="119" t="str">
        <f>IFERROR(__xludf.DUMMYFUNCTION("IMPORTRANGE(""https://docs.google.com/spreadsheets/d/1CaLR8gtRCp0-wyyH0y5IvQnenreOSKFOo8AF4Pfpekc/edit?gid=400822622#gid=400822622"", ""GRADE 11!N""&amp;ROW(N58))"),"")</f>
        <v/>
      </c>
      <c r="Q61" s="119" t="str">
        <f>IFERROR(__xludf.DUMMYFUNCTION("IMPORTRANGE(""https://docs.google.com/spreadsheets/d/1CaLR8gtRCp0-wyyH0y5IvQnenreOSKFOo8AF4Pfpekc/edit?gid=400822622#gid=400822622"", ""GRADE 11!O""&amp;ROW(O58))"),"")</f>
        <v/>
      </c>
      <c r="R61" s="119">
        <f>IFERROR(__xludf.DUMMYFUNCTION("IMPORTRANGE(""https://docs.google.com/spreadsheets/d/1CaLR8gtRCp0-wyyH0y5IvQnenreOSKFOo8AF4Pfpekc/edit?gid=400822622#gid=400822622"", ""GRADE 11!P""&amp;ROW(P58))"),0.0)</f>
        <v>0</v>
      </c>
      <c r="S61" s="119">
        <f>IFERROR(__xludf.DUMMYFUNCTION("IMPORTRANGE(""https://docs.google.com/spreadsheets/d/1CaLR8gtRCp0-wyyH0y5IvQnenreOSKFOo8AF4Pfpekc/edit?gid=400822622#gid=400822622"", ""GRADE 11!Q""&amp;ROW(Q58))"),0.0)</f>
        <v>0</v>
      </c>
      <c r="T61" s="119">
        <f>IFERROR(__xludf.DUMMYFUNCTION("IMPORTRANGE(""https://docs.google.com/spreadsheets/d/1CaLR8gtRCp0-wyyH0y5IvQnenreOSKFOo8AF4Pfpekc/edit?gid=400822622#gid=400822622"", ""GRADE 11!R""&amp;ROW(R58))"),0.0)</f>
        <v>0</v>
      </c>
      <c r="U61" s="119">
        <f>IFERROR(__xludf.DUMMYFUNCTION("IMPORTRANGE(""https://docs.google.com/spreadsheets/d/1CaLR8gtRCp0-wyyH0y5IvQnenreOSKFOo8AF4Pfpekc/edit?gid=400822622#gid=400822622"", ""GRADE 11!S""&amp;ROW(S58))"),0.0)</f>
        <v>0</v>
      </c>
      <c r="V61" s="119">
        <f>IFERROR(__xludf.DUMMYFUNCTION("IMPORTRANGE(""https://docs.google.com/spreadsheets/d/1CaLR8gtRCp0-wyyH0y5IvQnenreOSKFOo8AF4Pfpekc/edit?gid=400822622#gid=400822622"", ""GRADE 11!T""&amp;ROW(T58))"),0.0)</f>
        <v>0</v>
      </c>
      <c r="W61" s="119">
        <f>IFERROR(__xludf.DUMMYFUNCTION("IMPORTRANGE(""https://docs.google.com/spreadsheets/d/1CaLR8gtRCp0-wyyH0y5IvQnenreOSKFOo8AF4Pfpekc/edit?gid=400822622#gid=400822622"", ""GRADE 11!U""&amp;ROW(U58))"),0.0)</f>
        <v>0</v>
      </c>
      <c r="X61" s="119">
        <f>IFERROR(__xludf.DUMMYFUNCTION("IMPORTRANGE(""https://docs.google.com/spreadsheets/d/1CaLR8gtRCp0-wyyH0y5IvQnenreOSKFOo8AF4Pfpekc/edit?gid=400822622#gid=400822622"", ""GRADE 11!V""&amp;ROW(V58))"),0.0)</f>
        <v>0</v>
      </c>
      <c r="Y61" s="119" t="str">
        <f>IFERROR(__xludf.DUMMYFUNCTION("IMPORTRANGE(""https://docs.google.com/spreadsheets/d/1CaLR8gtRCp0-wyyH0y5IvQnenreOSKFOo8AF4Pfpekc/edit?gid=400822622#gid=400822622"", ""GRADE 11!W""&amp;ROW(W58))"),"")</f>
        <v/>
      </c>
      <c r="Z61" s="120">
        <f>IFERROR(__xludf.DUMMYFUNCTION("IMPORTRANGE(""https://docs.google.com/spreadsheets/d/1CaLR8gtRCp0-wyyH0y5IvQnenreOSKFOo8AF4Pfpekc/edit?gid=400822622#gid=400822622"", ""GRADE 11!X""&amp;ROW(X58))"),7.0)</f>
        <v>7</v>
      </c>
      <c r="AA61" s="121">
        <f>IFERROR(__xludf.DUMMYFUNCTION("IMPORTRANGE(""https://docs.google.com/spreadsheets/d/1CaLR8gtRCp0-wyyH0y5IvQnenreOSKFOo8AF4Pfpekc/edit?gid=400822622#gid=400822622"", ""GRADE 11!Y""&amp;ROW(Y58))"),0.0)</f>
        <v>0</v>
      </c>
      <c r="AB61" s="39">
        <f>IFERROR(__xludf.DUMMYFUNCTION("IMPORTRANGE(""https://docs.google.com/spreadsheets/d/1CaLR8gtRCp0-wyyH0y5IvQnenreOSKFOo8AF4Pfpekc/edit?gid=400822622#gid=400822622"", ""GRADE 11!Z""&amp;ROW(Z58))"),0.0)</f>
        <v>0</v>
      </c>
    </row>
    <row r="62">
      <c r="A62" s="28" t="s">
        <v>19</v>
      </c>
      <c r="B62" s="29">
        <v>52.0</v>
      </c>
      <c r="C62" s="30" t="s">
        <v>131</v>
      </c>
      <c r="D62" s="118" t="s">
        <v>119</v>
      </c>
      <c r="E62" s="32" t="s">
        <v>132</v>
      </c>
      <c r="F62" s="32" t="s">
        <v>27</v>
      </c>
      <c r="G62" s="34">
        <v>23.0</v>
      </c>
      <c r="H62" s="34">
        <v>28.0</v>
      </c>
      <c r="I62" s="35">
        <f t="shared" si="1"/>
        <v>51</v>
      </c>
      <c r="J62" s="119" t="str">
        <f>IFERROR(__xludf.DUMMYFUNCTION("IMPORTRANGE(""https://docs.google.com/spreadsheets/d/1CaLR8gtRCp0-wyyH0y5IvQnenreOSKFOo8AF4Pfpekc/edit?gid=400822622#gid=400822622"", ""GRADE 11!H""&amp;ROW(H59))"),"")</f>
        <v/>
      </c>
      <c r="K62" s="119" t="str">
        <f>IFERROR(__xludf.DUMMYFUNCTION("IMPORTRANGE(""https://docs.google.com/spreadsheets/d/1CaLR8gtRCp0-wyyH0y5IvQnenreOSKFOo8AF4Pfpekc/edit?gid=400822622#gid=400822622"", ""GRADE 11!I""&amp;ROW(I59))"),"")</f>
        <v/>
      </c>
      <c r="L62" s="119" t="str">
        <f>IFERROR(__xludf.DUMMYFUNCTION("IMPORTRANGE(""https://docs.google.com/spreadsheets/d/1CaLR8gtRCp0-wyyH0y5IvQnenreOSKFOo8AF4Pfpekc/edit?gid=400822622#gid=400822622"", ""GRADE 11!J""&amp;ROW(J59))"),"")</f>
        <v/>
      </c>
      <c r="M62" s="119" t="str">
        <f>IFERROR(__xludf.DUMMYFUNCTION("IMPORTRANGE(""https://docs.google.com/spreadsheets/d/1CaLR8gtRCp0-wyyH0y5IvQnenreOSKFOo8AF4Pfpekc/edit?gid=400822622#gid=400822622"", ""GRADE 11!K""&amp;ROW(K59))"),"")</f>
        <v/>
      </c>
      <c r="N62" s="119" t="str">
        <f>IFERROR(__xludf.DUMMYFUNCTION("IMPORTRANGE(""https://docs.google.com/spreadsheets/d/1CaLR8gtRCp0-wyyH0y5IvQnenreOSKFOo8AF4Pfpekc/edit?gid=400822622#gid=400822622"", ""GRADE 11!L""&amp;ROW(L59))"),"")</f>
        <v/>
      </c>
      <c r="O62" s="119" t="str">
        <f>IFERROR(__xludf.DUMMYFUNCTION("IMPORTRANGE(""https://docs.google.com/spreadsheets/d/1CaLR8gtRCp0-wyyH0y5IvQnenreOSKFOo8AF4Pfpekc/edit?gid=400822622#gid=400822622"", ""GRADE 11!M""&amp;ROW(M59))"),"")</f>
        <v/>
      </c>
      <c r="P62" s="119" t="str">
        <f>IFERROR(__xludf.DUMMYFUNCTION("IMPORTRANGE(""https://docs.google.com/spreadsheets/d/1CaLR8gtRCp0-wyyH0y5IvQnenreOSKFOo8AF4Pfpekc/edit?gid=400822622#gid=400822622"", ""GRADE 11!N""&amp;ROW(N59))"),"")</f>
        <v/>
      </c>
      <c r="Q62" s="119" t="str">
        <f>IFERROR(__xludf.DUMMYFUNCTION("IMPORTRANGE(""https://docs.google.com/spreadsheets/d/1CaLR8gtRCp0-wyyH0y5IvQnenreOSKFOo8AF4Pfpekc/edit?gid=400822622#gid=400822622"", ""GRADE 11!O""&amp;ROW(O59))"),"")</f>
        <v/>
      </c>
      <c r="R62" s="119">
        <f>IFERROR(__xludf.DUMMYFUNCTION("IMPORTRANGE(""https://docs.google.com/spreadsheets/d/1CaLR8gtRCp0-wyyH0y5IvQnenreOSKFOo8AF4Pfpekc/edit?gid=400822622#gid=400822622"", ""GRADE 11!P""&amp;ROW(P59))"),0.0)</f>
        <v>0</v>
      </c>
      <c r="S62" s="119">
        <f>IFERROR(__xludf.DUMMYFUNCTION("IMPORTRANGE(""https://docs.google.com/spreadsheets/d/1CaLR8gtRCp0-wyyH0y5IvQnenreOSKFOo8AF4Pfpekc/edit?gid=400822622#gid=400822622"", ""GRADE 11!Q""&amp;ROW(Q59))"),0.0)</f>
        <v>0</v>
      </c>
      <c r="T62" s="119">
        <f>IFERROR(__xludf.DUMMYFUNCTION("IMPORTRANGE(""https://docs.google.com/spreadsheets/d/1CaLR8gtRCp0-wyyH0y5IvQnenreOSKFOo8AF4Pfpekc/edit?gid=400822622#gid=400822622"", ""GRADE 11!R""&amp;ROW(R59))"),0.0)</f>
        <v>0</v>
      </c>
      <c r="U62" s="119">
        <f>IFERROR(__xludf.DUMMYFUNCTION("IMPORTRANGE(""https://docs.google.com/spreadsheets/d/1CaLR8gtRCp0-wyyH0y5IvQnenreOSKFOo8AF4Pfpekc/edit?gid=400822622#gid=400822622"", ""GRADE 11!S""&amp;ROW(S59))"),0.0)</f>
        <v>0</v>
      </c>
      <c r="V62" s="119">
        <f>IFERROR(__xludf.DUMMYFUNCTION("IMPORTRANGE(""https://docs.google.com/spreadsheets/d/1CaLR8gtRCp0-wyyH0y5IvQnenreOSKFOo8AF4Pfpekc/edit?gid=400822622#gid=400822622"", ""GRADE 11!T""&amp;ROW(T59))"),0.0)</f>
        <v>0</v>
      </c>
      <c r="W62" s="119">
        <f>IFERROR(__xludf.DUMMYFUNCTION("IMPORTRANGE(""https://docs.google.com/spreadsheets/d/1CaLR8gtRCp0-wyyH0y5IvQnenreOSKFOo8AF4Pfpekc/edit?gid=400822622#gid=400822622"", ""GRADE 11!U""&amp;ROW(U59))"),0.0)</f>
        <v>0</v>
      </c>
      <c r="X62" s="119">
        <f>IFERROR(__xludf.DUMMYFUNCTION("IMPORTRANGE(""https://docs.google.com/spreadsheets/d/1CaLR8gtRCp0-wyyH0y5IvQnenreOSKFOo8AF4Pfpekc/edit?gid=400822622#gid=400822622"", ""GRADE 11!V""&amp;ROW(V59))"),0.0)</f>
        <v>0</v>
      </c>
      <c r="Y62" s="119" t="str">
        <f>IFERROR(__xludf.DUMMYFUNCTION("IMPORTRANGE(""https://docs.google.com/spreadsheets/d/1CaLR8gtRCp0-wyyH0y5IvQnenreOSKFOo8AF4Pfpekc/edit?gid=400822622#gid=400822622"", ""GRADE 11!W""&amp;ROW(W59))"),"")</f>
        <v/>
      </c>
      <c r="Z62" s="120">
        <f>IFERROR(__xludf.DUMMYFUNCTION("IMPORTRANGE(""https://docs.google.com/spreadsheets/d/1CaLR8gtRCp0-wyyH0y5IvQnenreOSKFOo8AF4Pfpekc/edit?gid=400822622#gid=400822622"", ""GRADE 11!X""&amp;ROW(X59))"),7.0)</f>
        <v>7</v>
      </c>
      <c r="AA62" s="121">
        <f>IFERROR(__xludf.DUMMYFUNCTION("IMPORTRANGE(""https://docs.google.com/spreadsheets/d/1CaLR8gtRCp0-wyyH0y5IvQnenreOSKFOo8AF4Pfpekc/edit?gid=400822622#gid=400822622"", ""GRADE 11!Y""&amp;ROW(Y59))"),0.0)</f>
        <v>0</v>
      </c>
      <c r="AB62" s="39">
        <f>IFERROR(__xludf.DUMMYFUNCTION("IMPORTRANGE(""https://docs.google.com/spreadsheets/d/1CaLR8gtRCp0-wyyH0y5IvQnenreOSKFOo8AF4Pfpekc/edit?gid=400822622#gid=400822622"", ""GRADE 11!Z""&amp;ROW(Z59))"),0.0)</f>
        <v>0</v>
      </c>
    </row>
    <row r="63">
      <c r="A63" s="28" t="s">
        <v>19</v>
      </c>
      <c r="B63" s="29">
        <v>53.0</v>
      </c>
      <c r="C63" s="30" t="s">
        <v>133</v>
      </c>
      <c r="D63" s="118" t="s">
        <v>119</v>
      </c>
      <c r="E63" s="32" t="s">
        <v>134</v>
      </c>
      <c r="F63" s="32" t="s">
        <v>30</v>
      </c>
      <c r="G63" s="34">
        <v>22.0</v>
      </c>
      <c r="H63" s="34">
        <v>27.0</v>
      </c>
      <c r="I63" s="35">
        <f t="shared" si="1"/>
        <v>49</v>
      </c>
      <c r="J63" s="119" t="str">
        <f>IFERROR(__xludf.DUMMYFUNCTION("IMPORTRANGE(""https://docs.google.com/spreadsheets/d/1CaLR8gtRCp0-wyyH0y5IvQnenreOSKFOo8AF4Pfpekc/edit?gid=400822622#gid=400822622"", ""GRADE 11!H""&amp;ROW(H60))"),"")</f>
        <v/>
      </c>
      <c r="K63" s="119" t="str">
        <f>IFERROR(__xludf.DUMMYFUNCTION("IMPORTRANGE(""https://docs.google.com/spreadsheets/d/1CaLR8gtRCp0-wyyH0y5IvQnenreOSKFOo8AF4Pfpekc/edit?gid=400822622#gid=400822622"", ""GRADE 11!I""&amp;ROW(I60))"),"")</f>
        <v/>
      </c>
      <c r="L63" s="119" t="str">
        <f>IFERROR(__xludf.DUMMYFUNCTION("IMPORTRANGE(""https://docs.google.com/spreadsheets/d/1CaLR8gtRCp0-wyyH0y5IvQnenreOSKFOo8AF4Pfpekc/edit?gid=400822622#gid=400822622"", ""GRADE 11!J""&amp;ROW(J60))"),"")</f>
        <v/>
      </c>
      <c r="M63" s="119" t="str">
        <f>IFERROR(__xludf.DUMMYFUNCTION("IMPORTRANGE(""https://docs.google.com/spreadsheets/d/1CaLR8gtRCp0-wyyH0y5IvQnenreOSKFOo8AF4Pfpekc/edit?gid=400822622#gid=400822622"", ""GRADE 11!K""&amp;ROW(K60))"),"")</f>
        <v/>
      </c>
      <c r="N63" s="119" t="str">
        <f>IFERROR(__xludf.DUMMYFUNCTION("IMPORTRANGE(""https://docs.google.com/spreadsheets/d/1CaLR8gtRCp0-wyyH0y5IvQnenreOSKFOo8AF4Pfpekc/edit?gid=400822622#gid=400822622"", ""GRADE 11!L""&amp;ROW(L60))"),"")</f>
        <v/>
      </c>
      <c r="O63" s="119" t="str">
        <f>IFERROR(__xludf.DUMMYFUNCTION("IMPORTRANGE(""https://docs.google.com/spreadsheets/d/1CaLR8gtRCp0-wyyH0y5IvQnenreOSKFOo8AF4Pfpekc/edit?gid=400822622#gid=400822622"", ""GRADE 11!M""&amp;ROW(M60))"),"")</f>
        <v/>
      </c>
      <c r="P63" s="119" t="str">
        <f>IFERROR(__xludf.DUMMYFUNCTION("IMPORTRANGE(""https://docs.google.com/spreadsheets/d/1CaLR8gtRCp0-wyyH0y5IvQnenreOSKFOo8AF4Pfpekc/edit?gid=400822622#gid=400822622"", ""GRADE 11!N""&amp;ROW(N60))"),"")</f>
        <v/>
      </c>
      <c r="Q63" s="119" t="str">
        <f>IFERROR(__xludf.DUMMYFUNCTION("IMPORTRANGE(""https://docs.google.com/spreadsheets/d/1CaLR8gtRCp0-wyyH0y5IvQnenreOSKFOo8AF4Pfpekc/edit?gid=400822622#gid=400822622"", ""GRADE 11!O""&amp;ROW(O60))"),"")</f>
        <v/>
      </c>
      <c r="R63" s="119">
        <f>IFERROR(__xludf.DUMMYFUNCTION("IMPORTRANGE(""https://docs.google.com/spreadsheets/d/1CaLR8gtRCp0-wyyH0y5IvQnenreOSKFOo8AF4Pfpekc/edit?gid=400822622#gid=400822622"", ""GRADE 11!P""&amp;ROW(P60))"),0.0)</f>
        <v>0</v>
      </c>
      <c r="S63" s="119">
        <f>IFERROR(__xludf.DUMMYFUNCTION("IMPORTRANGE(""https://docs.google.com/spreadsheets/d/1CaLR8gtRCp0-wyyH0y5IvQnenreOSKFOo8AF4Pfpekc/edit?gid=400822622#gid=400822622"", ""GRADE 11!Q""&amp;ROW(Q60))"),0.0)</f>
        <v>0</v>
      </c>
      <c r="T63" s="119">
        <f>IFERROR(__xludf.DUMMYFUNCTION("IMPORTRANGE(""https://docs.google.com/spreadsheets/d/1CaLR8gtRCp0-wyyH0y5IvQnenreOSKFOo8AF4Pfpekc/edit?gid=400822622#gid=400822622"", ""GRADE 11!R""&amp;ROW(R60))"),0.0)</f>
        <v>0</v>
      </c>
      <c r="U63" s="119">
        <f>IFERROR(__xludf.DUMMYFUNCTION("IMPORTRANGE(""https://docs.google.com/spreadsheets/d/1CaLR8gtRCp0-wyyH0y5IvQnenreOSKFOo8AF4Pfpekc/edit?gid=400822622#gid=400822622"", ""GRADE 11!S""&amp;ROW(S60))"),0.0)</f>
        <v>0</v>
      </c>
      <c r="V63" s="119">
        <f>IFERROR(__xludf.DUMMYFUNCTION("IMPORTRANGE(""https://docs.google.com/spreadsheets/d/1CaLR8gtRCp0-wyyH0y5IvQnenreOSKFOo8AF4Pfpekc/edit?gid=400822622#gid=400822622"", ""GRADE 11!T""&amp;ROW(T60))"),0.0)</f>
        <v>0</v>
      </c>
      <c r="W63" s="119">
        <f>IFERROR(__xludf.DUMMYFUNCTION("IMPORTRANGE(""https://docs.google.com/spreadsheets/d/1CaLR8gtRCp0-wyyH0y5IvQnenreOSKFOo8AF4Pfpekc/edit?gid=400822622#gid=400822622"", ""GRADE 11!U""&amp;ROW(U60))"),0.0)</f>
        <v>0</v>
      </c>
      <c r="X63" s="119">
        <f>IFERROR(__xludf.DUMMYFUNCTION("IMPORTRANGE(""https://docs.google.com/spreadsheets/d/1CaLR8gtRCp0-wyyH0y5IvQnenreOSKFOo8AF4Pfpekc/edit?gid=400822622#gid=400822622"", ""GRADE 11!V""&amp;ROW(V60))"),0.0)</f>
        <v>0</v>
      </c>
      <c r="Y63" s="119" t="str">
        <f>IFERROR(__xludf.DUMMYFUNCTION("IMPORTRANGE(""https://docs.google.com/spreadsheets/d/1CaLR8gtRCp0-wyyH0y5IvQnenreOSKFOo8AF4Pfpekc/edit?gid=400822622#gid=400822622"", ""GRADE 11!W""&amp;ROW(W60))"),"")</f>
        <v/>
      </c>
      <c r="Z63" s="120">
        <f>IFERROR(__xludf.DUMMYFUNCTION("IMPORTRANGE(""https://docs.google.com/spreadsheets/d/1CaLR8gtRCp0-wyyH0y5IvQnenreOSKFOo8AF4Pfpekc/edit?gid=400822622#gid=400822622"", ""GRADE 11!X""&amp;ROW(X60))"),7.0)</f>
        <v>7</v>
      </c>
      <c r="AA63" s="121">
        <f>IFERROR(__xludf.DUMMYFUNCTION("IMPORTRANGE(""https://docs.google.com/spreadsheets/d/1CaLR8gtRCp0-wyyH0y5IvQnenreOSKFOo8AF4Pfpekc/edit?gid=400822622#gid=400822622"", ""GRADE 11!Y""&amp;ROW(Y60))"),0.0)</f>
        <v>0</v>
      </c>
      <c r="AB63" s="39">
        <f>IFERROR(__xludf.DUMMYFUNCTION("IMPORTRANGE(""https://docs.google.com/spreadsheets/d/1CaLR8gtRCp0-wyyH0y5IvQnenreOSKFOo8AF4Pfpekc/edit?gid=400822622#gid=400822622"", ""GRADE 11!Z""&amp;ROW(Z60))"),0.0)</f>
        <v>0</v>
      </c>
    </row>
    <row r="64">
      <c r="A64" s="28" t="s">
        <v>19</v>
      </c>
      <c r="B64" s="29">
        <v>54.0</v>
      </c>
      <c r="C64" s="30" t="s">
        <v>135</v>
      </c>
      <c r="D64" s="118" t="s">
        <v>119</v>
      </c>
      <c r="E64" s="32" t="s">
        <v>136</v>
      </c>
      <c r="F64" s="32" t="s">
        <v>55</v>
      </c>
      <c r="G64" s="34">
        <v>29.0</v>
      </c>
      <c r="H64" s="34">
        <v>23.0</v>
      </c>
      <c r="I64" s="35">
        <f t="shared" si="1"/>
        <v>52</v>
      </c>
      <c r="J64" s="119" t="str">
        <f>IFERROR(__xludf.DUMMYFUNCTION("IMPORTRANGE(""https://docs.google.com/spreadsheets/d/1CaLR8gtRCp0-wyyH0y5IvQnenreOSKFOo8AF4Pfpekc/edit?gid=400822622#gid=400822622"", ""GRADE 11!H""&amp;ROW(H61))"),"")</f>
        <v/>
      </c>
      <c r="K64" s="119" t="str">
        <f>IFERROR(__xludf.DUMMYFUNCTION("IMPORTRANGE(""https://docs.google.com/spreadsheets/d/1CaLR8gtRCp0-wyyH0y5IvQnenreOSKFOo8AF4Pfpekc/edit?gid=400822622#gid=400822622"", ""GRADE 11!I""&amp;ROW(I61))"),"")</f>
        <v/>
      </c>
      <c r="L64" s="119" t="str">
        <f>IFERROR(__xludf.DUMMYFUNCTION("IMPORTRANGE(""https://docs.google.com/spreadsheets/d/1CaLR8gtRCp0-wyyH0y5IvQnenreOSKFOo8AF4Pfpekc/edit?gid=400822622#gid=400822622"", ""GRADE 11!J""&amp;ROW(J61))"),"")</f>
        <v/>
      </c>
      <c r="M64" s="119" t="str">
        <f>IFERROR(__xludf.DUMMYFUNCTION("IMPORTRANGE(""https://docs.google.com/spreadsheets/d/1CaLR8gtRCp0-wyyH0y5IvQnenreOSKFOo8AF4Pfpekc/edit?gid=400822622#gid=400822622"", ""GRADE 11!K""&amp;ROW(K61))"),"")</f>
        <v/>
      </c>
      <c r="N64" s="119" t="str">
        <f>IFERROR(__xludf.DUMMYFUNCTION("IMPORTRANGE(""https://docs.google.com/spreadsheets/d/1CaLR8gtRCp0-wyyH0y5IvQnenreOSKFOo8AF4Pfpekc/edit?gid=400822622#gid=400822622"", ""GRADE 11!L""&amp;ROW(L61))"),"")</f>
        <v/>
      </c>
      <c r="O64" s="119" t="str">
        <f>IFERROR(__xludf.DUMMYFUNCTION("IMPORTRANGE(""https://docs.google.com/spreadsheets/d/1CaLR8gtRCp0-wyyH0y5IvQnenreOSKFOo8AF4Pfpekc/edit?gid=400822622#gid=400822622"", ""GRADE 11!M""&amp;ROW(M61))"),"")</f>
        <v/>
      </c>
      <c r="P64" s="119" t="str">
        <f>IFERROR(__xludf.DUMMYFUNCTION("IMPORTRANGE(""https://docs.google.com/spreadsheets/d/1CaLR8gtRCp0-wyyH0y5IvQnenreOSKFOo8AF4Pfpekc/edit?gid=400822622#gid=400822622"", ""GRADE 11!N""&amp;ROW(N61))"),"")</f>
        <v/>
      </c>
      <c r="Q64" s="119" t="str">
        <f>IFERROR(__xludf.DUMMYFUNCTION("IMPORTRANGE(""https://docs.google.com/spreadsheets/d/1CaLR8gtRCp0-wyyH0y5IvQnenreOSKFOo8AF4Pfpekc/edit?gid=400822622#gid=400822622"", ""GRADE 11!O""&amp;ROW(O61))"),"")</f>
        <v/>
      </c>
      <c r="R64" s="119">
        <f>IFERROR(__xludf.DUMMYFUNCTION("IMPORTRANGE(""https://docs.google.com/spreadsheets/d/1CaLR8gtRCp0-wyyH0y5IvQnenreOSKFOo8AF4Pfpekc/edit?gid=400822622#gid=400822622"", ""GRADE 11!P""&amp;ROW(P61))"),0.0)</f>
        <v>0</v>
      </c>
      <c r="S64" s="119">
        <f>IFERROR(__xludf.DUMMYFUNCTION("IMPORTRANGE(""https://docs.google.com/spreadsheets/d/1CaLR8gtRCp0-wyyH0y5IvQnenreOSKFOo8AF4Pfpekc/edit?gid=400822622#gid=400822622"", ""GRADE 11!Q""&amp;ROW(Q61))"),0.0)</f>
        <v>0</v>
      </c>
      <c r="T64" s="119">
        <f>IFERROR(__xludf.DUMMYFUNCTION("IMPORTRANGE(""https://docs.google.com/spreadsheets/d/1CaLR8gtRCp0-wyyH0y5IvQnenreOSKFOo8AF4Pfpekc/edit?gid=400822622#gid=400822622"", ""GRADE 11!R""&amp;ROW(R61))"),0.0)</f>
        <v>0</v>
      </c>
      <c r="U64" s="119">
        <f>IFERROR(__xludf.DUMMYFUNCTION("IMPORTRANGE(""https://docs.google.com/spreadsheets/d/1CaLR8gtRCp0-wyyH0y5IvQnenreOSKFOo8AF4Pfpekc/edit?gid=400822622#gid=400822622"", ""GRADE 11!S""&amp;ROW(S61))"),0.0)</f>
        <v>0</v>
      </c>
      <c r="V64" s="119">
        <f>IFERROR(__xludf.DUMMYFUNCTION("IMPORTRANGE(""https://docs.google.com/spreadsheets/d/1CaLR8gtRCp0-wyyH0y5IvQnenreOSKFOo8AF4Pfpekc/edit?gid=400822622#gid=400822622"", ""GRADE 11!T""&amp;ROW(T61))"),0.0)</f>
        <v>0</v>
      </c>
      <c r="W64" s="119">
        <f>IFERROR(__xludf.DUMMYFUNCTION("IMPORTRANGE(""https://docs.google.com/spreadsheets/d/1CaLR8gtRCp0-wyyH0y5IvQnenreOSKFOo8AF4Pfpekc/edit?gid=400822622#gid=400822622"", ""GRADE 11!U""&amp;ROW(U61))"),0.0)</f>
        <v>0</v>
      </c>
      <c r="X64" s="119">
        <f>IFERROR(__xludf.DUMMYFUNCTION("IMPORTRANGE(""https://docs.google.com/spreadsheets/d/1CaLR8gtRCp0-wyyH0y5IvQnenreOSKFOo8AF4Pfpekc/edit?gid=400822622#gid=400822622"", ""GRADE 11!V""&amp;ROW(V61))"),0.0)</f>
        <v>0</v>
      </c>
      <c r="Y64" s="119" t="str">
        <f>IFERROR(__xludf.DUMMYFUNCTION("IMPORTRANGE(""https://docs.google.com/spreadsheets/d/1CaLR8gtRCp0-wyyH0y5IvQnenreOSKFOo8AF4Pfpekc/edit?gid=400822622#gid=400822622"", ""GRADE 11!W""&amp;ROW(W61))"),"")</f>
        <v/>
      </c>
      <c r="Z64" s="120">
        <f>IFERROR(__xludf.DUMMYFUNCTION("IMPORTRANGE(""https://docs.google.com/spreadsheets/d/1CaLR8gtRCp0-wyyH0y5IvQnenreOSKFOo8AF4Pfpekc/edit?gid=400822622#gid=400822622"", ""GRADE 11!X""&amp;ROW(X61))"),7.0)</f>
        <v>7</v>
      </c>
      <c r="AA64" s="121">
        <f>IFERROR(__xludf.DUMMYFUNCTION("IMPORTRANGE(""https://docs.google.com/spreadsheets/d/1CaLR8gtRCp0-wyyH0y5IvQnenreOSKFOo8AF4Pfpekc/edit?gid=400822622#gid=400822622"", ""GRADE 11!Y""&amp;ROW(Y61))"),0.0)</f>
        <v>0</v>
      </c>
      <c r="AB64" s="39">
        <f>IFERROR(__xludf.DUMMYFUNCTION("IMPORTRANGE(""https://docs.google.com/spreadsheets/d/1CaLR8gtRCp0-wyyH0y5IvQnenreOSKFOo8AF4Pfpekc/edit?gid=400822622#gid=400822622"", ""GRADE 11!Z""&amp;ROW(Z61))"),0.0)</f>
        <v>0</v>
      </c>
    </row>
    <row r="65">
      <c r="A65" s="28" t="s">
        <v>19</v>
      </c>
      <c r="B65" s="29">
        <v>55.0</v>
      </c>
      <c r="C65" s="30" t="s">
        <v>137</v>
      </c>
      <c r="D65" s="118" t="s">
        <v>138</v>
      </c>
      <c r="E65" s="32" t="s">
        <v>139</v>
      </c>
      <c r="F65" s="32" t="s">
        <v>27</v>
      </c>
      <c r="G65" s="34">
        <v>8.0</v>
      </c>
      <c r="H65" s="34">
        <v>48.0</v>
      </c>
      <c r="I65" s="35">
        <f t="shared" si="1"/>
        <v>56</v>
      </c>
      <c r="J65" s="119" t="str">
        <f>IFERROR(__xludf.DUMMYFUNCTION("IMPORTRANGE(""https://docs.google.com/spreadsheets/d/1CaLR8gtRCp0-wyyH0y5IvQnenreOSKFOo8AF4Pfpekc/edit?gid=400822622#gid=400822622"", ""GRADE 11!H""&amp;ROW(H62))"),"")</f>
        <v/>
      </c>
      <c r="K65" s="119" t="str">
        <f>IFERROR(__xludf.DUMMYFUNCTION("IMPORTRANGE(""https://docs.google.com/spreadsheets/d/1CaLR8gtRCp0-wyyH0y5IvQnenreOSKFOo8AF4Pfpekc/edit?gid=400822622#gid=400822622"", ""GRADE 11!I""&amp;ROW(I62))"),"")</f>
        <v/>
      </c>
      <c r="L65" s="119" t="str">
        <f>IFERROR(__xludf.DUMMYFUNCTION("IMPORTRANGE(""https://docs.google.com/spreadsheets/d/1CaLR8gtRCp0-wyyH0y5IvQnenreOSKFOo8AF4Pfpekc/edit?gid=400822622#gid=400822622"", ""GRADE 11!J""&amp;ROW(J62))"),"")</f>
        <v/>
      </c>
      <c r="M65" s="119" t="str">
        <f>IFERROR(__xludf.DUMMYFUNCTION("IMPORTRANGE(""https://docs.google.com/spreadsheets/d/1CaLR8gtRCp0-wyyH0y5IvQnenreOSKFOo8AF4Pfpekc/edit?gid=400822622#gid=400822622"", ""GRADE 11!K""&amp;ROW(K62))"),"")</f>
        <v/>
      </c>
      <c r="N65" s="119" t="str">
        <f>IFERROR(__xludf.DUMMYFUNCTION("IMPORTRANGE(""https://docs.google.com/spreadsheets/d/1CaLR8gtRCp0-wyyH0y5IvQnenreOSKFOo8AF4Pfpekc/edit?gid=400822622#gid=400822622"", ""GRADE 11!L""&amp;ROW(L62))"),"")</f>
        <v/>
      </c>
      <c r="O65" s="119" t="str">
        <f>IFERROR(__xludf.DUMMYFUNCTION("IMPORTRANGE(""https://docs.google.com/spreadsheets/d/1CaLR8gtRCp0-wyyH0y5IvQnenreOSKFOo8AF4Pfpekc/edit?gid=400822622#gid=400822622"", ""GRADE 11!M""&amp;ROW(M62))"),"")</f>
        <v/>
      </c>
      <c r="P65" s="119" t="str">
        <f>IFERROR(__xludf.DUMMYFUNCTION("IMPORTRANGE(""https://docs.google.com/spreadsheets/d/1CaLR8gtRCp0-wyyH0y5IvQnenreOSKFOo8AF4Pfpekc/edit?gid=400822622#gid=400822622"", ""GRADE 11!N""&amp;ROW(N62))"),"")</f>
        <v/>
      </c>
      <c r="Q65" s="119" t="str">
        <f>IFERROR(__xludf.DUMMYFUNCTION("IMPORTRANGE(""https://docs.google.com/spreadsheets/d/1CaLR8gtRCp0-wyyH0y5IvQnenreOSKFOo8AF4Pfpekc/edit?gid=400822622#gid=400822622"", ""GRADE 11!O""&amp;ROW(O62))"),"")</f>
        <v/>
      </c>
      <c r="R65" s="119">
        <f>IFERROR(__xludf.DUMMYFUNCTION("IMPORTRANGE(""https://docs.google.com/spreadsheets/d/1CaLR8gtRCp0-wyyH0y5IvQnenreOSKFOo8AF4Pfpekc/edit?gid=400822622#gid=400822622"", ""GRADE 11!P""&amp;ROW(P62))"),0.0)</f>
        <v>0</v>
      </c>
      <c r="S65" s="119">
        <f>IFERROR(__xludf.DUMMYFUNCTION("IMPORTRANGE(""https://docs.google.com/spreadsheets/d/1CaLR8gtRCp0-wyyH0y5IvQnenreOSKFOo8AF4Pfpekc/edit?gid=400822622#gid=400822622"", ""GRADE 11!Q""&amp;ROW(Q62))"),0.0)</f>
        <v>0</v>
      </c>
      <c r="T65" s="119">
        <f>IFERROR(__xludf.DUMMYFUNCTION("IMPORTRANGE(""https://docs.google.com/spreadsheets/d/1CaLR8gtRCp0-wyyH0y5IvQnenreOSKFOo8AF4Pfpekc/edit?gid=400822622#gid=400822622"", ""GRADE 11!R""&amp;ROW(R62))"),0.0)</f>
        <v>0</v>
      </c>
      <c r="U65" s="119">
        <f>IFERROR(__xludf.DUMMYFUNCTION("IMPORTRANGE(""https://docs.google.com/spreadsheets/d/1CaLR8gtRCp0-wyyH0y5IvQnenreOSKFOo8AF4Pfpekc/edit?gid=400822622#gid=400822622"", ""GRADE 11!S""&amp;ROW(S62))"),0.0)</f>
        <v>0</v>
      </c>
      <c r="V65" s="119">
        <f>IFERROR(__xludf.DUMMYFUNCTION("IMPORTRANGE(""https://docs.google.com/spreadsheets/d/1CaLR8gtRCp0-wyyH0y5IvQnenreOSKFOo8AF4Pfpekc/edit?gid=400822622#gid=400822622"", ""GRADE 11!T""&amp;ROW(T62))"),0.0)</f>
        <v>0</v>
      </c>
      <c r="W65" s="119">
        <f>IFERROR(__xludf.DUMMYFUNCTION("IMPORTRANGE(""https://docs.google.com/spreadsheets/d/1CaLR8gtRCp0-wyyH0y5IvQnenreOSKFOo8AF4Pfpekc/edit?gid=400822622#gid=400822622"", ""GRADE 11!U""&amp;ROW(U62))"),0.0)</f>
        <v>0</v>
      </c>
      <c r="X65" s="119">
        <f>IFERROR(__xludf.DUMMYFUNCTION("IMPORTRANGE(""https://docs.google.com/spreadsheets/d/1CaLR8gtRCp0-wyyH0y5IvQnenreOSKFOo8AF4Pfpekc/edit?gid=400822622#gid=400822622"", ""GRADE 11!V""&amp;ROW(V62))"),0.0)</f>
        <v>0</v>
      </c>
      <c r="Y65" s="119" t="str">
        <f>IFERROR(__xludf.DUMMYFUNCTION("IMPORTRANGE(""https://docs.google.com/spreadsheets/d/1CaLR8gtRCp0-wyyH0y5IvQnenreOSKFOo8AF4Pfpekc/edit?gid=400822622#gid=400822622"", ""GRADE 11!W""&amp;ROW(W62))"),"")</f>
        <v/>
      </c>
      <c r="Z65" s="120">
        <f>IFERROR(__xludf.DUMMYFUNCTION("IMPORTRANGE(""https://docs.google.com/spreadsheets/d/1CaLR8gtRCp0-wyyH0y5IvQnenreOSKFOo8AF4Pfpekc/edit?gid=400822622#gid=400822622"", ""GRADE 11!X""&amp;ROW(X62))"),7.0)</f>
        <v>7</v>
      </c>
      <c r="AA65" s="121">
        <f>IFERROR(__xludf.DUMMYFUNCTION("IMPORTRANGE(""https://docs.google.com/spreadsheets/d/1CaLR8gtRCp0-wyyH0y5IvQnenreOSKFOo8AF4Pfpekc/edit?gid=400822622#gid=400822622"", ""GRADE 11!Y""&amp;ROW(Y62))"),0.0)</f>
        <v>0</v>
      </c>
      <c r="AB65" s="39">
        <f>IFERROR(__xludf.DUMMYFUNCTION("IMPORTRANGE(""https://docs.google.com/spreadsheets/d/1CaLR8gtRCp0-wyyH0y5IvQnenreOSKFOo8AF4Pfpekc/edit?gid=400822622#gid=400822622"", ""GRADE 11!Z""&amp;ROW(Z62))"),0.0)</f>
        <v>0</v>
      </c>
    </row>
    <row r="66">
      <c r="A66" s="28" t="s">
        <v>19</v>
      </c>
      <c r="B66" s="29">
        <v>56.0</v>
      </c>
      <c r="C66" s="30" t="s">
        <v>140</v>
      </c>
      <c r="D66" s="118" t="s">
        <v>141</v>
      </c>
      <c r="E66" s="32" t="s">
        <v>142</v>
      </c>
      <c r="F66" s="32" t="s">
        <v>30</v>
      </c>
      <c r="G66" s="34">
        <v>30.0</v>
      </c>
      <c r="H66" s="34">
        <v>5.0</v>
      </c>
      <c r="I66" s="35">
        <f t="shared" si="1"/>
        <v>35</v>
      </c>
      <c r="J66" s="119">
        <f>IFERROR(__xludf.DUMMYFUNCTION("IMPORTRANGE(""https://docs.google.com/spreadsheets/d/1CaLR8gtRCp0-wyyH0y5IvQnenreOSKFOo8AF4Pfpekc/edit?gid=400822622#gid=400822622"", ""GRADE 11!H""&amp;ROW(H63))"),0.0)</f>
        <v>0</v>
      </c>
      <c r="K66" s="119">
        <f>IFERROR(__xludf.DUMMYFUNCTION("IMPORTRANGE(""https://docs.google.com/spreadsheets/d/1CaLR8gtRCp0-wyyH0y5IvQnenreOSKFOo8AF4Pfpekc/edit?gid=400822622#gid=400822622"", ""GRADE 11!I""&amp;ROW(I63))"),0.0)</f>
        <v>0</v>
      </c>
      <c r="L66" s="119">
        <f>IFERROR(__xludf.DUMMYFUNCTION("IMPORTRANGE(""https://docs.google.com/spreadsheets/d/1CaLR8gtRCp0-wyyH0y5IvQnenreOSKFOo8AF4Pfpekc/edit?gid=400822622#gid=400822622"", ""GRADE 11!J""&amp;ROW(J63))"),0.0)</f>
        <v>0</v>
      </c>
      <c r="M66" s="119">
        <f>IFERROR(__xludf.DUMMYFUNCTION("IMPORTRANGE(""https://docs.google.com/spreadsheets/d/1CaLR8gtRCp0-wyyH0y5IvQnenreOSKFOo8AF4Pfpekc/edit?gid=400822622#gid=400822622"", ""GRADE 11!K""&amp;ROW(K63))"),0.0)</f>
        <v>0</v>
      </c>
      <c r="N66" s="119">
        <f>IFERROR(__xludf.DUMMYFUNCTION("IMPORTRANGE(""https://docs.google.com/spreadsheets/d/1CaLR8gtRCp0-wyyH0y5IvQnenreOSKFOo8AF4Pfpekc/edit?gid=400822622#gid=400822622"", ""GRADE 11!L""&amp;ROW(L63))"),0.0)</f>
        <v>0</v>
      </c>
      <c r="O66" s="119">
        <f>IFERROR(__xludf.DUMMYFUNCTION("IMPORTRANGE(""https://docs.google.com/spreadsheets/d/1CaLR8gtRCp0-wyyH0y5IvQnenreOSKFOo8AF4Pfpekc/edit?gid=400822622#gid=400822622"", ""GRADE 11!M""&amp;ROW(M63))"),0.0)</f>
        <v>0</v>
      </c>
      <c r="P66" s="119" t="str">
        <f>IFERROR(__xludf.DUMMYFUNCTION("IMPORTRANGE(""https://docs.google.com/spreadsheets/d/1CaLR8gtRCp0-wyyH0y5IvQnenreOSKFOo8AF4Pfpekc/edit?gid=400822622#gid=400822622"", ""GRADE 11!N""&amp;ROW(N63))"),"")</f>
        <v/>
      </c>
      <c r="Q66" s="119">
        <f>IFERROR(__xludf.DUMMYFUNCTION("IMPORTRANGE(""https://docs.google.com/spreadsheets/d/1CaLR8gtRCp0-wyyH0y5IvQnenreOSKFOo8AF4Pfpekc/edit?gid=400822622#gid=400822622"", ""GRADE 11!O""&amp;ROW(O63))"),0.0)</f>
        <v>0</v>
      </c>
      <c r="R66" s="119" t="str">
        <f>IFERROR(__xludf.DUMMYFUNCTION("IMPORTRANGE(""https://docs.google.com/spreadsheets/d/1CaLR8gtRCp0-wyyH0y5IvQnenreOSKFOo8AF4Pfpekc/edit?gid=400822622#gid=400822622"", ""GRADE 11!P""&amp;ROW(P63))"),"")</f>
        <v/>
      </c>
      <c r="S66" s="119" t="str">
        <f>IFERROR(__xludf.DUMMYFUNCTION("IMPORTRANGE(""https://docs.google.com/spreadsheets/d/1CaLR8gtRCp0-wyyH0y5IvQnenreOSKFOo8AF4Pfpekc/edit?gid=400822622#gid=400822622"", ""GRADE 11!Q""&amp;ROW(Q63))"),"")</f>
        <v/>
      </c>
      <c r="T66" s="119" t="str">
        <f>IFERROR(__xludf.DUMMYFUNCTION("IMPORTRANGE(""https://docs.google.com/spreadsheets/d/1CaLR8gtRCp0-wyyH0y5IvQnenreOSKFOo8AF4Pfpekc/edit?gid=400822622#gid=400822622"", ""GRADE 11!R""&amp;ROW(R63))"),"")</f>
        <v/>
      </c>
      <c r="U66" s="119" t="str">
        <f>IFERROR(__xludf.DUMMYFUNCTION("IMPORTRANGE(""https://docs.google.com/spreadsheets/d/1CaLR8gtRCp0-wyyH0y5IvQnenreOSKFOo8AF4Pfpekc/edit?gid=400822622#gid=400822622"", ""GRADE 11!S""&amp;ROW(S63))"),"")</f>
        <v/>
      </c>
      <c r="V66" s="119" t="str">
        <f>IFERROR(__xludf.DUMMYFUNCTION("IMPORTRANGE(""https://docs.google.com/spreadsheets/d/1CaLR8gtRCp0-wyyH0y5IvQnenreOSKFOo8AF4Pfpekc/edit?gid=400822622#gid=400822622"", ""GRADE 11!T""&amp;ROW(T63))"),"")</f>
        <v/>
      </c>
      <c r="W66" s="119" t="str">
        <f>IFERROR(__xludf.DUMMYFUNCTION("IMPORTRANGE(""https://docs.google.com/spreadsheets/d/1CaLR8gtRCp0-wyyH0y5IvQnenreOSKFOo8AF4Pfpekc/edit?gid=400822622#gid=400822622"", ""GRADE 11!U""&amp;ROW(U63))"),"")</f>
        <v/>
      </c>
      <c r="X66" s="119">
        <f>IFERROR(__xludf.DUMMYFUNCTION("IMPORTRANGE(""https://docs.google.com/spreadsheets/d/1CaLR8gtRCp0-wyyH0y5IvQnenreOSKFOo8AF4Pfpekc/edit?gid=400822622#gid=400822622"", ""GRADE 11!V""&amp;ROW(V63))"),0.0)</f>
        <v>0</v>
      </c>
      <c r="Y66" s="119" t="str">
        <f>IFERROR(__xludf.DUMMYFUNCTION("IMPORTRANGE(""https://docs.google.com/spreadsheets/d/1CaLR8gtRCp0-wyyH0y5IvQnenreOSKFOo8AF4Pfpekc/edit?gid=400822622#gid=400822622"", ""GRADE 11!W""&amp;ROW(W63))"),"")</f>
        <v/>
      </c>
      <c r="Z66" s="120">
        <f>IFERROR(__xludf.DUMMYFUNCTION("IMPORTRANGE(""https://docs.google.com/spreadsheets/d/1CaLR8gtRCp0-wyyH0y5IvQnenreOSKFOo8AF4Pfpekc/edit?gid=400822622#gid=400822622"", ""GRADE 11!X""&amp;ROW(X63))"),8.0)</f>
        <v>8</v>
      </c>
      <c r="AA66" s="121">
        <f>IFERROR(__xludf.DUMMYFUNCTION("IMPORTRANGE(""https://docs.google.com/spreadsheets/d/1CaLR8gtRCp0-wyyH0y5IvQnenreOSKFOo8AF4Pfpekc/edit?gid=400822622#gid=400822622"", ""GRADE 11!Y""&amp;ROW(Y63))"),0.0)</f>
        <v>0</v>
      </c>
      <c r="AB66" s="39">
        <f>IFERROR(__xludf.DUMMYFUNCTION("IMPORTRANGE(""https://docs.google.com/spreadsheets/d/1CaLR8gtRCp0-wyyH0y5IvQnenreOSKFOo8AF4Pfpekc/edit?gid=400822622#gid=400822622"", ""GRADE 11!Z""&amp;ROW(Z63))"),0.0)</f>
        <v>0</v>
      </c>
    </row>
    <row r="67">
      <c r="A67" s="28" t="s">
        <v>19</v>
      </c>
      <c r="B67" s="29">
        <v>57.0</v>
      </c>
      <c r="C67" s="30" t="s">
        <v>143</v>
      </c>
      <c r="D67" s="118" t="s">
        <v>141</v>
      </c>
      <c r="E67" s="32" t="s">
        <v>144</v>
      </c>
      <c r="F67" s="32" t="s">
        <v>72</v>
      </c>
      <c r="G67" s="34">
        <v>26.0</v>
      </c>
      <c r="H67" s="34">
        <v>12.0</v>
      </c>
      <c r="I67" s="35">
        <f t="shared" si="1"/>
        <v>38</v>
      </c>
      <c r="J67" s="119">
        <f>IFERROR(__xludf.DUMMYFUNCTION("IMPORTRANGE(""https://docs.google.com/spreadsheets/d/1CaLR8gtRCp0-wyyH0y5IvQnenreOSKFOo8AF4Pfpekc/edit?gid=400822622#gid=400822622"", ""GRADE 11!H""&amp;ROW(H64))"),1.0)</f>
        <v>1</v>
      </c>
      <c r="K67" s="119">
        <f>IFERROR(__xludf.DUMMYFUNCTION("IMPORTRANGE(""https://docs.google.com/spreadsheets/d/1CaLR8gtRCp0-wyyH0y5IvQnenreOSKFOo8AF4Pfpekc/edit?gid=400822622#gid=400822622"", ""GRADE 11!I""&amp;ROW(I64))"),1.0)</f>
        <v>1</v>
      </c>
      <c r="L67" s="119">
        <f>IFERROR(__xludf.DUMMYFUNCTION("IMPORTRANGE(""https://docs.google.com/spreadsheets/d/1CaLR8gtRCp0-wyyH0y5IvQnenreOSKFOo8AF4Pfpekc/edit?gid=400822622#gid=400822622"", ""GRADE 11!J""&amp;ROW(J64))"),1.0)</f>
        <v>1</v>
      </c>
      <c r="M67" s="119">
        <f>IFERROR(__xludf.DUMMYFUNCTION("IMPORTRANGE(""https://docs.google.com/spreadsheets/d/1CaLR8gtRCp0-wyyH0y5IvQnenreOSKFOo8AF4Pfpekc/edit?gid=400822622#gid=400822622"", ""GRADE 11!K""&amp;ROW(K64))"),1.0)</f>
        <v>1</v>
      </c>
      <c r="N67" s="119">
        <f>IFERROR(__xludf.DUMMYFUNCTION("IMPORTRANGE(""https://docs.google.com/spreadsheets/d/1CaLR8gtRCp0-wyyH0y5IvQnenreOSKFOo8AF4Pfpekc/edit?gid=400822622#gid=400822622"", ""GRADE 11!L""&amp;ROW(L64))"),1.0)</f>
        <v>1</v>
      </c>
      <c r="O67" s="119">
        <f>IFERROR(__xludf.DUMMYFUNCTION("IMPORTRANGE(""https://docs.google.com/spreadsheets/d/1CaLR8gtRCp0-wyyH0y5IvQnenreOSKFOo8AF4Pfpekc/edit?gid=400822622#gid=400822622"", ""GRADE 11!M""&amp;ROW(M64))"),1.0)</f>
        <v>1</v>
      </c>
      <c r="P67" s="119" t="str">
        <f>IFERROR(__xludf.DUMMYFUNCTION("IMPORTRANGE(""https://docs.google.com/spreadsheets/d/1CaLR8gtRCp0-wyyH0y5IvQnenreOSKFOo8AF4Pfpekc/edit?gid=400822622#gid=400822622"", ""GRADE 11!N""&amp;ROW(N64))"),"")</f>
        <v/>
      </c>
      <c r="Q67" s="119">
        <f>IFERROR(__xludf.DUMMYFUNCTION("IMPORTRANGE(""https://docs.google.com/spreadsheets/d/1CaLR8gtRCp0-wyyH0y5IvQnenreOSKFOo8AF4Pfpekc/edit?gid=400822622#gid=400822622"", ""GRADE 11!O""&amp;ROW(O64))"),1.0)</f>
        <v>1</v>
      </c>
      <c r="R67" s="119" t="str">
        <f>IFERROR(__xludf.DUMMYFUNCTION("IMPORTRANGE(""https://docs.google.com/spreadsheets/d/1CaLR8gtRCp0-wyyH0y5IvQnenreOSKFOo8AF4Pfpekc/edit?gid=400822622#gid=400822622"", ""GRADE 11!P""&amp;ROW(P64))"),"")</f>
        <v/>
      </c>
      <c r="S67" s="119" t="str">
        <f>IFERROR(__xludf.DUMMYFUNCTION("IMPORTRANGE(""https://docs.google.com/spreadsheets/d/1CaLR8gtRCp0-wyyH0y5IvQnenreOSKFOo8AF4Pfpekc/edit?gid=400822622#gid=400822622"", ""GRADE 11!Q""&amp;ROW(Q64))"),"")</f>
        <v/>
      </c>
      <c r="T67" s="119" t="str">
        <f>IFERROR(__xludf.DUMMYFUNCTION("IMPORTRANGE(""https://docs.google.com/spreadsheets/d/1CaLR8gtRCp0-wyyH0y5IvQnenreOSKFOo8AF4Pfpekc/edit?gid=400822622#gid=400822622"", ""GRADE 11!R""&amp;ROW(R64))"),"")</f>
        <v/>
      </c>
      <c r="U67" s="119" t="str">
        <f>IFERROR(__xludf.DUMMYFUNCTION("IMPORTRANGE(""https://docs.google.com/spreadsheets/d/1CaLR8gtRCp0-wyyH0y5IvQnenreOSKFOo8AF4Pfpekc/edit?gid=400822622#gid=400822622"", ""GRADE 11!S""&amp;ROW(S64))"),"")</f>
        <v/>
      </c>
      <c r="V67" s="119" t="str">
        <f>IFERROR(__xludf.DUMMYFUNCTION("IMPORTRANGE(""https://docs.google.com/spreadsheets/d/1CaLR8gtRCp0-wyyH0y5IvQnenreOSKFOo8AF4Pfpekc/edit?gid=400822622#gid=400822622"", ""GRADE 11!T""&amp;ROW(T64))"),"")</f>
        <v/>
      </c>
      <c r="W67" s="119" t="str">
        <f>IFERROR(__xludf.DUMMYFUNCTION("IMPORTRANGE(""https://docs.google.com/spreadsheets/d/1CaLR8gtRCp0-wyyH0y5IvQnenreOSKFOo8AF4Pfpekc/edit?gid=400822622#gid=400822622"", ""GRADE 11!U""&amp;ROW(U64))"),"")</f>
        <v/>
      </c>
      <c r="X67" s="119">
        <f>IFERROR(__xludf.DUMMYFUNCTION("IMPORTRANGE(""https://docs.google.com/spreadsheets/d/1CaLR8gtRCp0-wyyH0y5IvQnenreOSKFOo8AF4Pfpekc/edit?gid=400822622#gid=400822622"", ""GRADE 11!V""&amp;ROW(V64))"),1.0)</f>
        <v>1</v>
      </c>
      <c r="Y67" s="119" t="str">
        <f>IFERROR(__xludf.DUMMYFUNCTION("IMPORTRANGE(""https://docs.google.com/spreadsheets/d/1CaLR8gtRCp0-wyyH0y5IvQnenreOSKFOo8AF4Pfpekc/edit?gid=400822622#gid=400822622"", ""GRADE 11!W""&amp;ROW(W64))"),"")</f>
        <v/>
      </c>
      <c r="Z67" s="120">
        <f>IFERROR(__xludf.DUMMYFUNCTION("IMPORTRANGE(""https://docs.google.com/spreadsheets/d/1CaLR8gtRCp0-wyyH0y5IvQnenreOSKFOo8AF4Pfpekc/edit?gid=400822622#gid=400822622"", ""GRADE 11!X""&amp;ROW(X64))"),0.0)</f>
        <v>0</v>
      </c>
      <c r="AA67" s="121">
        <f>IFERROR(__xludf.DUMMYFUNCTION("IMPORTRANGE(""https://docs.google.com/spreadsheets/d/1CaLR8gtRCp0-wyyH0y5IvQnenreOSKFOo8AF4Pfpekc/edit?gid=400822622#gid=400822622"", ""GRADE 11!Y""&amp;ROW(Y64))"),8.0)</f>
        <v>8</v>
      </c>
      <c r="AB67" s="39">
        <f>IFERROR(__xludf.DUMMYFUNCTION("IMPORTRANGE(""https://docs.google.com/spreadsheets/d/1CaLR8gtRCp0-wyyH0y5IvQnenreOSKFOo8AF4Pfpekc/edit?gid=400822622#gid=400822622"", ""GRADE 11!Z""&amp;ROW(Z64))"),-8.0)</f>
        <v>-8</v>
      </c>
    </row>
    <row r="68">
      <c r="A68" s="28" t="s">
        <v>19</v>
      </c>
      <c r="B68" s="29">
        <v>58.0</v>
      </c>
      <c r="C68" s="30" t="s">
        <v>145</v>
      </c>
      <c r="D68" s="118" t="s">
        <v>141</v>
      </c>
      <c r="E68" s="32" t="s">
        <v>146</v>
      </c>
      <c r="F68" s="32" t="s">
        <v>43</v>
      </c>
      <c r="G68" s="34">
        <v>26.0</v>
      </c>
      <c r="H68" s="34">
        <v>9.0</v>
      </c>
      <c r="I68" s="35">
        <f t="shared" si="1"/>
        <v>35</v>
      </c>
      <c r="J68" s="119">
        <f>IFERROR(__xludf.DUMMYFUNCTION("IMPORTRANGE(""https://docs.google.com/spreadsheets/d/1CaLR8gtRCp0-wyyH0y5IvQnenreOSKFOo8AF4Pfpekc/edit?gid=400822622#gid=400822622"", ""GRADE 11!H""&amp;ROW(H65))"),0.0)</f>
        <v>0</v>
      </c>
      <c r="K68" s="119">
        <f>IFERROR(__xludf.DUMMYFUNCTION("IMPORTRANGE(""https://docs.google.com/spreadsheets/d/1CaLR8gtRCp0-wyyH0y5IvQnenreOSKFOo8AF4Pfpekc/edit?gid=400822622#gid=400822622"", ""GRADE 11!I""&amp;ROW(I65))"),0.0)</f>
        <v>0</v>
      </c>
      <c r="L68" s="119">
        <f>IFERROR(__xludf.DUMMYFUNCTION("IMPORTRANGE(""https://docs.google.com/spreadsheets/d/1CaLR8gtRCp0-wyyH0y5IvQnenreOSKFOo8AF4Pfpekc/edit?gid=400822622#gid=400822622"", ""GRADE 11!J""&amp;ROW(J65))"),0.0)</f>
        <v>0</v>
      </c>
      <c r="M68" s="119">
        <f>IFERROR(__xludf.DUMMYFUNCTION("IMPORTRANGE(""https://docs.google.com/spreadsheets/d/1CaLR8gtRCp0-wyyH0y5IvQnenreOSKFOo8AF4Pfpekc/edit?gid=400822622#gid=400822622"", ""GRADE 11!K""&amp;ROW(K65))"),0.0)</f>
        <v>0</v>
      </c>
      <c r="N68" s="119">
        <f>IFERROR(__xludf.DUMMYFUNCTION("IMPORTRANGE(""https://docs.google.com/spreadsheets/d/1CaLR8gtRCp0-wyyH0y5IvQnenreOSKFOo8AF4Pfpekc/edit?gid=400822622#gid=400822622"", ""GRADE 11!L""&amp;ROW(L65))"),0.0)</f>
        <v>0</v>
      </c>
      <c r="O68" s="119">
        <f>IFERROR(__xludf.DUMMYFUNCTION("IMPORTRANGE(""https://docs.google.com/spreadsheets/d/1CaLR8gtRCp0-wyyH0y5IvQnenreOSKFOo8AF4Pfpekc/edit?gid=400822622#gid=400822622"", ""GRADE 11!M""&amp;ROW(M65))"),0.0)</f>
        <v>0</v>
      </c>
      <c r="P68" s="119" t="str">
        <f>IFERROR(__xludf.DUMMYFUNCTION("IMPORTRANGE(""https://docs.google.com/spreadsheets/d/1CaLR8gtRCp0-wyyH0y5IvQnenreOSKFOo8AF4Pfpekc/edit?gid=400822622#gid=400822622"", ""GRADE 11!N""&amp;ROW(N65))"),"")</f>
        <v/>
      </c>
      <c r="Q68" s="119">
        <f>IFERROR(__xludf.DUMMYFUNCTION("IMPORTRANGE(""https://docs.google.com/spreadsheets/d/1CaLR8gtRCp0-wyyH0y5IvQnenreOSKFOo8AF4Pfpekc/edit?gid=400822622#gid=400822622"", ""GRADE 11!O""&amp;ROW(O65))"),0.0)</f>
        <v>0</v>
      </c>
      <c r="R68" s="119" t="str">
        <f>IFERROR(__xludf.DUMMYFUNCTION("IMPORTRANGE(""https://docs.google.com/spreadsheets/d/1CaLR8gtRCp0-wyyH0y5IvQnenreOSKFOo8AF4Pfpekc/edit?gid=400822622#gid=400822622"", ""GRADE 11!P""&amp;ROW(P65))"),"")</f>
        <v/>
      </c>
      <c r="S68" s="119" t="str">
        <f>IFERROR(__xludf.DUMMYFUNCTION("IMPORTRANGE(""https://docs.google.com/spreadsheets/d/1CaLR8gtRCp0-wyyH0y5IvQnenreOSKFOo8AF4Pfpekc/edit?gid=400822622#gid=400822622"", ""GRADE 11!Q""&amp;ROW(Q65))"),"")</f>
        <v/>
      </c>
      <c r="T68" s="119" t="str">
        <f>IFERROR(__xludf.DUMMYFUNCTION("IMPORTRANGE(""https://docs.google.com/spreadsheets/d/1CaLR8gtRCp0-wyyH0y5IvQnenreOSKFOo8AF4Pfpekc/edit?gid=400822622#gid=400822622"", ""GRADE 11!R""&amp;ROW(R65))"),"")</f>
        <v/>
      </c>
      <c r="U68" s="119" t="str">
        <f>IFERROR(__xludf.DUMMYFUNCTION("IMPORTRANGE(""https://docs.google.com/spreadsheets/d/1CaLR8gtRCp0-wyyH0y5IvQnenreOSKFOo8AF4Pfpekc/edit?gid=400822622#gid=400822622"", ""GRADE 11!S""&amp;ROW(S65))"),"")</f>
        <v/>
      </c>
      <c r="V68" s="119" t="str">
        <f>IFERROR(__xludf.DUMMYFUNCTION("IMPORTRANGE(""https://docs.google.com/spreadsheets/d/1CaLR8gtRCp0-wyyH0y5IvQnenreOSKFOo8AF4Pfpekc/edit?gid=400822622#gid=400822622"", ""GRADE 11!T""&amp;ROW(T65))"),"")</f>
        <v/>
      </c>
      <c r="W68" s="119" t="str">
        <f>IFERROR(__xludf.DUMMYFUNCTION("IMPORTRANGE(""https://docs.google.com/spreadsheets/d/1CaLR8gtRCp0-wyyH0y5IvQnenreOSKFOo8AF4Pfpekc/edit?gid=400822622#gid=400822622"", ""GRADE 11!U""&amp;ROW(U65))"),"")</f>
        <v/>
      </c>
      <c r="X68" s="119">
        <f>IFERROR(__xludf.DUMMYFUNCTION("IMPORTRANGE(""https://docs.google.com/spreadsheets/d/1CaLR8gtRCp0-wyyH0y5IvQnenreOSKFOo8AF4Pfpekc/edit?gid=400822622#gid=400822622"", ""GRADE 11!V""&amp;ROW(V65))"),0.0)</f>
        <v>0</v>
      </c>
      <c r="Y68" s="119" t="str">
        <f>IFERROR(__xludf.DUMMYFUNCTION("IMPORTRANGE(""https://docs.google.com/spreadsheets/d/1CaLR8gtRCp0-wyyH0y5IvQnenreOSKFOo8AF4Pfpekc/edit?gid=400822622#gid=400822622"", ""GRADE 11!W""&amp;ROW(W65))"),"")</f>
        <v/>
      </c>
      <c r="Z68" s="120">
        <f>IFERROR(__xludf.DUMMYFUNCTION("IMPORTRANGE(""https://docs.google.com/spreadsheets/d/1CaLR8gtRCp0-wyyH0y5IvQnenreOSKFOo8AF4Pfpekc/edit?gid=400822622#gid=400822622"", ""GRADE 11!X""&amp;ROW(X65))"),8.0)</f>
        <v>8</v>
      </c>
      <c r="AA68" s="121">
        <f>IFERROR(__xludf.DUMMYFUNCTION("IMPORTRANGE(""https://docs.google.com/spreadsheets/d/1CaLR8gtRCp0-wyyH0y5IvQnenreOSKFOo8AF4Pfpekc/edit?gid=400822622#gid=400822622"", ""GRADE 11!Y""&amp;ROW(Y65))"),0.0)</f>
        <v>0</v>
      </c>
      <c r="AB68" s="39">
        <f>IFERROR(__xludf.DUMMYFUNCTION("IMPORTRANGE(""https://docs.google.com/spreadsheets/d/1CaLR8gtRCp0-wyyH0y5IvQnenreOSKFOo8AF4Pfpekc/edit?gid=400822622#gid=400822622"", ""GRADE 11!Z""&amp;ROW(Z65))"),0.0)</f>
        <v>0</v>
      </c>
    </row>
    <row r="69">
      <c r="A69" s="28" t="s">
        <v>19</v>
      </c>
      <c r="B69" s="29">
        <v>59.0</v>
      </c>
      <c r="C69" s="30" t="s">
        <v>147</v>
      </c>
      <c r="D69" s="118" t="s">
        <v>141</v>
      </c>
      <c r="E69" s="32" t="s">
        <v>148</v>
      </c>
      <c r="F69" s="32" t="s">
        <v>61</v>
      </c>
      <c r="G69" s="34">
        <v>27.0</v>
      </c>
      <c r="H69" s="34">
        <v>9.0</v>
      </c>
      <c r="I69" s="35">
        <f t="shared" si="1"/>
        <v>36</v>
      </c>
      <c r="J69" s="119">
        <f>IFERROR(__xludf.DUMMYFUNCTION("IMPORTRANGE(""https://docs.google.com/spreadsheets/d/1CaLR8gtRCp0-wyyH0y5IvQnenreOSKFOo8AF4Pfpekc/edit?gid=400822622#gid=400822622"", ""GRADE 11!H""&amp;ROW(H66))"),0.0)</f>
        <v>0</v>
      </c>
      <c r="K69" s="119">
        <f>IFERROR(__xludf.DUMMYFUNCTION("IMPORTRANGE(""https://docs.google.com/spreadsheets/d/1CaLR8gtRCp0-wyyH0y5IvQnenreOSKFOo8AF4Pfpekc/edit?gid=400822622#gid=400822622"", ""GRADE 11!I""&amp;ROW(I66))"),0.0)</f>
        <v>0</v>
      </c>
      <c r="L69" s="119">
        <f>IFERROR(__xludf.DUMMYFUNCTION("IMPORTRANGE(""https://docs.google.com/spreadsheets/d/1CaLR8gtRCp0-wyyH0y5IvQnenreOSKFOo8AF4Pfpekc/edit?gid=400822622#gid=400822622"", ""GRADE 11!J""&amp;ROW(J66))"),0.0)</f>
        <v>0</v>
      </c>
      <c r="M69" s="119">
        <f>IFERROR(__xludf.DUMMYFUNCTION("IMPORTRANGE(""https://docs.google.com/spreadsheets/d/1CaLR8gtRCp0-wyyH0y5IvQnenreOSKFOo8AF4Pfpekc/edit?gid=400822622#gid=400822622"", ""GRADE 11!K""&amp;ROW(K66))"),0.0)</f>
        <v>0</v>
      </c>
      <c r="N69" s="119">
        <f>IFERROR(__xludf.DUMMYFUNCTION("IMPORTRANGE(""https://docs.google.com/spreadsheets/d/1CaLR8gtRCp0-wyyH0y5IvQnenreOSKFOo8AF4Pfpekc/edit?gid=400822622#gid=400822622"", ""GRADE 11!L""&amp;ROW(L66))"),0.0)</f>
        <v>0</v>
      </c>
      <c r="O69" s="119">
        <f>IFERROR(__xludf.DUMMYFUNCTION("IMPORTRANGE(""https://docs.google.com/spreadsheets/d/1CaLR8gtRCp0-wyyH0y5IvQnenreOSKFOo8AF4Pfpekc/edit?gid=400822622#gid=400822622"", ""GRADE 11!M""&amp;ROW(M66))"),0.0)</f>
        <v>0</v>
      </c>
      <c r="P69" s="119" t="str">
        <f>IFERROR(__xludf.DUMMYFUNCTION("IMPORTRANGE(""https://docs.google.com/spreadsheets/d/1CaLR8gtRCp0-wyyH0y5IvQnenreOSKFOo8AF4Pfpekc/edit?gid=400822622#gid=400822622"", ""GRADE 11!N""&amp;ROW(N66))"),"")</f>
        <v/>
      </c>
      <c r="Q69" s="119">
        <f>IFERROR(__xludf.DUMMYFUNCTION("IMPORTRANGE(""https://docs.google.com/spreadsheets/d/1CaLR8gtRCp0-wyyH0y5IvQnenreOSKFOo8AF4Pfpekc/edit?gid=400822622#gid=400822622"", ""GRADE 11!O""&amp;ROW(O66))"),0.0)</f>
        <v>0</v>
      </c>
      <c r="R69" s="119" t="str">
        <f>IFERROR(__xludf.DUMMYFUNCTION("IMPORTRANGE(""https://docs.google.com/spreadsheets/d/1CaLR8gtRCp0-wyyH0y5IvQnenreOSKFOo8AF4Pfpekc/edit?gid=400822622#gid=400822622"", ""GRADE 11!P""&amp;ROW(P66))"),"")</f>
        <v/>
      </c>
      <c r="S69" s="119" t="str">
        <f>IFERROR(__xludf.DUMMYFUNCTION("IMPORTRANGE(""https://docs.google.com/spreadsheets/d/1CaLR8gtRCp0-wyyH0y5IvQnenreOSKFOo8AF4Pfpekc/edit?gid=400822622#gid=400822622"", ""GRADE 11!Q""&amp;ROW(Q66))"),"")</f>
        <v/>
      </c>
      <c r="T69" s="119" t="str">
        <f>IFERROR(__xludf.DUMMYFUNCTION("IMPORTRANGE(""https://docs.google.com/spreadsheets/d/1CaLR8gtRCp0-wyyH0y5IvQnenreOSKFOo8AF4Pfpekc/edit?gid=400822622#gid=400822622"", ""GRADE 11!R""&amp;ROW(R66))"),"")</f>
        <v/>
      </c>
      <c r="U69" s="119" t="str">
        <f>IFERROR(__xludf.DUMMYFUNCTION("IMPORTRANGE(""https://docs.google.com/spreadsheets/d/1CaLR8gtRCp0-wyyH0y5IvQnenreOSKFOo8AF4Pfpekc/edit?gid=400822622#gid=400822622"", ""GRADE 11!S""&amp;ROW(S66))"),"")</f>
        <v/>
      </c>
      <c r="V69" s="119" t="str">
        <f>IFERROR(__xludf.DUMMYFUNCTION("IMPORTRANGE(""https://docs.google.com/spreadsheets/d/1CaLR8gtRCp0-wyyH0y5IvQnenreOSKFOo8AF4Pfpekc/edit?gid=400822622#gid=400822622"", ""GRADE 11!T""&amp;ROW(T66))"),"")</f>
        <v/>
      </c>
      <c r="W69" s="119" t="str">
        <f>IFERROR(__xludf.DUMMYFUNCTION("IMPORTRANGE(""https://docs.google.com/spreadsheets/d/1CaLR8gtRCp0-wyyH0y5IvQnenreOSKFOo8AF4Pfpekc/edit?gid=400822622#gid=400822622"", ""GRADE 11!U""&amp;ROW(U66))"),"")</f>
        <v/>
      </c>
      <c r="X69" s="119">
        <f>IFERROR(__xludf.DUMMYFUNCTION("IMPORTRANGE(""https://docs.google.com/spreadsheets/d/1CaLR8gtRCp0-wyyH0y5IvQnenreOSKFOo8AF4Pfpekc/edit?gid=400822622#gid=400822622"", ""GRADE 11!V""&amp;ROW(V66))"),0.0)</f>
        <v>0</v>
      </c>
      <c r="Y69" s="119" t="str">
        <f>IFERROR(__xludf.DUMMYFUNCTION("IMPORTRANGE(""https://docs.google.com/spreadsheets/d/1CaLR8gtRCp0-wyyH0y5IvQnenreOSKFOo8AF4Pfpekc/edit?gid=400822622#gid=400822622"", ""GRADE 11!W""&amp;ROW(W66))"),"")</f>
        <v/>
      </c>
      <c r="Z69" s="120">
        <f>IFERROR(__xludf.DUMMYFUNCTION("IMPORTRANGE(""https://docs.google.com/spreadsheets/d/1CaLR8gtRCp0-wyyH0y5IvQnenreOSKFOo8AF4Pfpekc/edit?gid=400822622#gid=400822622"", ""GRADE 11!X""&amp;ROW(X66))"),8.0)</f>
        <v>8</v>
      </c>
      <c r="AA69" s="121">
        <f>IFERROR(__xludf.DUMMYFUNCTION("IMPORTRANGE(""https://docs.google.com/spreadsheets/d/1CaLR8gtRCp0-wyyH0y5IvQnenreOSKFOo8AF4Pfpekc/edit?gid=400822622#gid=400822622"", ""GRADE 11!Y""&amp;ROW(Y66))"),0.0)</f>
        <v>0</v>
      </c>
      <c r="AB69" s="39">
        <f>IFERROR(__xludf.DUMMYFUNCTION("IMPORTRANGE(""https://docs.google.com/spreadsheets/d/1CaLR8gtRCp0-wyyH0y5IvQnenreOSKFOo8AF4Pfpekc/edit?gid=400822622#gid=400822622"", ""GRADE 11!Z""&amp;ROW(Z66))"),0.0)</f>
        <v>0</v>
      </c>
    </row>
    <row r="70">
      <c r="A70" s="28" t="s">
        <v>19</v>
      </c>
      <c r="B70" s="29">
        <v>60.0</v>
      </c>
      <c r="C70" s="30" t="s">
        <v>149</v>
      </c>
      <c r="D70" s="118" t="s">
        <v>141</v>
      </c>
      <c r="E70" s="32" t="s">
        <v>150</v>
      </c>
      <c r="F70" s="32" t="s">
        <v>27</v>
      </c>
      <c r="G70" s="34">
        <v>25.0</v>
      </c>
      <c r="H70" s="34">
        <v>11.0</v>
      </c>
      <c r="I70" s="35">
        <f t="shared" si="1"/>
        <v>36</v>
      </c>
      <c r="J70" s="119">
        <f>IFERROR(__xludf.DUMMYFUNCTION("IMPORTRANGE(""https://docs.google.com/spreadsheets/d/1CaLR8gtRCp0-wyyH0y5IvQnenreOSKFOo8AF4Pfpekc/edit?gid=400822622#gid=400822622"", ""GRADE 11!H""&amp;ROW(H67))"),0.0)</f>
        <v>0</v>
      </c>
      <c r="K70" s="119">
        <f>IFERROR(__xludf.DUMMYFUNCTION("IMPORTRANGE(""https://docs.google.com/spreadsheets/d/1CaLR8gtRCp0-wyyH0y5IvQnenreOSKFOo8AF4Pfpekc/edit?gid=400822622#gid=400822622"", ""GRADE 11!I""&amp;ROW(I67))"),0.0)</f>
        <v>0</v>
      </c>
      <c r="L70" s="119">
        <f>IFERROR(__xludf.DUMMYFUNCTION("IMPORTRANGE(""https://docs.google.com/spreadsheets/d/1CaLR8gtRCp0-wyyH0y5IvQnenreOSKFOo8AF4Pfpekc/edit?gid=400822622#gid=400822622"", ""GRADE 11!J""&amp;ROW(J67))"),0.0)</f>
        <v>0</v>
      </c>
      <c r="M70" s="119">
        <f>IFERROR(__xludf.DUMMYFUNCTION("IMPORTRANGE(""https://docs.google.com/spreadsheets/d/1CaLR8gtRCp0-wyyH0y5IvQnenreOSKFOo8AF4Pfpekc/edit?gid=400822622#gid=400822622"", ""GRADE 11!K""&amp;ROW(K67))"),0.0)</f>
        <v>0</v>
      </c>
      <c r="N70" s="119">
        <f>IFERROR(__xludf.DUMMYFUNCTION("IMPORTRANGE(""https://docs.google.com/spreadsheets/d/1CaLR8gtRCp0-wyyH0y5IvQnenreOSKFOo8AF4Pfpekc/edit?gid=400822622#gid=400822622"", ""GRADE 11!L""&amp;ROW(L67))"),0.0)</f>
        <v>0</v>
      </c>
      <c r="O70" s="119">
        <f>IFERROR(__xludf.DUMMYFUNCTION("IMPORTRANGE(""https://docs.google.com/spreadsheets/d/1CaLR8gtRCp0-wyyH0y5IvQnenreOSKFOo8AF4Pfpekc/edit?gid=400822622#gid=400822622"", ""GRADE 11!M""&amp;ROW(M67))"),0.0)</f>
        <v>0</v>
      </c>
      <c r="P70" s="119" t="str">
        <f>IFERROR(__xludf.DUMMYFUNCTION("IMPORTRANGE(""https://docs.google.com/spreadsheets/d/1CaLR8gtRCp0-wyyH0y5IvQnenreOSKFOo8AF4Pfpekc/edit?gid=400822622#gid=400822622"", ""GRADE 11!N""&amp;ROW(N67))"),"")</f>
        <v/>
      </c>
      <c r="Q70" s="119">
        <f>IFERROR(__xludf.DUMMYFUNCTION("IMPORTRANGE(""https://docs.google.com/spreadsheets/d/1CaLR8gtRCp0-wyyH0y5IvQnenreOSKFOo8AF4Pfpekc/edit?gid=400822622#gid=400822622"", ""GRADE 11!O""&amp;ROW(O67))"),0.0)</f>
        <v>0</v>
      </c>
      <c r="R70" s="119" t="str">
        <f>IFERROR(__xludf.DUMMYFUNCTION("IMPORTRANGE(""https://docs.google.com/spreadsheets/d/1CaLR8gtRCp0-wyyH0y5IvQnenreOSKFOo8AF4Pfpekc/edit?gid=400822622#gid=400822622"", ""GRADE 11!P""&amp;ROW(P67))"),"")</f>
        <v/>
      </c>
      <c r="S70" s="119" t="str">
        <f>IFERROR(__xludf.DUMMYFUNCTION("IMPORTRANGE(""https://docs.google.com/spreadsheets/d/1CaLR8gtRCp0-wyyH0y5IvQnenreOSKFOo8AF4Pfpekc/edit?gid=400822622#gid=400822622"", ""GRADE 11!Q""&amp;ROW(Q67))"),"")</f>
        <v/>
      </c>
      <c r="T70" s="119" t="str">
        <f>IFERROR(__xludf.DUMMYFUNCTION("IMPORTRANGE(""https://docs.google.com/spreadsheets/d/1CaLR8gtRCp0-wyyH0y5IvQnenreOSKFOo8AF4Pfpekc/edit?gid=400822622#gid=400822622"", ""GRADE 11!R""&amp;ROW(R67))"),"")</f>
        <v/>
      </c>
      <c r="U70" s="119" t="str">
        <f>IFERROR(__xludf.DUMMYFUNCTION("IMPORTRANGE(""https://docs.google.com/spreadsheets/d/1CaLR8gtRCp0-wyyH0y5IvQnenreOSKFOo8AF4Pfpekc/edit?gid=400822622#gid=400822622"", ""GRADE 11!S""&amp;ROW(S67))"),"")</f>
        <v/>
      </c>
      <c r="V70" s="119" t="str">
        <f>IFERROR(__xludf.DUMMYFUNCTION("IMPORTRANGE(""https://docs.google.com/spreadsheets/d/1CaLR8gtRCp0-wyyH0y5IvQnenreOSKFOo8AF4Pfpekc/edit?gid=400822622#gid=400822622"", ""GRADE 11!T""&amp;ROW(T67))"),"")</f>
        <v/>
      </c>
      <c r="W70" s="119" t="str">
        <f>IFERROR(__xludf.DUMMYFUNCTION("IMPORTRANGE(""https://docs.google.com/spreadsheets/d/1CaLR8gtRCp0-wyyH0y5IvQnenreOSKFOo8AF4Pfpekc/edit?gid=400822622#gid=400822622"", ""GRADE 11!U""&amp;ROW(U67))"),"")</f>
        <v/>
      </c>
      <c r="X70" s="119">
        <f>IFERROR(__xludf.DUMMYFUNCTION("IMPORTRANGE(""https://docs.google.com/spreadsheets/d/1CaLR8gtRCp0-wyyH0y5IvQnenreOSKFOo8AF4Pfpekc/edit?gid=400822622#gid=400822622"", ""GRADE 11!V""&amp;ROW(V67))"),0.0)</f>
        <v>0</v>
      </c>
      <c r="Y70" s="119" t="str">
        <f>IFERROR(__xludf.DUMMYFUNCTION("IMPORTRANGE(""https://docs.google.com/spreadsheets/d/1CaLR8gtRCp0-wyyH0y5IvQnenreOSKFOo8AF4Pfpekc/edit?gid=400822622#gid=400822622"", ""GRADE 11!W""&amp;ROW(W67))"),"")</f>
        <v/>
      </c>
      <c r="Z70" s="120">
        <f>IFERROR(__xludf.DUMMYFUNCTION("IMPORTRANGE(""https://docs.google.com/spreadsheets/d/1CaLR8gtRCp0-wyyH0y5IvQnenreOSKFOo8AF4Pfpekc/edit?gid=400822622#gid=400822622"", ""GRADE 11!X""&amp;ROW(X67))"),8.0)</f>
        <v>8</v>
      </c>
      <c r="AA70" s="121">
        <f>IFERROR(__xludf.DUMMYFUNCTION("IMPORTRANGE(""https://docs.google.com/spreadsheets/d/1CaLR8gtRCp0-wyyH0y5IvQnenreOSKFOo8AF4Pfpekc/edit?gid=400822622#gid=400822622"", ""GRADE 11!Y""&amp;ROW(Y67))"),0.0)</f>
        <v>0</v>
      </c>
      <c r="AB70" s="39">
        <f>IFERROR(__xludf.DUMMYFUNCTION("IMPORTRANGE(""https://docs.google.com/spreadsheets/d/1CaLR8gtRCp0-wyyH0y5IvQnenreOSKFOo8AF4Pfpekc/edit?gid=400822622#gid=400822622"", ""GRADE 11!Z""&amp;ROW(Z67))"),0.0)</f>
        <v>0</v>
      </c>
    </row>
    <row r="71">
      <c r="A71" s="28" t="s">
        <v>19</v>
      </c>
      <c r="B71" s="29">
        <v>61.0</v>
      </c>
      <c r="C71" s="30" t="s">
        <v>151</v>
      </c>
      <c r="D71" s="118" t="s">
        <v>141</v>
      </c>
      <c r="E71" s="32" t="s">
        <v>152</v>
      </c>
      <c r="F71" s="32" t="s">
        <v>72</v>
      </c>
      <c r="G71" s="34">
        <v>25.0</v>
      </c>
      <c r="H71" s="34">
        <v>8.0</v>
      </c>
      <c r="I71" s="35">
        <f t="shared" si="1"/>
        <v>33</v>
      </c>
      <c r="J71" s="119" t="str">
        <f>IFERROR(__xludf.DUMMYFUNCTION("IMPORTRANGE(""https://docs.google.com/spreadsheets/d/1CaLR8gtRCp0-wyyH0y5IvQnenreOSKFOo8AF4Pfpekc/edit?gid=400822622#gid=400822622"", ""GRADE 11!H""&amp;ROW(H68))"),"")</f>
        <v/>
      </c>
      <c r="K71" s="119" t="str">
        <f>IFERROR(__xludf.DUMMYFUNCTION("IMPORTRANGE(""https://docs.google.com/spreadsheets/d/1CaLR8gtRCp0-wyyH0y5IvQnenreOSKFOo8AF4Pfpekc/edit?gid=400822622#gid=400822622"", ""GRADE 11!I""&amp;ROW(I68))"),"")</f>
        <v/>
      </c>
      <c r="L71" s="119" t="str">
        <f>IFERROR(__xludf.DUMMYFUNCTION("IMPORTRANGE(""https://docs.google.com/spreadsheets/d/1CaLR8gtRCp0-wyyH0y5IvQnenreOSKFOo8AF4Pfpekc/edit?gid=400822622#gid=400822622"", ""GRADE 11!J""&amp;ROW(J68))"),"")</f>
        <v/>
      </c>
      <c r="M71" s="119" t="str">
        <f>IFERROR(__xludf.DUMMYFUNCTION("IMPORTRANGE(""https://docs.google.com/spreadsheets/d/1CaLR8gtRCp0-wyyH0y5IvQnenreOSKFOo8AF4Pfpekc/edit?gid=400822622#gid=400822622"", ""GRADE 11!K""&amp;ROW(K68))"),"")</f>
        <v/>
      </c>
      <c r="N71" s="119" t="str">
        <f>IFERROR(__xludf.DUMMYFUNCTION("IMPORTRANGE(""https://docs.google.com/spreadsheets/d/1CaLR8gtRCp0-wyyH0y5IvQnenreOSKFOo8AF4Pfpekc/edit?gid=400822622#gid=400822622"", ""GRADE 11!L""&amp;ROW(L68))"),"")</f>
        <v/>
      </c>
      <c r="O71" s="119" t="str">
        <f>IFERROR(__xludf.DUMMYFUNCTION("IMPORTRANGE(""https://docs.google.com/spreadsheets/d/1CaLR8gtRCp0-wyyH0y5IvQnenreOSKFOo8AF4Pfpekc/edit?gid=400822622#gid=400822622"", ""GRADE 11!M""&amp;ROW(M68))"),"")</f>
        <v/>
      </c>
      <c r="P71" s="119" t="str">
        <f>IFERROR(__xludf.DUMMYFUNCTION("IMPORTRANGE(""https://docs.google.com/spreadsheets/d/1CaLR8gtRCp0-wyyH0y5IvQnenreOSKFOo8AF4Pfpekc/edit?gid=400822622#gid=400822622"", ""GRADE 11!N""&amp;ROW(N68))"),"")</f>
        <v/>
      </c>
      <c r="Q71" s="119" t="str">
        <f>IFERROR(__xludf.DUMMYFUNCTION("IMPORTRANGE(""https://docs.google.com/spreadsheets/d/1CaLR8gtRCp0-wyyH0y5IvQnenreOSKFOo8AF4Pfpekc/edit?gid=400822622#gid=400822622"", ""GRADE 11!O""&amp;ROW(O68))"),"")</f>
        <v/>
      </c>
      <c r="R71" s="119">
        <f>IFERROR(__xludf.DUMMYFUNCTION("IMPORTRANGE(""https://docs.google.com/spreadsheets/d/1CaLR8gtRCp0-wyyH0y5IvQnenreOSKFOo8AF4Pfpekc/edit?gid=400822622#gid=400822622"", ""GRADE 11!P""&amp;ROW(P68))"),0.0)</f>
        <v>0</v>
      </c>
      <c r="S71" s="119">
        <f>IFERROR(__xludf.DUMMYFUNCTION("IMPORTRANGE(""https://docs.google.com/spreadsheets/d/1CaLR8gtRCp0-wyyH0y5IvQnenreOSKFOo8AF4Pfpekc/edit?gid=400822622#gid=400822622"", ""GRADE 11!Q""&amp;ROW(Q68))"),0.0)</f>
        <v>0</v>
      </c>
      <c r="T71" s="119">
        <f>IFERROR(__xludf.DUMMYFUNCTION("IMPORTRANGE(""https://docs.google.com/spreadsheets/d/1CaLR8gtRCp0-wyyH0y5IvQnenreOSKFOo8AF4Pfpekc/edit?gid=400822622#gid=400822622"", ""GRADE 11!R""&amp;ROW(R68))"),0.0)</f>
        <v>0</v>
      </c>
      <c r="U71" s="119">
        <f>IFERROR(__xludf.DUMMYFUNCTION("IMPORTRANGE(""https://docs.google.com/spreadsheets/d/1CaLR8gtRCp0-wyyH0y5IvQnenreOSKFOo8AF4Pfpekc/edit?gid=400822622#gid=400822622"", ""GRADE 11!S""&amp;ROW(S68))"),0.0)</f>
        <v>0</v>
      </c>
      <c r="V71" s="119">
        <f>IFERROR(__xludf.DUMMYFUNCTION("IMPORTRANGE(""https://docs.google.com/spreadsheets/d/1CaLR8gtRCp0-wyyH0y5IvQnenreOSKFOo8AF4Pfpekc/edit?gid=400822622#gid=400822622"", ""GRADE 11!T""&amp;ROW(T68))"),0.0)</f>
        <v>0</v>
      </c>
      <c r="W71" s="119">
        <f>IFERROR(__xludf.DUMMYFUNCTION("IMPORTRANGE(""https://docs.google.com/spreadsheets/d/1CaLR8gtRCp0-wyyH0y5IvQnenreOSKFOo8AF4Pfpekc/edit?gid=400822622#gid=400822622"", ""GRADE 11!U""&amp;ROW(U68))"),0.0)</f>
        <v>0</v>
      </c>
      <c r="X71" s="119">
        <f>IFERROR(__xludf.DUMMYFUNCTION("IMPORTRANGE(""https://docs.google.com/spreadsheets/d/1CaLR8gtRCp0-wyyH0y5IvQnenreOSKFOo8AF4Pfpekc/edit?gid=400822622#gid=400822622"", ""GRADE 11!V""&amp;ROW(V68))"),0.0)</f>
        <v>0</v>
      </c>
      <c r="Y71" s="119" t="str">
        <f>IFERROR(__xludf.DUMMYFUNCTION("IMPORTRANGE(""https://docs.google.com/spreadsheets/d/1CaLR8gtRCp0-wyyH0y5IvQnenreOSKFOo8AF4Pfpekc/edit?gid=400822622#gid=400822622"", ""GRADE 11!W""&amp;ROW(W68))"),"")</f>
        <v/>
      </c>
      <c r="Z71" s="120">
        <f>IFERROR(__xludf.DUMMYFUNCTION("IMPORTRANGE(""https://docs.google.com/spreadsheets/d/1CaLR8gtRCp0-wyyH0y5IvQnenreOSKFOo8AF4Pfpekc/edit?gid=400822622#gid=400822622"", ""GRADE 11!X""&amp;ROW(X68))"),7.0)</f>
        <v>7</v>
      </c>
      <c r="AA71" s="121">
        <f>IFERROR(__xludf.DUMMYFUNCTION("IMPORTRANGE(""https://docs.google.com/spreadsheets/d/1CaLR8gtRCp0-wyyH0y5IvQnenreOSKFOo8AF4Pfpekc/edit?gid=400822622#gid=400822622"", ""GRADE 11!Y""&amp;ROW(Y68))"),0.0)</f>
        <v>0</v>
      </c>
      <c r="AB71" s="39">
        <f>IFERROR(__xludf.DUMMYFUNCTION("IMPORTRANGE(""https://docs.google.com/spreadsheets/d/1CaLR8gtRCp0-wyyH0y5IvQnenreOSKFOo8AF4Pfpekc/edit?gid=400822622#gid=400822622"", ""GRADE 11!Z""&amp;ROW(Z68))"),0.0)</f>
        <v>0</v>
      </c>
    </row>
    <row r="72">
      <c r="A72" s="28" t="s">
        <v>19</v>
      </c>
      <c r="B72" s="29">
        <v>62.0</v>
      </c>
      <c r="C72" s="30" t="s">
        <v>153</v>
      </c>
      <c r="D72" s="118" t="s">
        <v>141</v>
      </c>
      <c r="E72" s="32" t="s">
        <v>154</v>
      </c>
      <c r="F72" s="32" t="s">
        <v>27</v>
      </c>
      <c r="G72" s="34">
        <v>31.0</v>
      </c>
      <c r="H72" s="34">
        <v>7.0</v>
      </c>
      <c r="I72" s="35">
        <f t="shared" si="1"/>
        <v>38</v>
      </c>
      <c r="J72" s="119" t="str">
        <f>IFERROR(__xludf.DUMMYFUNCTION("IMPORTRANGE(""https://docs.google.com/spreadsheets/d/1CaLR8gtRCp0-wyyH0y5IvQnenreOSKFOo8AF4Pfpekc/edit?gid=400822622#gid=400822622"", ""GRADE 11!H""&amp;ROW(H69))"),"")</f>
        <v/>
      </c>
      <c r="K72" s="119" t="str">
        <f>IFERROR(__xludf.DUMMYFUNCTION("IMPORTRANGE(""https://docs.google.com/spreadsheets/d/1CaLR8gtRCp0-wyyH0y5IvQnenreOSKFOo8AF4Pfpekc/edit?gid=400822622#gid=400822622"", ""GRADE 11!I""&amp;ROW(I69))"),"")</f>
        <v/>
      </c>
      <c r="L72" s="119" t="str">
        <f>IFERROR(__xludf.DUMMYFUNCTION("IMPORTRANGE(""https://docs.google.com/spreadsheets/d/1CaLR8gtRCp0-wyyH0y5IvQnenreOSKFOo8AF4Pfpekc/edit?gid=400822622#gid=400822622"", ""GRADE 11!J""&amp;ROW(J69))"),"")</f>
        <v/>
      </c>
      <c r="M72" s="119" t="str">
        <f>IFERROR(__xludf.DUMMYFUNCTION("IMPORTRANGE(""https://docs.google.com/spreadsheets/d/1CaLR8gtRCp0-wyyH0y5IvQnenreOSKFOo8AF4Pfpekc/edit?gid=400822622#gid=400822622"", ""GRADE 11!K""&amp;ROW(K69))"),"")</f>
        <v/>
      </c>
      <c r="N72" s="119" t="str">
        <f>IFERROR(__xludf.DUMMYFUNCTION("IMPORTRANGE(""https://docs.google.com/spreadsheets/d/1CaLR8gtRCp0-wyyH0y5IvQnenreOSKFOo8AF4Pfpekc/edit?gid=400822622#gid=400822622"", ""GRADE 11!L""&amp;ROW(L69))"),"")</f>
        <v/>
      </c>
      <c r="O72" s="119" t="str">
        <f>IFERROR(__xludf.DUMMYFUNCTION("IMPORTRANGE(""https://docs.google.com/spreadsheets/d/1CaLR8gtRCp0-wyyH0y5IvQnenreOSKFOo8AF4Pfpekc/edit?gid=400822622#gid=400822622"", ""GRADE 11!M""&amp;ROW(M69))"),"")</f>
        <v/>
      </c>
      <c r="P72" s="119" t="str">
        <f>IFERROR(__xludf.DUMMYFUNCTION("IMPORTRANGE(""https://docs.google.com/spreadsheets/d/1CaLR8gtRCp0-wyyH0y5IvQnenreOSKFOo8AF4Pfpekc/edit?gid=400822622#gid=400822622"", ""GRADE 11!N""&amp;ROW(N69))"),"")</f>
        <v/>
      </c>
      <c r="Q72" s="119" t="str">
        <f>IFERROR(__xludf.DUMMYFUNCTION("IMPORTRANGE(""https://docs.google.com/spreadsheets/d/1CaLR8gtRCp0-wyyH0y5IvQnenreOSKFOo8AF4Pfpekc/edit?gid=400822622#gid=400822622"", ""GRADE 11!O""&amp;ROW(O69))"),"")</f>
        <v/>
      </c>
      <c r="R72" s="119">
        <f>IFERROR(__xludf.DUMMYFUNCTION("IMPORTRANGE(""https://docs.google.com/spreadsheets/d/1CaLR8gtRCp0-wyyH0y5IvQnenreOSKFOo8AF4Pfpekc/edit?gid=400822622#gid=400822622"", ""GRADE 11!P""&amp;ROW(P69))"),0.0)</f>
        <v>0</v>
      </c>
      <c r="S72" s="119">
        <f>IFERROR(__xludf.DUMMYFUNCTION("IMPORTRANGE(""https://docs.google.com/spreadsheets/d/1CaLR8gtRCp0-wyyH0y5IvQnenreOSKFOo8AF4Pfpekc/edit?gid=400822622#gid=400822622"", ""GRADE 11!Q""&amp;ROW(Q69))"),0.0)</f>
        <v>0</v>
      </c>
      <c r="T72" s="119">
        <f>IFERROR(__xludf.DUMMYFUNCTION("IMPORTRANGE(""https://docs.google.com/spreadsheets/d/1CaLR8gtRCp0-wyyH0y5IvQnenreOSKFOo8AF4Pfpekc/edit?gid=400822622#gid=400822622"", ""GRADE 11!R""&amp;ROW(R69))"),0.0)</f>
        <v>0</v>
      </c>
      <c r="U72" s="119">
        <f>IFERROR(__xludf.DUMMYFUNCTION("IMPORTRANGE(""https://docs.google.com/spreadsheets/d/1CaLR8gtRCp0-wyyH0y5IvQnenreOSKFOo8AF4Pfpekc/edit?gid=400822622#gid=400822622"", ""GRADE 11!S""&amp;ROW(S69))"),0.0)</f>
        <v>0</v>
      </c>
      <c r="V72" s="119">
        <f>IFERROR(__xludf.DUMMYFUNCTION("IMPORTRANGE(""https://docs.google.com/spreadsheets/d/1CaLR8gtRCp0-wyyH0y5IvQnenreOSKFOo8AF4Pfpekc/edit?gid=400822622#gid=400822622"", ""GRADE 11!T""&amp;ROW(T69))"),0.0)</f>
        <v>0</v>
      </c>
      <c r="W72" s="119">
        <f>IFERROR(__xludf.DUMMYFUNCTION("IMPORTRANGE(""https://docs.google.com/spreadsheets/d/1CaLR8gtRCp0-wyyH0y5IvQnenreOSKFOo8AF4Pfpekc/edit?gid=400822622#gid=400822622"", ""GRADE 11!U""&amp;ROW(U69))"),0.0)</f>
        <v>0</v>
      </c>
      <c r="X72" s="119">
        <f>IFERROR(__xludf.DUMMYFUNCTION("IMPORTRANGE(""https://docs.google.com/spreadsheets/d/1CaLR8gtRCp0-wyyH0y5IvQnenreOSKFOo8AF4Pfpekc/edit?gid=400822622#gid=400822622"", ""GRADE 11!V""&amp;ROW(V69))"),0.0)</f>
        <v>0</v>
      </c>
      <c r="Y72" s="119" t="str">
        <f>IFERROR(__xludf.DUMMYFUNCTION("IMPORTRANGE(""https://docs.google.com/spreadsheets/d/1CaLR8gtRCp0-wyyH0y5IvQnenreOSKFOo8AF4Pfpekc/edit?gid=400822622#gid=400822622"", ""GRADE 11!W""&amp;ROW(W69))"),"")</f>
        <v/>
      </c>
      <c r="Z72" s="120">
        <f>IFERROR(__xludf.DUMMYFUNCTION("IMPORTRANGE(""https://docs.google.com/spreadsheets/d/1CaLR8gtRCp0-wyyH0y5IvQnenreOSKFOo8AF4Pfpekc/edit?gid=400822622#gid=400822622"", ""GRADE 11!X""&amp;ROW(X69))"),7.0)</f>
        <v>7</v>
      </c>
      <c r="AA72" s="121">
        <f>IFERROR(__xludf.DUMMYFUNCTION("IMPORTRANGE(""https://docs.google.com/spreadsheets/d/1CaLR8gtRCp0-wyyH0y5IvQnenreOSKFOo8AF4Pfpekc/edit?gid=400822622#gid=400822622"", ""GRADE 11!Y""&amp;ROW(Y69))"),0.0)</f>
        <v>0</v>
      </c>
      <c r="AB72" s="39">
        <f>IFERROR(__xludf.DUMMYFUNCTION("IMPORTRANGE(""https://docs.google.com/spreadsheets/d/1CaLR8gtRCp0-wyyH0y5IvQnenreOSKFOo8AF4Pfpekc/edit?gid=400822622#gid=400822622"", ""GRADE 11!Z""&amp;ROW(Z69))"),0.0)</f>
        <v>0</v>
      </c>
    </row>
    <row r="73">
      <c r="A73" s="28" t="s">
        <v>19</v>
      </c>
      <c r="B73" s="29">
        <v>63.0</v>
      </c>
      <c r="C73" s="30" t="s">
        <v>155</v>
      </c>
      <c r="D73" s="118" t="s">
        <v>141</v>
      </c>
      <c r="E73" s="32" t="s">
        <v>156</v>
      </c>
      <c r="F73" s="32" t="s">
        <v>55</v>
      </c>
      <c r="G73" s="34">
        <v>26.0</v>
      </c>
      <c r="H73" s="34">
        <v>7.0</v>
      </c>
      <c r="I73" s="35">
        <f t="shared" si="1"/>
        <v>33</v>
      </c>
      <c r="J73" s="119" t="str">
        <f>IFERROR(__xludf.DUMMYFUNCTION("IMPORTRANGE(""https://docs.google.com/spreadsheets/d/1CaLR8gtRCp0-wyyH0y5IvQnenreOSKFOo8AF4Pfpekc/edit?gid=400822622#gid=400822622"", ""GRADE 11!H""&amp;ROW(H70))"),"")</f>
        <v/>
      </c>
      <c r="K73" s="119" t="str">
        <f>IFERROR(__xludf.DUMMYFUNCTION("IMPORTRANGE(""https://docs.google.com/spreadsheets/d/1CaLR8gtRCp0-wyyH0y5IvQnenreOSKFOo8AF4Pfpekc/edit?gid=400822622#gid=400822622"", ""GRADE 11!I""&amp;ROW(I70))"),"")</f>
        <v/>
      </c>
      <c r="L73" s="119" t="str">
        <f>IFERROR(__xludf.DUMMYFUNCTION("IMPORTRANGE(""https://docs.google.com/spreadsheets/d/1CaLR8gtRCp0-wyyH0y5IvQnenreOSKFOo8AF4Pfpekc/edit?gid=400822622#gid=400822622"", ""GRADE 11!J""&amp;ROW(J70))"),"")</f>
        <v/>
      </c>
      <c r="M73" s="119" t="str">
        <f>IFERROR(__xludf.DUMMYFUNCTION("IMPORTRANGE(""https://docs.google.com/spreadsheets/d/1CaLR8gtRCp0-wyyH0y5IvQnenreOSKFOo8AF4Pfpekc/edit?gid=400822622#gid=400822622"", ""GRADE 11!K""&amp;ROW(K70))"),"")</f>
        <v/>
      </c>
      <c r="N73" s="119" t="str">
        <f>IFERROR(__xludf.DUMMYFUNCTION("IMPORTRANGE(""https://docs.google.com/spreadsheets/d/1CaLR8gtRCp0-wyyH0y5IvQnenreOSKFOo8AF4Pfpekc/edit?gid=400822622#gid=400822622"", ""GRADE 11!L""&amp;ROW(L70))"),"")</f>
        <v/>
      </c>
      <c r="O73" s="119" t="str">
        <f>IFERROR(__xludf.DUMMYFUNCTION("IMPORTRANGE(""https://docs.google.com/spreadsheets/d/1CaLR8gtRCp0-wyyH0y5IvQnenreOSKFOo8AF4Pfpekc/edit?gid=400822622#gid=400822622"", ""GRADE 11!M""&amp;ROW(M70))"),"")</f>
        <v/>
      </c>
      <c r="P73" s="119" t="str">
        <f>IFERROR(__xludf.DUMMYFUNCTION("IMPORTRANGE(""https://docs.google.com/spreadsheets/d/1CaLR8gtRCp0-wyyH0y5IvQnenreOSKFOo8AF4Pfpekc/edit?gid=400822622#gid=400822622"", ""GRADE 11!N""&amp;ROW(N70))"),"")</f>
        <v/>
      </c>
      <c r="Q73" s="119" t="str">
        <f>IFERROR(__xludf.DUMMYFUNCTION("IMPORTRANGE(""https://docs.google.com/spreadsheets/d/1CaLR8gtRCp0-wyyH0y5IvQnenreOSKFOo8AF4Pfpekc/edit?gid=400822622#gid=400822622"", ""GRADE 11!O""&amp;ROW(O70))"),"")</f>
        <v/>
      </c>
      <c r="R73" s="119">
        <f>IFERROR(__xludf.DUMMYFUNCTION("IMPORTRANGE(""https://docs.google.com/spreadsheets/d/1CaLR8gtRCp0-wyyH0y5IvQnenreOSKFOo8AF4Pfpekc/edit?gid=400822622#gid=400822622"", ""GRADE 11!P""&amp;ROW(P70))"),0.0)</f>
        <v>0</v>
      </c>
      <c r="S73" s="119">
        <f>IFERROR(__xludf.DUMMYFUNCTION("IMPORTRANGE(""https://docs.google.com/spreadsheets/d/1CaLR8gtRCp0-wyyH0y5IvQnenreOSKFOo8AF4Pfpekc/edit?gid=400822622#gid=400822622"", ""GRADE 11!Q""&amp;ROW(Q70))"),0.0)</f>
        <v>0</v>
      </c>
      <c r="T73" s="119">
        <f>IFERROR(__xludf.DUMMYFUNCTION("IMPORTRANGE(""https://docs.google.com/spreadsheets/d/1CaLR8gtRCp0-wyyH0y5IvQnenreOSKFOo8AF4Pfpekc/edit?gid=400822622#gid=400822622"", ""GRADE 11!R""&amp;ROW(R70))"),0.0)</f>
        <v>0</v>
      </c>
      <c r="U73" s="119">
        <f>IFERROR(__xludf.DUMMYFUNCTION("IMPORTRANGE(""https://docs.google.com/spreadsheets/d/1CaLR8gtRCp0-wyyH0y5IvQnenreOSKFOo8AF4Pfpekc/edit?gid=400822622#gid=400822622"", ""GRADE 11!S""&amp;ROW(S70))"),0.0)</f>
        <v>0</v>
      </c>
      <c r="V73" s="119">
        <f>IFERROR(__xludf.DUMMYFUNCTION("IMPORTRANGE(""https://docs.google.com/spreadsheets/d/1CaLR8gtRCp0-wyyH0y5IvQnenreOSKFOo8AF4Pfpekc/edit?gid=400822622#gid=400822622"", ""GRADE 11!T""&amp;ROW(T70))"),0.0)</f>
        <v>0</v>
      </c>
      <c r="W73" s="119">
        <f>IFERROR(__xludf.DUMMYFUNCTION("IMPORTRANGE(""https://docs.google.com/spreadsheets/d/1CaLR8gtRCp0-wyyH0y5IvQnenreOSKFOo8AF4Pfpekc/edit?gid=400822622#gid=400822622"", ""GRADE 11!U""&amp;ROW(U70))"),0.0)</f>
        <v>0</v>
      </c>
      <c r="X73" s="119">
        <f>IFERROR(__xludf.DUMMYFUNCTION("IMPORTRANGE(""https://docs.google.com/spreadsheets/d/1CaLR8gtRCp0-wyyH0y5IvQnenreOSKFOo8AF4Pfpekc/edit?gid=400822622#gid=400822622"", ""GRADE 11!V""&amp;ROW(V70))"),0.0)</f>
        <v>0</v>
      </c>
      <c r="Y73" s="119" t="str">
        <f>IFERROR(__xludf.DUMMYFUNCTION("IMPORTRANGE(""https://docs.google.com/spreadsheets/d/1CaLR8gtRCp0-wyyH0y5IvQnenreOSKFOo8AF4Pfpekc/edit?gid=400822622#gid=400822622"", ""GRADE 11!W""&amp;ROW(W70))"),"")</f>
        <v/>
      </c>
      <c r="Z73" s="120">
        <f>IFERROR(__xludf.DUMMYFUNCTION("IMPORTRANGE(""https://docs.google.com/spreadsheets/d/1CaLR8gtRCp0-wyyH0y5IvQnenreOSKFOo8AF4Pfpekc/edit?gid=400822622#gid=400822622"", ""GRADE 11!X""&amp;ROW(X70))"),7.0)</f>
        <v>7</v>
      </c>
      <c r="AA73" s="121">
        <f>IFERROR(__xludf.DUMMYFUNCTION("IMPORTRANGE(""https://docs.google.com/spreadsheets/d/1CaLR8gtRCp0-wyyH0y5IvQnenreOSKFOo8AF4Pfpekc/edit?gid=400822622#gid=400822622"", ""GRADE 11!Y""&amp;ROW(Y70))"),0.0)</f>
        <v>0</v>
      </c>
      <c r="AB73" s="39">
        <f>IFERROR(__xludf.DUMMYFUNCTION("IMPORTRANGE(""https://docs.google.com/spreadsheets/d/1CaLR8gtRCp0-wyyH0y5IvQnenreOSKFOo8AF4Pfpekc/edit?gid=400822622#gid=400822622"", ""GRADE 11!Z""&amp;ROW(Z70))"),0.0)</f>
        <v>0</v>
      </c>
    </row>
    <row r="74">
      <c r="A74" s="28" t="s">
        <v>19</v>
      </c>
      <c r="B74" s="29">
        <v>64.0</v>
      </c>
      <c r="C74" s="30" t="s">
        <v>157</v>
      </c>
      <c r="D74" s="118" t="s">
        <v>141</v>
      </c>
      <c r="E74" s="32" t="s">
        <v>158</v>
      </c>
      <c r="F74" s="32" t="s">
        <v>43</v>
      </c>
      <c r="G74" s="34">
        <v>23.0</v>
      </c>
      <c r="H74" s="34">
        <v>12.0</v>
      </c>
      <c r="I74" s="35">
        <f t="shared" si="1"/>
        <v>35</v>
      </c>
      <c r="J74" s="119" t="str">
        <f>IFERROR(__xludf.DUMMYFUNCTION("IMPORTRANGE(""https://docs.google.com/spreadsheets/d/1CaLR8gtRCp0-wyyH0y5IvQnenreOSKFOo8AF4Pfpekc/edit?gid=400822622#gid=400822622"", ""GRADE 11!H""&amp;ROW(H71))"),"")</f>
        <v/>
      </c>
      <c r="K74" s="119" t="str">
        <f>IFERROR(__xludf.DUMMYFUNCTION("IMPORTRANGE(""https://docs.google.com/spreadsheets/d/1CaLR8gtRCp0-wyyH0y5IvQnenreOSKFOo8AF4Pfpekc/edit?gid=400822622#gid=400822622"", ""GRADE 11!I""&amp;ROW(I71))"),"")</f>
        <v/>
      </c>
      <c r="L74" s="119" t="str">
        <f>IFERROR(__xludf.DUMMYFUNCTION("IMPORTRANGE(""https://docs.google.com/spreadsheets/d/1CaLR8gtRCp0-wyyH0y5IvQnenreOSKFOo8AF4Pfpekc/edit?gid=400822622#gid=400822622"", ""GRADE 11!J""&amp;ROW(J71))"),"")</f>
        <v/>
      </c>
      <c r="M74" s="119" t="str">
        <f>IFERROR(__xludf.DUMMYFUNCTION("IMPORTRANGE(""https://docs.google.com/spreadsheets/d/1CaLR8gtRCp0-wyyH0y5IvQnenreOSKFOo8AF4Pfpekc/edit?gid=400822622#gid=400822622"", ""GRADE 11!K""&amp;ROW(K71))"),"")</f>
        <v/>
      </c>
      <c r="N74" s="119" t="str">
        <f>IFERROR(__xludf.DUMMYFUNCTION("IMPORTRANGE(""https://docs.google.com/spreadsheets/d/1CaLR8gtRCp0-wyyH0y5IvQnenreOSKFOo8AF4Pfpekc/edit?gid=400822622#gid=400822622"", ""GRADE 11!L""&amp;ROW(L71))"),"")</f>
        <v/>
      </c>
      <c r="O74" s="119" t="str">
        <f>IFERROR(__xludf.DUMMYFUNCTION("IMPORTRANGE(""https://docs.google.com/spreadsheets/d/1CaLR8gtRCp0-wyyH0y5IvQnenreOSKFOo8AF4Pfpekc/edit?gid=400822622#gid=400822622"", ""GRADE 11!M""&amp;ROW(M71))"),"")</f>
        <v/>
      </c>
      <c r="P74" s="119" t="str">
        <f>IFERROR(__xludf.DUMMYFUNCTION("IMPORTRANGE(""https://docs.google.com/spreadsheets/d/1CaLR8gtRCp0-wyyH0y5IvQnenreOSKFOo8AF4Pfpekc/edit?gid=400822622#gid=400822622"", ""GRADE 11!N""&amp;ROW(N71))"),"")</f>
        <v/>
      </c>
      <c r="Q74" s="119" t="str">
        <f>IFERROR(__xludf.DUMMYFUNCTION("IMPORTRANGE(""https://docs.google.com/spreadsheets/d/1CaLR8gtRCp0-wyyH0y5IvQnenreOSKFOo8AF4Pfpekc/edit?gid=400822622#gid=400822622"", ""GRADE 11!O""&amp;ROW(O71))"),"")</f>
        <v/>
      </c>
      <c r="R74" s="119">
        <f>IFERROR(__xludf.DUMMYFUNCTION("IMPORTRANGE(""https://docs.google.com/spreadsheets/d/1CaLR8gtRCp0-wyyH0y5IvQnenreOSKFOo8AF4Pfpekc/edit?gid=400822622#gid=400822622"", ""GRADE 11!P""&amp;ROW(P71))"),0.0)</f>
        <v>0</v>
      </c>
      <c r="S74" s="119">
        <f>IFERROR(__xludf.DUMMYFUNCTION("IMPORTRANGE(""https://docs.google.com/spreadsheets/d/1CaLR8gtRCp0-wyyH0y5IvQnenreOSKFOo8AF4Pfpekc/edit?gid=400822622#gid=400822622"", ""GRADE 11!Q""&amp;ROW(Q71))"),0.0)</f>
        <v>0</v>
      </c>
      <c r="T74" s="119">
        <f>IFERROR(__xludf.DUMMYFUNCTION("IMPORTRANGE(""https://docs.google.com/spreadsheets/d/1CaLR8gtRCp0-wyyH0y5IvQnenreOSKFOo8AF4Pfpekc/edit?gid=400822622#gid=400822622"", ""GRADE 11!R""&amp;ROW(R71))"),0.0)</f>
        <v>0</v>
      </c>
      <c r="U74" s="119">
        <f>IFERROR(__xludf.DUMMYFUNCTION("IMPORTRANGE(""https://docs.google.com/spreadsheets/d/1CaLR8gtRCp0-wyyH0y5IvQnenreOSKFOo8AF4Pfpekc/edit?gid=400822622#gid=400822622"", ""GRADE 11!S""&amp;ROW(S71))"),0.0)</f>
        <v>0</v>
      </c>
      <c r="V74" s="119">
        <f>IFERROR(__xludf.DUMMYFUNCTION("IMPORTRANGE(""https://docs.google.com/spreadsheets/d/1CaLR8gtRCp0-wyyH0y5IvQnenreOSKFOo8AF4Pfpekc/edit?gid=400822622#gid=400822622"", ""GRADE 11!T""&amp;ROW(T71))"),0.0)</f>
        <v>0</v>
      </c>
      <c r="W74" s="119">
        <f>IFERROR(__xludf.DUMMYFUNCTION("IMPORTRANGE(""https://docs.google.com/spreadsheets/d/1CaLR8gtRCp0-wyyH0y5IvQnenreOSKFOo8AF4Pfpekc/edit?gid=400822622#gid=400822622"", ""GRADE 11!U""&amp;ROW(U71))"),0.0)</f>
        <v>0</v>
      </c>
      <c r="X74" s="119">
        <f>IFERROR(__xludf.DUMMYFUNCTION("IMPORTRANGE(""https://docs.google.com/spreadsheets/d/1CaLR8gtRCp0-wyyH0y5IvQnenreOSKFOo8AF4Pfpekc/edit?gid=400822622#gid=400822622"", ""GRADE 11!V""&amp;ROW(V71))"),0.0)</f>
        <v>0</v>
      </c>
      <c r="Y74" s="119" t="str">
        <f>IFERROR(__xludf.DUMMYFUNCTION("IMPORTRANGE(""https://docs.google.com/spreadsheets/d/1CaLR8gtRCp0-wyyH0y5IvQnenreOSKFOo8AF4Pfpekc/edit?gid=400822622#gid=400822622"", ""GRADE 11!W""&amp;ROW(W71))"),"")</f>
        <v/>
      </c>
      <c r="Z74" s="120">
        <f>IFERROR(__xludf.DUMMYFUNCTION("IMPORTRANGE(""https://docs.google.com/spreadsheets/d/1CaLR8gtRCp0-wyyH0y5IvQnenreOSKFOo8AF4Pfpekc/edit?gid=400822622#gid=400822622"", ""GRADE 11!X""&amp;ROW(X71))"),7.0)</f>
        <v>7</v>
      </c>
      <c r="AA74" s="121">
        <f>IFERROR(__xludf.DUMMYFUNCTION("IMPORTRANGE(""https://docs.google.com/spreadsheets/d/1CaLR8gtRCp0-wyyH0y5IvQnenreOSKFOo8AF4Pfpekc/edit?gid=400822622#gid=400822622"", ""GRADE 11!Y""&amp;ROW(Y71))"),0.0)</f>
        <v>0</v>
      </c>
      <c r="AB74" s="39">
        <f>IFERROR(__xludf.DUMMYFUNCTION("IMPORTRANGE(""https://docs.google.com/spreadsheets/d/1CaLR8gtRCp0-wyyH0y5IvQnenreOSKFOo8AF4Pfpekc/edit?gid=400822622#gid=400822622"", ""GRADE 11!Z""&amp;ROW(Z71))"),0.0)</f>
        <v>0</v>
      </c>
    </row>
    <row r="75">
      <c r="A75" s="28" t="s">
        <v>19</v>
      </c>
      <c r="B75" s="29">
        <v>65.0</v>
      </c>
      <c r="C75" s="30" t="s">
        <v>159</v>
      </c>
      <c r="D75" s="118" t="s">
        <v>160</v>
      </c>
      <c r="E75" s="32" t="s">
        <v>161</v>
      </c>
      <c r="F75" s="32" t="s">
        <v>27</v>
      </c>
      <c r="G75" s="34">
        <v>51.0</v>
      </c>
      <c r="H75" s="34">
        <v>0.0</v>
      </c>
      <c r="I75" s="35">
        <f t="shared" si="1"/>
        <v>51</v>
      </c>
      <c r="J75" s="119" t="str">
        <f>IFERROR(__xludf.DUMMYFUNCTION("IMPORTRANGE(""https://docs.google.com/spreadsheets/d/1CaLR8gtRCp0-wyyH0y5IvQnenreOSKFOo8AF4Pfpekc/edit?gid=400822622#gid=400822622"", ""GRADE 11!H""&amp;ROW(H72))"),"")</f>
        <v/>
      </c>
      <c r="K75" s="119" t="str">
        <f>IFERROR(__xludf.DUMMYFUNCTION("IMPORTRANGE(""https://docs.google.com/spreadsheets/d/1CaLR8gtRCp0-wyyH0y5IvQnenreOSKFOo8AF4Pfpekc/edit?gid=400822622#gid=400822622"", ""GRADE 11!I""&amp;ROW(I72))"),"")</f>
        <v/>
      </c>
      <c r="L75" s="119" t="str">
        <f>IFERROR(__xludf.DUMMYFUNCTION("IMPORTRANGE(""https://docs.google.com/spreadsheets/d/1CaLR8gtRCp0-wyyH0y5IvQnenreOSKFOo8AF4Pfpekc/edit?gid=400822622#gid=400822622"", ""GRADE 11!J""&amp;ROW(J72))"),"")</f>
        <v/>
      </c>
      <c r="M75" s="119" t="str">
        <f>IFERROR(__xludf.DUMMYFUNCTION("IMPORTRANGE(""https://docs.google.com/spreadsheets/d/1CaLR8gtRCp0-wyyH0y5IvQnenreOSKFOo8AF4Pfpekc/edit?gid=400822622#gid=400822622"", ""GRADE 11!K""&amp;ROW(K72))"),"")</f>
        <v/>
      </c>
      <c r="N75" s="119" t="str">
        <f>IFERROR(__xludf.DUMMYFUNCTION("IMPORTRANGE(""https://docs.google.com/spreadsheets/d/1CaLR8gtRCp0-wyyH0y5IvQnenreOSKFOo8AF4Pfpekc/edit?gid=400822622#gid=400822622"", ""GRADE 11!L""&amp;ROW(L72))"),"")</f>
        <v/>
      </c>
      <c r="O75" s="119" t="str">
        <f>IFERROR(__xludf.DUMMYFUNCTION("IMPORTRANGE(""https://docs.google.com/spreadsheets/d/1CaLR8gtRCp0-wyyH0y5IvQnenreOSKFOo8AF4Pfpekc/edit?gid=400822622#gid=400822622"", ""GRADE 11!M""&amp;ROW(M72))"),"")</f>
        <v/>
      </c>
      <c r="P75" s="119" t="str">
        <f>IFERROR(__xludf.DUMMYFUNCTION("IMPORTRANGE(""https://docs.google.com/spreadsheets/d/1CaLR8gtRCp0-wyyH0y5IvQnenreOSKFOo8AF4Pfpekc/edit?gid=400822622#gid=400822622"", ""GRADE 11!N""&amp;ROW(N72))"),"")</f>
        <v/>
      </c>
      <c r="Q75" s="119" t="str">
        <f>IFERROR(__xludf.DUMMYFUNCTION("IMPORTRANGE(""https://docs.google.com/spreadsheets/d/1CaLR8gtRCp0-wyyH0y5IvQnenreOSKFOo8AF4Pfpekc/edit?gid=400822622#gid=400822622"", ""GRADE 11!O""&amp;ROW(O72))"),"")</f>
        <v/>
      </c>
      <c r="R75" s="119">
        <f>IFERROR(__xludf.DUMMYFUNCTION("IMPORTRANGE(""https://docs.google.com/spreadsheets/d/1CaLR8gtRCp0-wyyH0y5IvQnenreOSKFOo8AF4Pfpekc/edit?gid=400822622#gid=400822622"", ""GRADE 11!P""&amp;ROW(P72))"),0.0)</f>
        <v>0</v>
      </c>
      <c r="S75" s="119">
        <f>IFERROR(__xludf.DUMMYFUNCTION("IMPORTRANGE(""https://docs.google.com/spreadsheets/d/1CaLR8gtRCp0-wyyH0y5IvQnenreOSKFOo8AF4Pfpekc/edit?gid=400822622#gid=400822622"", ""GRADE 11!Q""&amp;ROW(Q72))"),0.0)</f>
        <v>0</v>
      </c>
      <c r="T75" s="119">
        <f>IFERROR(__xludf.DUMMYFUNCTION("IMPORTRANGE(""https://docs.google.com/spreadsheets/d/1CaLR8gtRCp0-wyyH0y5IvQnenreOSKFOo8AF4Pfpekc/edit?gid=400822622#gid=400822622"", ""GRADE 11!R""&amp;ROW(R72))"),0.0)</f>
        <v>0</v>
      </c>
      <c r="U75" s="119">
        <f>IFERROR(__xludf.DUMMYFUNCTION("IMPORTRANGE(""https://docs.google.com/spreadsheets/d/1CaLR8gtRCp0-wyyH0y5IvQnenreOSKFOo8AF4Pfpekc/edit?gid=400822622#gid=400822622"", ""GRADE 11!S""&amp;ROW(S72))"),0.0)</f>
        <v>0</v>
      </c>
      <c r="V75" s="119">
        <f>IFERROR(__xludf.DUMMYFUNCTION("IMPORTRANGE(""https://docs.google.com/spreadsheets/d/1CaLR8gtRCp0-wyyH0y5IvQnenreOSKFOo8AF4Pfpekc/edit?gid=400822622#gid=400822622"", ""GRADE 11!T""&amp;ROW(T72))"),0.0)</f>
        <v>0</v>
      </c>
      <c r="W75" s="119">
        <f>IFERROR(__xludf.DUMMYFUNCTION("IMPORTRANGE(""https://docs.google.com/spreadsheets/d/1CaLR8gtRCp0-wyyH0y5IvQnenreOSKFOo8AF4Pfpekc/edit?gid=400822622#gid=400822622"", ""GRADE 11!U""&amp;ROW(U72))"),0.0)</f>
        <v>0</v>
      </c>
      <c r="X75" s="119">
        <f>IFERROR(__xludf.DUMMYFUNCTION("IMPORTRANGE(""https://docs.google.com/spreadsheets/d/1CaLR8gtRCp0-wyyH0y5IvQnenreOSKFOo8AF4Pfpekc/edit?gid=400822622#gid=400822622"", ""GRADE 11!V""&amp;ROW(V72))"),0.0)</f>
        <v>0</v>
      </c>
      <c r="Y75" s="119" t="str">
        <f>IFERROR(__xludf.DUMMYFUNCTION("IMPORTRANGE(""https://docs.google.com/spreadsheets/d/1CaLR8gtRCp0-wyyH0y5IvQnenreOSKFOo8AF4Pfpekc/edit?gid=400822622#gid=400822622"", ""GRADE 11!W""&amp;ROW(W72))"),"")</f>
        <v/>
      </c>
      <c r="Z75" s="120">
        <f>IFERROR(__xludf.DUMMYFUNCTION("IMPORTRANGE(""https://docs.google.com/spreadsheets/d/1CaLR8gtRCp0-wyyH0y5IvQnenreOSKFOo8AF4Pfpekc/edit?gid=400822622#gid=400822622"", ""GRADE 11!X""&amp;ROW(X72))"),7.0)</f>
        <v>7</v>
      </c>
      <c r="AA75" s="121">
        <f>IFERROR(__xludf.DUMMYFUNCTION("IMPORTRANGE(""https://docs.google.com/spreadsheets/d/1CaLR8gtRCp0-wyyH0y5IvQnenreOSKFOo8AF4Pfpekc/edit?gid=400822622#gid=400822622"", ""GRADE 11!Y""&amp;ROW(Y72))"),0.0)</f>
        <v>0</v>
      </c>
      <c r="AB75" s="39">
        <f>IFERROR(__xludf.DUMMYFUNCTION("IMPORTRANGE(""https://docs.google.com/spreadsheets/d/1CaLR8gtRCp0-wyyH0y5IvQnenreOSKFOo8AF4Pfpekc/edit?gid=400822622#gid=400822622"", ""GRADE 11!Z""&amp;ROW(Z72))"),0.0)</f>
        <v>0</v>
      </c>
    </row>
    <row r="76">
      <c r="A76" s="28" t="s">
        <v>19</v>
      </c>
      <c r="B76" s="29">
        <v>66.0</v>
      </c>
      <c r="C76" s="30" t="s">
        <v>162</v>
      </c>
      <c r="D76" s="118" t="s">
        <v>163</v>
      </c>
      <c r="E76" s="32" t="s">
        <v>164</v>
      </c>
      <c r="F76" s="32" t="s">
        <v>27</v>
      </c>
      <c r="G76" s="34">
        <v>57.0</v>
      </c>
      <c r="H76" s="34">
        <v>0.0</v>
      </c>
      <c r="I76" s="35">
        <f t="shared" si="1"/>
        <v>57</v>
      </c>
      <c r="J76" s="119" t="str">
        <f>IFERROR(__xludf.DUMMYFUNCTION("IMPORTRANGE(""https://docs.google.com/spreadsheets/d/1CaLR8gtRCp0-wyyH0y5IvQnenreOSKFOo8AF4Pfpekc/edit?gid=400822622#gid=400822622"", ""GRADE 11!H""&amp;ROW(H73))"),"")</f>
        <v/>
      </c>
      <c r="K76" s="119" t="str">
        <f>IFERROR(__xludf.DUMMYFUNCTION("IMPORTRANGE(""https://docs.google.com/spreadsheets/d/1CaLR8gtRCp0-wyyH0y5IvQnenreOSKFOo8AF4Pfpekc/edit?gid=400822622#gid=400822622"", ""GRADE 11!I""&amp;ROW(I73))"),"")</f>
        <v/>
      </c>
      <c r="L76" s="119" t="str">
        <f>IFERROR(__xludf.DUMMYFUNCTION("IMPORTRANGE(""https://docs.google.com/spreadsheets/d/1CaLR8gtRCp0-wyyH0y5IvQnenreOSKFOo8AF4Pfpekc/edit?gid=400822622#gid=400822622"", ""GRADE 11!J""&amp;ROW(J73))"),"")</f>
        <v/>
      </c>
      <c r="M76" s="119" t="str">
        <f>IFERROR(__xludf.DUMMYFUNCTION("IMPORTRANGE(""https://docs.google.com/spreadsheets/d/1CaLR8gtRCp0-wyyH0y5IvQnenreOSKFOo8AF4Pfpekc/edit?gid=400822622#gid=400822622"", ""GRADE 11!K""&amp;ROW(K73))"),"")</f>
        <v/>
      </c>
      <c r="N76" s="119" t="str">
        <f>IFERROR(__xludf.DUMMYFUNCTION("IMPORTRANGE(""https://docs.google.com/spreadsheets/d/1CaLR8gtRCp0-wyyH0y5IvQnenreOSKFOo8AF4Pfpekc/edit?gid=400822622#gid=400822622"", ""GRADE 11!L""&amp;ROW(L73))"),"")</f>
        <v/>
      </c>
      <c r="O76" s="119">
        <f>IFERROR(__xludf.DUMMYFUNCTION("IMPORTRANGE(""https://docs.google.com/spreadsheets/d/1CaLR8gtRCp0-wyyH0y5IvQnenreOSKFOo8AF4Pfpekc/edit?gid=400822622#gid=400822622"", ""GRADE 11!M""&amp;ROW(M73))"),0.0)</f>
        <v>0</v>
      </c>
      <c r="P76" s="119" t="str">
        <f>IFERROR(__xludf.DUMMYFUNCTION("IMPORTRANGE(""https://docs.google.com/spreadsheets/d/1CaLR8gtRCp0-wyyH0y5IvQnenreOSKFOo8AF4Pfpekc/edit?gid=400822622#gid=400822622"", ""GRADE 11!N""&amp;ROW(N73))"),"")</f>
        <v/>
      </c>
      <c r="Q76" s="119" t="str">
        <f>IFERROR(__xludf.DUMMYFUNCTION("IMPORTRANGE(""https://docs.google.com/spreadsheets/d/1CaLR8gtRCp0-wyyH0y5IvQnenreOSKFOo8AF4Pfpekc/edit?gid=400822622#gid=400822622"", ""GRADE 11!O""&amp;ROW(O73))"),"")</f>
        <v/>
      </c>
      <c r="R76" s="119">
        <f>IFERROR(__xludf.DUMMYFUNCTION("IMPORTRANGE(""https://docs.google.com/spreadsheets/d/1CaLR8gtRCp0-wyyH0y5IvQnenreOSKFOo8AF4Pfpekc/edit?gid=400822622#gid=400822622"", ""GRADE 11!P""&amp;ROW(P73))"),0.0)</f>
        <v>0</v>
      </c>
      <c r="S76" s="119">
        <f>IFERROR(__xludf.DUMMYFUNCTION("IMPORTRANGE(""https://docs.google.com/spreadsheets/d/1CaLR8gtRCp0-wyyH0y5IvQnenreOSKFOo8AF4Pfpekc/edit?gid=400822622#gid=400822622"", ""GRADE 11!Q""&amp;ROW(Q73))"),0.0)</f>
        <v>0</v>
      </c>
      <c r="T76" s="119">
        <f>IFERROR(__xludf.DUMMYFUNCTION("IMPORTRANGE(""https://docs.google.com/spreadsheets/d/1CaLR8gtRCp0-wyyH0y5IvQnenreOSKFOo8AF4Pfpekc/edit?gid=400822622#gid=400822622"", ""GRADE 11!R""&amp;ROW(R73))"),0.0)</f>
        <v>0</v>
      </c>
      <c r="U76" s="119">
        <f>IFERROR(__xludf.DUMMYFUNCTION("IMPORTRANGE(""https://docs.google.com/spreadsheets/d/1CaLR8gtRCp0-wyyH0y5IvQnenreOSKFOo8AF4Pfpekc/edit?gid=400822622#gid=400822622"", ""GRADE 11!S""&amp;ROW(S73))"),0.0)</f>
        <v>0</v>
      </c>
      <c r="V76" s="119">
        <f>IFERROR(__xludf.DUMMYFUNCTION("IMPORTRANGE(""https://docs.google.com/spreadsheets/d/1CaLR8gtRCp0-wyyH0y5IvQnenreOSKFOo8AF4Pfpekc/edit?gid=400822622#gid=400822622"", ""GRADE 11!T""&amp;ROW(T73))"),0.0)</f>
        <v>0</v>
      </c>
      <c r="W76" s="119">
        <f>IFERROR(__xludf.DUMMYFUNCTION("IMPORTRANGE(""https://docs.google.com/spreadsheets/d/1CaLR8gtRCp0-wyyH0y5IvQnenreOSKFOo8AF4Pfpekc/edit?gid=400822622#gid=400822622"", ""GRADE 11!U""&amp;ROW(U73))"),0.0)</f>
        <v>0</v>
      </c>
      <c r="X76" s="119">
        <f>IFERROR(__xludf.DUMMYFUNCTION("IMPORTRANGE(""https://docs.google.com/spreadsheets/d/1CaLR8gtRCp0-wyyH0y5IvQnenreOSKFOo8AF4Pfpekc/edit?gid=400822622#gid=400822622"", ""GRADE 11!V""&amp;ROW(V73))"),0.0)</f>
        <v>0</v>
      </c>
      <c r="Y76" s="119" t="str">
        <f>IFERROR(__xludf.DUMMYFUNCTION("IMPORTRANGE(""https://docs.google.com/spreadsheets/d/1CaLR8gtRCp0-wyyH0y5IvQnenreOSKFOo8AF4Pfpekc/edit?gid=400822622#gid=400822622"", ""GRADE 11!W""&amp;ROW(W73))"),"")</f>
        <v/>
      </c>
      <c r="Z76" s="120">
        <f>IFERROR(__xludf.DUMMYFUNCTION("IMPORTRANGE(""https://docs.google.com/spreadsheets/d/1CaLR8gtRCp0-wyyH0y5IvQnenreOSKFOo8AF4Pfpekc/edit?gid=400822622#gid=400822622"", ""GRADE 11!X""&amp;ROW(X73))"),8.0)</f>
        <v>8</v>
      </c>
      <c r="AA76" s="121">
        <f>IFERROR(__xludf.DUMMYFUNCTION("IMPORTRANGE(""https://docs.google.com/spreadsheets/d/1CaLR8gtRCp0-wyyH0y5IvQnenreOSKFOo8AF4Pfpekc/edit?gid=400822622#gid=400822622"", ""GRADE 11!Y""&amp;ROW(Y73))"),0.0)</f>
        <v>0</v>
      </c>
      <c r="AB76" s="39">
        <f>IFERROR(__xludf.DUMMYFUNCTION("IMPORTRANGE(""https://docs.google.com/spreadsheets/d/1CaLR8gtRCp0-wyyH0y5IvQnenreOSKFOo8AF4Pfpekc/edit?gid=400822622#gid=400822622"", ""GRADE 11!Z""&amp;ROW(Z73))"),0.0)</f>
        <v>0</v>
      </c>
    </row>
    <row r="77">
      <c r="A77" s="28" t="s">
        <v>19</v>
      </c>
      <c r="B77" s="29">
        <v>67.0</v>
      </c>
      <c r="C77" s="30" t="s">
        <v>165</v>
      </c>
      <c r="D77" s="118" t="s">
        <v>163</v>
      </c>
      <c r="E77" s="32" t="s">
        <v>166</v>
      </c>
      <c r="F77" s="32" t="s">
        <v>30</v>
      </c>
      <c r="G77" s="34">
        <v>54.0</v>
      </c>
      <c r="H77" s="34">
        <v>0.0</v>
      </c>
      <c r="I77" s="35">
        <f t="shared" si="1"/>
        <v>54</v>
      </c>
      <c r="J77" s="119" t="str">
        <f>IFERROR(__xludf.DUMMYFUNCTION("IMPORTRANGE(""https://docs.google.com/spreadsheets/d/1CaLR8gtRCp0-wyyH0y5IvQnenreOSKFOo8AF4Pfpekc/edit?gid=400822622#gid=400822622"", ""GRADE 11!H""&amp;ROW(H74))"),"")</f>
        <v/>
      </c>
      <c r="K77" s="119" t="str">
        <f>IFERROR(__xludf.DUMMYFUNCTION("IMPORTRANGE(""https://docs.google.com/spreadsheets/d/1CaLR8gtRCp0-wyyH0y5IvQnenreOSKFOo8AF4Pfpekc/edit?gid=400822622#gid=400822622"", ""GRADE 11!I""&amp;ROW(I74))"),"")</f>
        <v/>
      </c>
      <c r="L77" s="119" t="str">
        <f>IFERROR(__xludf.DUMMYFUNCTION("IMPORTRANGE(""https://docs.google.com/spreadsheets/d/1CaLR8gtRCp0-wyyH0y5IvQnenreOSKFOo8AF4Pfpekc/edit?gid=400822622#gid=400822622"", ""GRADE 11!J""&amp;ROW(J74))"),"")</f>
        <v/>
      </c>
      <c r="M77" s="119" t="str">
        <f>IFERROR(__xludf.DUMMYFUNCTION("IMPORTRANGE(""https://docs.google.com/spreadsheets/d/1CaLR8gtRCp0-wyyH0y5IvQnenreOSKFOo8AF4Pfpekc/edit?gid=400822622#gid=400822622"", ""GRADE 11!K""&amp;ROW(K74))"),"")</f>
        <v/>
      </c>
      <c r="N77" s="119" t="str">
        <f>IFERROR(__xludf.DUMMYFUNCTION("IMPORTRANGE(""https://docs.google.com/spreadsheets/d/1CaLR8gtRCp0-wyyH0y5IvQnenreOSKFOo8AF4Pfpekc/edit?gid=400822622#gid=400822622"", ""GRADE 11!L""&amp;ROW(L74))"),"")</f>
        <v/>
      </c>
      <c r="O77" s="119">
        <f>IFERROR(__xludf.DUMMYFUNCTION("IMPORTRANGE(""https://docs.google.com/spreadsheets/d/1CaLR8gtRCp0-wyyH0y5IvQnenreOSKFOo8AF4Pfpekc/edit?gid=400822622#gid=400822622"", ""GRADE 11!M""&amp;ROW(M74))"),3.0)</f>
        <v>3</v>
      </c>
      <c r="P77" s="119" t="str">
        <f>IFERROR(__xludf.DUMMYFUNCTION("IMPORTRANGE(""https://docs.google.com/spreadsheets/d/1CaLR8gtRCp0-wyyH0y5IvQnenreOSKFOo8AF4Pfpekc/edit?gid=400822622#gid=400822622"", ""GRADE 11!N""&amp;ROW(N74))"),"")</f>
        <v/>
      </c>
      <c r="Q77" s="119" t="str">
        <f>IFERROR(__xludf.DUMMYFUNCTION("IMPORTRANGE(""https://docs.google.com/spreadsheets/d/1CaLR8gtRCp0-wyyH0y5IvQnenreOSKFOo8AF4Pfpekc/edit?gid=400822622#gid=400822622"", ""GRADE 11!O""&amp;ROW(O74))"),"")</f>
        <v/>
      </c>
      <c r="R77" s="119">
        <f>IFERROR(__xludf.DUMMYFUNCTION("IMPORTRANGE(""https://docs.google.com/spreadsheets/d/1CaLR8gtRCp0-wyyH0y5IvQnenreOSKFOo8AF4Pfpekc/edit?gid=400822622#gid=400822622"", ""GRADE 11!P""&amp;ROW(P74))"),3.0)</f>
        <v>3</v>
      </c>
      <c r="S77" s="119">
        <f>IFERROR(__xludf.DUMMYFUNCTION("IMPORTRANGE(""https://docs.google.com/spreadsheets/d/1CaLR8gtRCp0-wyyH0y5IvQnenreOSKFOo8AF4Pfpekc/edit?gid=400822622#gid=400822622"", ""GRADE 11!Q""&amp;ROW(Q74))"),3.0)</f>
        <v>3</v>
      </c>
      <c r="T77" s="119">
        <f>IFERROR(__xludf.DUMMYFUNCTION("IMPORTRANGE(""https://docs.google.com/spreadsheets/d/1CaLR8gtRCp0-wyyH0y5IvQnenreOSKFOo8AF4Pfpekc/edit?gid=400822622#gid=400822622"", ""GRADE 11!R""&amp;ROW(R74))"),3.0)</f>
        <v>3</v>
      </c>
      <c r="U77" s="119">
        <f>IFERROR(__xludf.DUMMYFUNCTION("IMPORTRANGE(""https://docs.google.com/spreadsheets/d/1CaLR8gtRCp0-wyyH0y5IvQnenreOSKFOo8AF4Pfpekc/edit?gid=400822622#gid=400822622"", ""GRADE 11!S""&amp;ROW(S74))"),3.0)</f>
        <v>3</v>
      </c>
      <c r="V77" s="119">
        <f>IFERROR(__xludf.DUMMYFUNCTION("IMPORTRANGE(""https://docs.google.com/spreadsheets/d/1CaLR8gtRCp0-wyyH0y5IvQnenreOSKFOo8AF4Pfpekc/edit?gid=400822622#gid=400822622"", ""GRADE 11!T""&amp;ROW(T74))"),3.0)</f>
        <v>3</v>
      </c>
      <c r="W77" s="119">
        <f>IFERROR(__xludf.DUMMYFUNCTION("IMPORTRANGE(""https://docs.google.com/spreadsheets/d/1CaLR8gtRCp0-wyyH0y5IvQnenreOSKFOo8AF4Pfpekc/edit?gid=400822622#gid=400822622"", ""GRADE 11!U""&amp;ROW(U74))"),3.0)</f>
        <v>3</v>
      </c>
      <c r="X77" s="119">
        <f>IFERROR(__xludf.DUMMYFUNCTION("IMPORTRANGE(""https://docs.google.com/spreadsheets/d/1CaLR8gtRCp0-wyyH0y5IvQnenreOSKFOo8AF4Pfpekc/edit?gid=400822622#gid=400822622"", ""GRADE 11!V""&amp;ROW(V74))"),3.0)</f>
        <v>3</v>
      </c>
      <c r="Y77" s="119" t="str">
        <f>IFERROR(__xludf.DUMMYFUNCTION("IMPORTRANGE(""https://docs.google.com/spreadsheets/d/1CaLR8gtRCp0-wyyH0y5IvQnenreOSKFOo8AF4Pfpekc/edit?gid=400822622#gid=400822622"", ""GRADE 11!W""&amp;ROW(W74))"),"")</f>
        <v/>
      </c>
      <c r="Z77" s="120">
        <f>IFERROR(__xludf.DUMMYFUNCTION("IMPORTRANGE(""https://docs.google.com/spreadsheets/d/1CaLR8gtRCp0-wyyH0y5IvQnenreOSKFOo8AF4Pfpekc/edit?gid=400822622#gid=400822622"", ""GRADE 11!X""&amp;ROW(X74))"),0.0)</f>
        <v>0</v>
      </c>
      <c r="AA77" s="121">
        <f>IFERROR(__xludf.DUMMYFUNCTION("IMPORTRANGE(""https://docs.google.com/spreadsheets/d/1CaLR8gtRCp0-wyyH0y5IvQnenreOSKFOo8AF4Pfpekc/edit?gid=400822622#gid=400822622"", ""GRADE 11!Y""&amp;ROW(Y74))"),8.0)</f>
        <v>8</v>
      </c>
      <c r="AB77" s="39">
        <f>IFERROR(__xludf.DUMMYFUNCTION("IMPORTRANGE(""https://docs.google.com/spreadsheets/d/1CaLR8gtRCp0-wyyH0y5IvQnenreOSKFOo8AF4Pfpekc/edit?gid=400822622#gid=400822622"", ""GRADE 11!Z""&amp;ROW(Z74))"),-24.0)</f>
        <v>-24</v>
      </c>
    </row>
    <row r="78">
      <c r="A78" s="28" t="s">
        <v>19</v>
      </c>
      <c r="B78" s="29">
        <v>68.0</v>
      </c>
      <c r="C78" s="30" t="s">
        <v>167</v>
      </c>
      <c r="D78" s="118" t="s">
        <v>168</v>
      </c>
      <c r="E78" s="32" t="s">
        <v>169</v>
      </c>
      <c r="F78" s="32" t="s">
        <v>27</v>
      </c>
      <c r="G78" s="34">
        <v>53.0</v>
      </c>
      <c r="H78" s="34">
        <v>4.0</v>
      </c>
      <c r="I78" s="35">
        <f t="shared" si="1"/>
        <v>57</v>
      </c>
      <c r="J78" s="119" t="str">
        <f>IFERROR(__xludf.DUMMYFUNCTION("IMPORTRANGE(""https://docs.google.com/spreadsheets/d/1CaLR8gtRCp0-wyyH0y5IvQnenreOSKFOo8AF4Pfpekc/edit?gid=400822622#gid=400822622"", ""GRADE 11!H""&amp;ROW(H75))"),"")</f>
        <v/>
      </c>
      <c r="K78" s="119" t="str">
        <f>IFERROR(__xludf.DUMMYFUNCTION("IMPORTRANGE(""https://docs.google.com/spreadsheets/d/1CaLR8gtRCp0-wyyH0y5IvQnenreOSKFOo8AF4Pfpekc/edit?gid=400822622#gid=400822622"", ""GRADE 11!I""&amp;ROW(I75))"),"")</f>
        <v/>
      </c>
      <c r="L78" s="119" t="str">
        <f>IFERROR(__xludf.DUMMYFUNCTION("IMPORTRANGE(""https://docs.google.com/spreadsheets/d/1CaLR8gtRCp0-wyyH0y5IvQnenreOSKFOo8AF4Pfpekc/edit?gid=400822622#gid=400822622"", ""GRADE 11!J""&amp;ROW(J75))"),"")</f>
        <v/>
      </c>
      <c r="M78" s="119" t="str">
        <f>IFERROR(__xludf.DUMMYFUNCTION("IMPORTRANGE(""https://docs.google.com/spreadsheets/d/1CaLR8gtRCp0-wyyH0y5IvQnenreOSKFOo8AF4Pfpekc/edit?gid=400822622#gid=400822622"", ""GRADE 11!K""&amp;ROW(K75))"),"")</f>
        <v/>
      </c>
      <c r="N78" s="119" t="str">
        <f>IFERROR(__xludf.DUMMYFUNCTION("IMPORTRANGE(""https://docs.google.com/spreadsheets/d/1CaLR8gtRCp0-wyyH0y5IvQnenreOSKFOo8AF4Pfpekc/edit?gid=400822622#gid=400822622"", ""GRADE 11!L""&amp;ROW(L75))"),"")</f>
        <v/>
      </c>
      <c r="O78" s="119">
        <f>IFERROR(__xludf.DUMMYFUNCTION("IMPORTRANGE(""https://docs.google.com/spreadsheets/d/1CaLR8gtRCp0-wyyH0y5IvQnenreOSKFOo8AF4Pfpekc/edit?gid=400822622#gid=400822622"", ""GRADE 11!M""&amp;ROW(M75))"),0.0)</f>
        <v>0</v>
      </c>
      <c r="P78" s="119" t="str">
        <f>IFERROR(__xludf.DUMMYFUNCTION("IMPORTRANGE(""https://docs.google.com/spreadsheets/d/1CaLR8gtRCp0-wyyH0y5IvQnenreOSKFOo8AF4Pfpekc/edit?gid=400822622#gid=400822622"", ""GRADE 11!N""&amp;ROW(N75))"),"")</f>
        <v/>
      </c>
      <c r="Q78" s="119" t="str">
        <f>IFERROR(__xludf.DUMMYFUNCTION("IMPORTRANGE(""https://docs.google.com/spreadsheets/d/1CaLR8gtRCp0-wyyH0y5IvQnenreOSKFOo8AF4Pfpekc/edit?gid=400822622#gid=400822622"", ""GRADE 11!O""&amp;ROW(O75))"),"")</f>
        <v/>
      </c>
      <c r="R78" s="119">
        <f>IFERROR(__xludf.DUMMYFUNCTION("IMPORTRANGE(""https://docs.google.com/spreadsheets/d/1CaLR8gtRCp0-wyyH0y5IvQnenreOSKFOo8AF4Pfpekc/edit?gid=400822622#gid=400822622"", ""GRADE 11!P""&amp;ROW(P75))"),0.0)</f>
        <v>0</v>
      </c>
      <c r="S78" s="119">
        <f>IFERROR(__xludf.DUMMYFUNCTION("IMPORTRANGE(""https://docs.google.com/spreadsheets/d/1CaLR8gtRCp0-wyyH0y5IvQnenreOSKFOo8AF4Pfpekc/edit?gid=400822622#gid=400822622"", ""GRADE 11!Q""&amp;ROW(Q75))"),0.0)</f>
        <v>0</v>
      </c>
      <c r="T78" s="119">
        <f>IFERROR(__xludf.DUMMYFUNCTION("IMPORTRANGE(""https://docs.google.com/spreadsheets/d/1CaLR8gtRCp0-wyyH0y5IvQnenreOSKFOo8AF4Pfpekc/edit?gid=400822622#gid=400822622"", ""GRADE 11!R""&amp;ROW(R75))"),0.0)</f>
        <v>0</v>
      </c>
      <c r="U78" s="119">
        <f>IFERROR(__xludf.DUMMYFUNCTION("IMPORTRANGE(""https://docs.google.com/spreadsheets/d/1CaLR8gtRCp0-wyyH0y5IvQnenreOSKFOo8AF4Pfpekc/edit?gid=400822622#gid=400822622"", ""GRADE 11!S""&amp;ROW(S75))"),0.0)</f>
        <v>0</v>
      </c>
      <c r="V78" s="119">
        <f>IFERROR(__xludf.DUMMYFUNCTION("IMPORTRANGE(""https://docs.google.com/spreadsheets/d/1CaLR8gtRCp0-wyyH0y5IvQnenreOSKFOo8AF4Pfpekc/edit?gid=400822622#gid=400822622"", ""GRADE 11!T""&amp;ROW(T75))"),0.0)</f>
        <v>0</v>
      </c>
      <c r="W78" s="119">
        <f>IFERROR(__xludf.DUMMYFUNCTION("IMPORTRANGE(""https://docs.google.com/spreadsheets/d/1CaLR8gtRCp0-wyyH0y5IvQnenreOSKFOo8AF4Pfpekc/edit?gid=400822622#gid=400822622"", ""GRADE 11!U""&amp;ROW(U75))"),0.0)</f>
        <v>0</v>
      </c>
      <c r="X78" s="119">
        <f>IFERROR(__xludf.DUMMYFUNCTION("IMPORTRANGE(""https://docs.google.com/spreadsheets/d/1CaLR8gtRCp0-wyyH0y5IvQnenreOSKFOo8AF4Pfpekc/edit?gid=400822622#gid=400822622"", ""GRADE 11!V""&amp;ROW(V75))"),0.0)</f>
        <v>0</v>
      </c>
      <c r="Y78" s="119" t="str">
        <f>IFERROR(__xludf.DUMMYFUNCTION("IMPORTRANGE(""https://docs.google.com/spreadsheets/d/1CaLR8gtRCp0-wyyH0y5IvQnenreOSKFOo8AF4Pfpekc/edit?gid=400822622#gid=400822622"", ""GRADE 11!W""&amp;ROW(W75))"),"")</f>
        <v/>
      </c>
      <c r="Z78" s="120">
        <f>IFERROR(__xludf.DUMMYFUNCTION("IMPORTRANGE(""https://docs.google.com/spreadsheets/d/1CaLR8gtRCp0-wyyH0y5IvQnenreOSKFOo8AF4Pfpekc/edit?gid=400822622#gid=400822622"", ""GRADE 11!X""&amp;ROW(X75))"),8.0)</f>
        <v>8</v>
      </c>
      <c r="AA78" s="121">
        <f>IFERROR(__xludf.DUMMYFUNCTION("IMPORTRANGE(""https://docs.google.com/spreadsheets/d/1CaLR8gtRCp0-wyyH0y5IvQnenreOSKFOo8AF4Pfpekc/edit?gid=400822622#gid=400822622"", ""GRADE 11!Y""&amp;ROW(Y75))"),0.0)</f>
        <v>0</v>
      </c>
      <c r="AB78" s="39">
        <f>IFERROR(__xludf.DUMMYFUNCTION("IMPORTRANGE(""https://docs.google.com/spreadsheets/d/1CaLR8gtRCp0-wyyH0y5IvQnenreOSKFOo8AF4Pfpekc/edit?gid=400822622#gid=400822622"", ""GRADE 11!Z""&amp;ROW(Z75))"),0.0)</f>
        <v>0</v>
      </c>
    </row>
    <row r="79">
      <c r="A79" s="28" t="s">
        <v>19</v>
      </c>
      <c r="B79" s="29">
        <v>69.0</v>
      </c>
      <c r="C79" s="30" t="s">
        <v>170</v>
      </c>
      <c r="D79" s="118" t="s">
        <v>171</v>
      </c>
      <c r="E79" s="32" t="s">
        <v>172</v>
      </c>
      <c r="F79" s="32" t="s">
        <v>43</v>
      </c>
      <c r="G79" s="34">
        <v>7.0</v>
      </c>
      <c r="H79" s="34">
        <v>27.0</v>
      </c>
      <c r="I79" s="35">
        <f t="shared" si="1"/>
        <v>34</v>
      </c>
      <c r="J79" s="119" t="str">
        <f>IFERROR(__xludf.DUMMYFUNCTION("IMPORTRANGE(""https://docs.google.com/spreadsheets/d/1CaLR8gtRCp0-wyyH0y5IvQnenreOSKFOo8AF4Pfpekc/edit?gid=400822622#gid=400822622"", ""GRADE 11!H""&amp;ROW(H76))"),"")</f>
        <v/>
      </c>
      <c r="K79" s="119" t="str">
        <f>IFERROR(__xludf.DUMMYFUNCTION("IMPORTRANGE(""https://docs.google.com/spreadsheets/d/1CaLR8gtRCp0-wyyH0y5IvQnenreOSKFOo8AF4Pfpekc/edit?gid=400822622#gid=400822622"", ""GRADE 11!I""&amp;ROW(I76))"),"")</f>
        <v/>
      </c>
      <c r="L79" s="119" t="str">
        <f>IFERROR(__xludf.DUMMYFUNCTION("IMPORTRANGE(""https://docs.google.com/spreadsheets/d/1CaLR8gtRCp0-wyyH0y5IvQnenreOSKFOo8AF4Pfpekc/edit?gid=400822622#gid=400822622"", ""GRADE 11!J""&amp;ROW(J76))"),"")</f>
        <v/>
      </c>
      <c r="M79" s="119" t="str">
        <f>IFERROR(__xludf.DUMMYFUNCTION("IMPORTRANGE(""https://docs.google.com/spreadsheets/d/1CaLR8gtRCp0-wyyH0y5IvQnenreOSKFOo8AF4Pfpekc/edit?gid=400822622#gid=400822622"", ""GRADE 11!K""&amp;ROW(K76))"),"")</f>
        <v/>
      </c>
      <c r="N79" s="119" t="str">
        <f>IFERROR(__xludf.DUMMYFUNCTION("IMPORTRANGE(""https://docs.google.com/spreadsheets/d/1CaLR8gtRCp0-wyyH0y5IvQnenreOSKFOo8AF4Pfpekc/edit?gid=400822622#gid=400822622"", ""GRADE 11!L""&amp;ROW(L76))"),"")</f>
        <v/>
      </c>
      <c r="O79" s="119">
        <f>IFERROR(__xludf.DUMMYFUNCTION("IMPORTRANGE(""https://docs.google.com/spreadsheets/d/1CaLR8gtRCp0-wyyH0y5IvQnenreOSKFOo8AF4Pfpekc/edit?gid=400822622#gid=400822622"", ""GRADE 11!M""&amp;ROW(M76))"),0.0)</f>
        <v>0</v>
      </c>
      <c r="P79" s="119" t="str">
        <f>IFERROR(__xludf.DUMMYFUNCTION("IMPORTRANGE(""https://docs.google.com/spreadsheets/d/1CaLR8gtRCp0-wyyH0y5IvQnenreOSKFOo8AF4Pfpekc/edit?gid=400822622#gid=400822622"", ""GRADE 11!N""&amp;ROW(N76))"),"")</f>
        <v/>
      </c>
      <c r="Q79" s="119" t="str">
        <f>IFERROR(__xludf.DUMMYFUNCTION("IMPORTRANGE(""https://docs.google.com/spreadsheets/d/1CaLR8gtRCp0-wyyH0y5IvQnenreOSKFOo8AF4Pfpekc/edit?gid=400822622#gid=400822622"", ""GRADE 11!O""&amp;ROW(O76))"),"")</f>
        <v/>
      </c>
      <c r="R79" s="119">
        <f>IFERROR(__xludf.DUMMYFUNCTION("IMPORTRANGE(""https://docs.google.com/spreadsheets/d/1CaLR8gtRCp0-wyyH0y5IvQnenreOSKFOo8AF4Pfpekc/edit?gid=400822622#gid=400822622"", ""GRADE 11!P""&amp;ROW(P76))"),0.0)</f>
        <v>0</v>
      </c>
      <c r="S79" s="119">
        <f>IFERROR(__xludf.DUMMYFUNCTION("IMPORTRANGE(""https://docs.google.com/spreadsheets/d/1CaLR8gtRCp0-wyyH0y5IvQnenreOSKFOo8AF4Pfpekc/edit?gid=400822622#gid=400822622"", ""GRADE 11!Q""&amp;ROW(Q76))"),0.0)</f>
        <v>0</v>
      </c>
      <c r="T79" s="119">
        <f>IFERROR(__xludf.DUMMYFUNCTION("IMPORTRANGE(""https://docs.google.com/spreadsheets/d/1CaLR8gtRCp0-wyyH0y5IvQnenreOSKFOo8AF4Pfpekc/edit?gid=400822622#gid=400822622"", ""GRADE 11!R""&amp;ROW(R76))"),0.0)</f>
        <v>0</v>
      </c>
      <c r="U79" s="119">
        <f>IFERROR(__xludf.DUMMYFUNCTION("IMPORTRANGE(""https://docs.google.com/spreadsheets/d/1CaLR8gtRCp0-wyyH0y5IvQnenreOSKFOo8AF4Pfpekc/edit?gid=400822622#gid=400822622"", ""GRADE 11!S""&amp;ROW(S76))"),0.0)</f>
        <v>0</v>
      </c>
      <c r="V79" s="119">
        <f>IFERROR(__xludf.DUMMYFUNCTION("IMPORTRANGE(""https://docs.google.com/spreadsheets/d/1CaLR8gtRCp0-wyyH0y5IvQnenreOSKFOo8AF4Pfpekc/edit?gid=400822622#gid=400822622"", ""GRADE 11!T""&amp;ROW(T76))"),0.0)</f>
        <v>0</v>
      </c>
      <c r="W79" s="119">
        <f>IFERROR(__xludf.DUMMYFUNCTION("IMPORTRANGE(""https://docs.google.com/spreadsheets/d/1CaLR8gtRCp0-wyyH0y5IvQnenreOSKFOo8AF4Pfpekc/edit?gid=400822622#gid=400822622"", ""GRADE 11!U""&amp;ROW(U76))"),0.0)</f>
        <v>0</v>
      </c>
      <c r="X79" s="119">
        <f>IFERROR(__xludf.DUMMYFUNCTION("IMPORTRANGE(""https://docs.google.com/spreadsheets/d/1CaLR8gtRCp0-wyyH0y5IvQnenreOSKFOo8AF4Pfpekc/edit?gid=400822622#gid=400822622"", ""GRADE 11!V""&amp;ROW(V76))"),0.0)</f>
        <v>0</v>
      </c>
      <c r="Y79" s="119" t="str">
        <f>IFERROR(__xludf.DUMMYFUNCTION("IMPORTRANGE(""https://docs.google.com/spreadsheets/d/1CaLR8gtRCp0-wyyH0y5IvQnenreOSKFOo8AF4Pfpekc/edit?gid=400822622#gid=400822622"", ""GRADE 11!W""&amp;ROW(W76))"),"")</f>
        <v/>
      </c>
      <c r="Z79" s="120">
        <f>IFERROR(__xludf.DUMMYFUNCTION("IMPORTRANGE(""https://docs.google.com/spreadsheets/d/1CaLR8gtRCp0-wyyH0y5IvQnenreOSKFOo8AF4Pfpekc/edit?gid=400822622#gid=400822622"", ""GRADE 11!X""&amp;ROW(X76))"),8.0)</f>
        <v>8</v>
      </c>
      <c r="AA79" s="121">
        <f>IFERROR(__xludf.DUMMYFUNCTION("IMPORTRANGE(""https://docs.google.com/spreadsheets/d/1CaLR8gtRCp0-wyyH0y5IvQnenreOSKFOo8AF4Pfpekc/edit?gid=400822622#gid=400822622"", ""GRADE 11!Y""&amp;ROW(Y76))"),0.0)</f>
        <v>0</v>
      </c>
      <c r="AB79" s="39">
        <f>IFERROR(__xludf.DUMMYFUNCTION("IMPORTRANGE(""https://docs.google.com/spreadsheets/d/1CaLR8gtRCp0-wyyH0y5IvQnenreOSKFOo8AF4Pfpekc/edit?gid=400822622#gid=400822622"", ""GRADE 11!Z""&amp;ROW(Z76))"),0.0)</f>
        <v>0</v>
      </c>
    </row>
    <row r="80">
      <c r="A80" s="28" t="s">
        <v>19</v>
      </c>
      <c r="B80" s="29">
        <v>70.0</v>
      </c>
      <c r="C80" s="30" t="s">
        <v>173</v>
      </c>
      <c r="D80" s="118" t="s">
        <v>163</v>
      </c>
      <c r="E80" s="32" t="s">
        <v>174</v>
      </c>
      <c r="F80" s="32" t="s">
        <v>43</v>
      </c>
      <c r="G80" s="34">
        <v>20.0</v>
      </c>
      <c r="H80" s="34">
        <v>6.0</v>
      </c>
      <c r="I80" s="35">
        <f t="shared" si="1"/>
        <v>26</v>
      </c>
      <c r="J80" s="119" t="str">
        <f>IFERROR(__xludf.DUMMYFUNCTION("IMPORTRANGE(""https://docs.google.com/spreadsheets/d/1CaLR8gtRCp0-wyyH0y5IvQnenreOSKFOo8AF4Pfpekc/edit?gid=400822622#gid=400822622"", ""GRADE 11!H""&amp;ROW(H77))"),"")</f>
        <v/>
      </c>
      <c r="K80" s="119" t="str">
        <f>IFERROR(__xludf.DUMMYFUNCTION("IMPORTRANGE(""https://docs.google.com/spreadsheets/d/1CaLR8gtRCp0-wyyH0y5IvQnenreOSKFOo8AF4Pfpekc/edit?gid=400822622#gid=400822622"", ""GRADE 11!I""&amp;ROW(I77))"),"")</f>
        <v/>
      </c>
      <c r="L80" s="119" t="str">
        <f>IFERROR(__xludf.DUMMYFUNCTION("IMPORTRANGE(""https://docs.google.com/spreadsheets/d/1CaLR8gtRCp0-wyyH0y5IvQnenreOSKFOo8AF4Pfpekc/edit?gid=400822622#gid=400822622"", ""GRADE 11!J""&amp;ROW(J77))"),"")</f>
        <v/>
      </c>
      <c r="M80" s="119" t="str">
        <f>IFERROR(__xludf.DUMMYFUNCTION("IMPORTRANGE(""https://docs.google.com/spreadsheets/d/1CaLR8gtRCp0-wyyH0y5IvQnenreOSKFOo8AF4Pfpekc/edit?gid=400822622#gid=400822622"", ""GRADE 11!K""&amp;ROW(K77))"),"")</f>
        <v/>
      </c>
      <c r="N80" s="119" t="str">
        <f>IFERROR(__xludf.DUMMYFUNCTION("IMPORTRANGE(""https://docs.google.com/spreadsheets/d/1CaLR8gtRCp0-wyyH0y5IvQnenreOSKFOo8AF4Pfpekc/edit?gid=400822622#gid=400822622"", ""GRADE 11!L""&amp;ROW(L77))"),"")</f>
        <v/>
      </c>
      <c r="O80" s="119" t="str">
        <f>IFERROR(__xludf.DUMMYFUNCTION("IMPORTRANGE(""https://docs.google.com/spreadsheets/d/1CaLR8gtRCp0-wyyH0y5IvQnenreOSKFOo8AF4Pfpekc/edit?gid=400822622#gid=400822622"", ""GRADE 11!M""&amp;ROW(M77))"),"")</f>
        <v/>
      </c>
      <c r="P80" s="119" t="str">
        <f>IFERROR(__xludf.DUMMYFUNCTION("IMPORTRANGE(""https://docs.google.com/spreadsheets/d/1CaLR8gtRCp0-wyyH0y5IvQnenreOSKFOo8AF4Pfpekc/edit?gid=400822622#gid=400822622"", ""GRADE 11!N""&amp;ROW(N77))"),"")</f>
        <v/>
      </c>
      <c r="Q80" s="119" t="str">
        <f>IFERROR(__xludf.DUMMYFUNCTION("IMPORTRANGE(""https://docs.google.com/spreadsheets/d/1CaLR8gtRCp0-wyyH0y5IvQnenreOSKFOo8AF4Pfpekc/edit?gid=400822622#gid=400822622"", ""GRADE 11!O""&amp;ROW(O77))"),"")</f>
        <v/>
      </c>
      <c r="R80" s="119">
        <f>IFERROR(__xludf.DUMMYFUNCTION("IMPORTRANGE(""https://docs.google.com/spreadsheets/d/1CaLR8gtRCp0-wyyH0y5IvQnenreOSKFOo8AF4Pfpekc/edit?gid=400822622#gid=400822622"", ""GRADE 11!P""&amp;ROW(P77))"),0.0)</f>
        <v>0</v>
      </c>
      <c r="S80" s="119">
        <f>IFERROR(__xludf.DUMMYFUNCTION("IMPORTRANGE(""https://docs.google.com/spreadsheets/d/1CaLR8gtRCp0-wyyH0y5IvQnenreOSKFOo8AF4Pfpekc/edit?gid=400822622#gid=400822622"", ""GRADE 11!Q""&amp;ROW(Q77))"),0.0)</f>
        <v>0</v>
      </c>
      <c r="T80" s="119">
        <f>IFERROR(__xludf.DUMMYFUNCTION("IMPORTRANGE(""https://docs.google.com/spreadsheets/d/1CaLR8gtRCp0-wyyH0y5IvQnenreOSKFOo8AF4Pfpekc/edit?gid=400822622#gid=400822622"", ""GRADE 11!R""&amp;ROW(R77))"),0.0)</f>
        <v>0</v>
      </c>
      <c r="U80" s="119">
        <f>IFERROR(__xludf.DUMMYFUNCTION("IMPORTRANGE(""https://docs.google.com/spreadsheets/d/1CaLR8gtRCp0-wyyH0y5IvQnenreOSKFOo8AF4Pfpekc/edit?gid=400822622#gid=400822622"", ""GRADE 11!S""&amp;ROW(S77))"),0.0)</f>
        <v>0</v>
      </c>
      <c r="V80" s="119">
        <f>IFERROR(__xludf.DUMMYFUNCTION("IMPORTRANGE(""https://docs.google.com/spreadsheets/d/1CaLR8gtRCp0-wyyH0y5IvQnenreOSKFOo8AF4Pfpekc/edit?gid=400822622#gid=400822622"", ""GRADE 11!T""&amp;ROW(T77))"),0.0)</f>
        <v>0</v>
      </c>
      <c r="W80" s="119">
        <f>IFERROR(__xludf.DUMMYFUNCTION("IMPORTRANGE(""https://docs.google.com/spreadsheets/d/1CaLR8gtRCp0-wyyH0y5IvQnenreOSKFOo8AF4Pfpekc/edit?gid=400822622#gid=400822622"", ""GRADE 11!U""&amp;ROW(U77))"),0.0)</f>
        <v>0</v>
      </c>
      <c r="X80" s="119">
        <f>IFERROR(__xludf.DUMMYFUNCTION("IMPORTRANGE(""https://docs.google.com/spreadsheets/d/1CaLR8gtRCp0-wyyH0y5IvQnenreOSKFOo8AF4Pfpekc/edit?gid=400822622#gid=400822622"", ""GRADE 11!V""&amp;ROW(V77))"),0.0)</f>
        <v>0</v>
      </c>
      <c r="Y80" s="119" t="str">
        <f>IFERROR(__xludf.DUMMYFUNCTION("IMPORTRANGE(""https://docs.google.com/spreadsheets/d/1CaLR8gtRCp0-wyyH0y5IvQnenreOSKFOo8AF4Pfpekc/edit?gid=400822622#gid=400822622"", ""GRADE 11!W""&amp;ROW(W77))"),"")</f>
        <v/>
      </c>
      <c r="Z80" s="120">
        <f>IFERROR(__xludf.DUMMYFUNCTION("IMPORTRANGE(""https://docs.google.com/spreadsheets/d/1CaLR8gtRCp0-wyyH0y5IvQnenreOSKFOo8AF4Pfpekc/edit?gid=400822622#gid=400822622"", ""GRADE 11!X""&amp;ROW(X77))"),7.0)</f>
        <v>7</v>
      </c>
      <c r="AA80" s="121">
        <f>IFERROR(__xludf.DUMMYFUNCTION("IMPORTRANGE(""https://docs.google.com/spreadsheets/d/1CaLR8gtRCp0-wyyH0y5IvQnenreOSKFOo8AF4Pfpekc/edit?gid=400822622#gid=400822622"", ""GRADE 11!Y""&amp;ROW(Y77))"),0.0)</f>
        <v>0</v>
      </c>
      <c r="AB80" s="39">
        <f>IFERROR(__xludf.DUMMYFUNCTION("IMPORTRANGE(""https://docs.google.com/spreadsheets/d/1CaLR8gtRCp0-wyyH0y5IvQnenreOSKFOo8AF4Pfpekc/edit?gid=400822622#gid=400822622"", ""GRADE 11!Z""&amp;ROW(Z77))"),0.0)</f>
        <v>0</v>
      </c>
    </row>
    <row r="81">
      <c r="A81" s="28" t="s">
        <v>19</v>
      </c>
      <c r="B81" s="29">
        <v>71.0</v>
      </c>
      <c r="C81" s="30" t="s">
        <v>175</v>
      </c>
      <c r="D81" s="118" t="s">
        <v>119</v>
      </c>
      <c r="E81" s="32" t="s">
        <v>176</v>
      </c>
      <c r="F81" s="32" t="s">
        <v>72</v>
      </c>
      <c r="G81" s="34">
        <v>10.0</v>
      </c>
      <c r="H81" s="34">
        <v>58.0</v>
      </c>
      <c r="I81" s="35">
        <f t="shared" si="1"/>
        <v>68</v>
      </c>
      <c r="J81" s="119" t="str">
        <f>IFERROR(__xludf.DUMMYFUNCTION("IMPORTRANGE(""https://docs.google.com/spreadsheets/d/1CaLR8gtRCp0-wyyH0y5IvQnenreOSKFOo8AF4Pfpekc/edit?gid=400822622#gid=400822622"", ""GRADE 11!H""&amp;ROW(H78))"),"")</f>
        <v/>
      </c>
      <c r="K81" s="119" t="str">
        <f>IFERROR(__xludf.DUMMYFUNCTION("IMPORTRANGE(""https://docs.google.com/spreadsheets/d/1CaLR8gtRCp0-wyyH0y5IvQnenreOSKFOo8AF4Pfpekc/edit?gid=400822622#gid=400822622"", ""GRADE 11!I""&amp;ROW(I78))"),"")</f>
        <v/>
      </c>
      <c r="L81" s="119" t="str">
        <f>IFERROR(__xludf.DUMMYFUNCTION("IMPORTRANGE(""https://docs.google.com/spreadsheets/d/1CaLR8gtRCp0-wyyH0y5IvQnenreOSKFOo8AF4Pfpekc/edit?gid=400822622#gid=400822622"", ""GRADE 11!J""&amp;ROW(J78))"),"")</f>
        <v/>
      </c>
      <c r="M81" s="119" t="str">
        <f>IFERROR(__xludf.DUMMYFUNCTION("IMPORTRANGE(""https://docs.google.com/spreadsheets/d/1CaLR8gtRCp0-wyyH0y5IvQnenreOSKFOo8AF4Pfpekc/edit?gid=400822622#gid=400822622"", ""GRADE 11!K""&amp;ROW(K78))"),"")</f>
        <v/>
      </c>
      <c r="N81" s="119" t="str">
        <f>IFERROR(__xludf.DUMMYFUNCTION("IMPORTRANGE(""https://docs.google.com/spreadsheets/d/1CaLR8gtRCp0-wyyH0y5IvQnenreOSKFOo8AF4Pfpekc/edit?gid=400822622#gid=400822622"", ""GRADE 11!L""&amp;ROW(L78))"),"")</f>
        <v/>
      </c>
      <c r="O81" s="119" t="str">
        <f>IFERROR(__xludf.DUMMYFUNCTION("IMPORTRANGE(""https://docs.google.com/spreadsheets/d/1CaLR8gtRCp0-wyyH0y5IvQnenreOSKFOo8AF4Pfpekc/edit?gid=400822622#gid=400822622"", ""GRADE 11!M""&amp;ROW(M78))"),"")</f>
        <v/>
      </c>
      <c r="P81" s="119" t="str">
        <f>IFERROR(__xludf.DUMMYFUNCTION("IMPORTRANGE(""https://docs.google.com/spreadsheets/d/1CaLR8gtRCp0-wyyH0y5IvQnenreOSKFOo8AF4Pfpekc/edit?gid=400822622#gid=400822622"", ""GRADE 11!N""&amp;ROW(N78))"),"")</f>
        <v/>
      </c>
      <c r="Q81" s="119" t="str">
        <f>IFERROR(__xludf.DUMMYFUNCTION("IMPORTRANGE(""https://docs.google.com/spreadsheets/d/1CaLR8gtRCp0-wyyH0y5IvQnenreOSKFOo8AF4Pfpekc/edit?gid=400822622#gid=400822622"", ""GRADE 11!O""&amp;ROW(O78))"),"")</f>
        <v/>
      </c>
      <c r="R81" s="119">
        <f>IFERROR(__xludf.DUMMYFUNCTION("IMPORTRANGE(""https://docs.google.com/spreadsheets/d/1CaLR8gtRCp0-wyyH0y5IvQnenreOSKFOo8AF4Pfpekc/edit?gid=400822622#gid=400822622"", ""GRADE 11!P""&amp;ROW(P78))"),0.0)</f>
        <v>0</v>
      </c>
      <c r="S81" s="119">
        <f>IFERROR(__xludf.DUMMYFUNCTION("IMPORTRANGE(""https://docs.google.com/spreadsheets/d/1CaLR8gtRCp0-wyyH0y5IvQnenreOSKFOo8AF4Pfpekc/edit?gid=400822622#gid=400822622"", ""GRADE 11!Q""&amp;ROW(Q78))"),0.0)</f>
        <v>0</v>
      </c>
      <c r="T81" s="119">
        <f>IFERROR(__xludf.DUMMYFUNCTION("IMPORTRANGE(""https://docs.google.com/spreadsheets/d/1CaLR8gtRCp0-wyyH0y5IvQnenreOSKFOo8AF4Pfpekc/edit?gid=400822622#gid=400822622"", ""GRADE 11!R""&amp;ROW(R78))"),0.0)</f>
        <v>0</v>
      </c>
      <c r="U81" s="119">
        <f>IFERROR(__xludf.DUMMYFUNCTION("IMPORTRANGE(""https://docs.google.com/spreadsheets/d/1CaLR8gtRCp0-wyyH0y5IvQnenreOSKFOo8AF4Pfpekc/edit?gid=400822622#gid=400822622"", ""GRADE 11!S""&amp;ROW(S78))"),0.0)</f>
        <v>0</v>
      </c>
      <c r="V81" s="119">
        <f>IFERROR(__xludf.DUMMYFUNCTION("IMPORTRANGE(""https://docs.google.com/spreadsheets/d/1CaLR8gtRCp0-wyyH0y5IvQnenreOSKFOo8AF4Pfpekc/edit?gid=400822622#gid=400822622"", ""GRADE 11!T""&amp;ROW(T78))"),0.0)</f>
        <v>0</v>
      </c>
      <c r="W81" s="119">
        <f>IFERROR(__xludf.DUMMYFUNCTION("IMPORTRANGE(""https://docs.google.com/spreadsheets/d/1CaLR8gtRCp0-wyyH0y5IvQnenreOSKFOo8AF4Pfpekc/edit?gid=400822622#gid=400822622"", ""GRADE 11!U""&amp;ROW(U78))"),0.0)</f>
        <v>0</v>
      </c>
      <c r="X81" s="119">
        <f>IFERROR(__xludf.DUMMYFUNCTION("IMPORTRANGE(""https://docs.google.com/spreadsheets/d/1CaLR8gtRCp0-wyyH0y5IvQnenreOSKFOo8AF4Pfpekc/edit?gid=400822622#gid=400822622"", ""GRADE 11!V""&amp;ROW(V78))"),0.0)</f>
        <v>0</v>
      </c>
      <c r="Y81" s="119" t="str">
        <f>IFERROR(__xludf.DUMMYFUNCTION("IMPORTRANGE(""https://docs.google.com/spreadsheets/d/1CaLR8gtRCp0-wyyH0y5IvQnenreOSKFOo8AF4Pfpekc/edit?gid=400822622#gid=400822622"", ""GRADE 11!W""&amp;ROW(W78))"),"")</f>
        <v/>
      </c>
      <c r="Z81" s="120">
        <f>IFERROR(__xludf.DUMMYFUNCTION("IMPORTRANGE(""https://docs.google.com/spreadsheets/d/1CaLR8gtRCp0-wyyH0y5IvQnenreOSKFOo8AF4Pfpekc/edit?gid=400822622#gid=400822622"", ""GRADE 11!X""&amp;ROW(X78))"),7.0)</f>
        <v>7</v>
      </c>
      <c r="AA81" s="121">
        <f>IFERROR(__xludf.DUMMYFUNCTION("IMPORTRANGE(""https://docs.google.com/spreadsheets/d/1CaLR8gtRCp0-wyyH0y5IvQnenreOSKFOo8AF4Pfpekc/edit?gid=400822622#gid=400822622"", ""GRADE 11!Y""&amp;ROW(Y78))"),0.0)</f>
        <v>0</v>
      </c>
      <c r="AB81" s="39">
        <f>IFERROR(__xludf.DUMMYFUNCTION("IMPORTRANGE(""https://docs.google.com/spreadsheets/d/1CaLR8gtRCp0-wyyH0y5IvQnenreOSKFOo8AF4Pfpekc/edit?gid=400822622#gid=400822622"", ""GRADE 11!Z""&amp;ROW(Z78))"),0.0)</f>
        <v>0</v>
      </c>
    </row>
    <row r="82">
      <c r="A82" s="122" t="s">
        <v>177</v>
      </c>
      <c r="B82" s="13"/>
      <c r="C82" s="13"/>
      <c r="D82" s="13"/>
      <c r="E82" s="14"/>
      <c r="F82" s="123">
        <f>COUNTA(F11:F81)</f>
        <v>71</v>
      </c>
      <c r="G82" s="124">
        <f t="shared" ref="G82:Y82" si="2">SUM(G10:G81)</f>
        <v>1490</v>
      </c>
      <c r="H82" s="124">
        <f t="shared" si="2"/>
        <v>1505</v>
      </c>
      <c r="I82" s="125">
        <f t="shared" si="2"/>
        <v>2995</v>
      </c>
      <c r="J82" s="126">
        <f t="shared" si="2"/>
        <v>2</v>
      </c>
      <c r="K82" s="126">
        <f t="shared" si="2"/>
        <v>2</v>
      </c>
      <c r="L82" s="126">
        <f t="shared" si="2"/>
        <v>2</v>
      </c>
      <c r="M82" s="126">
        <f t="shared" si="2"/>
        <v>2</v>
      </c>
      <c r="N82" s="126">
        <f t="shared" si="2"/>
        <v>2</v>
      </c>
      <c r="O82" s="126">
        <f t="shared" si="2"/>
        <v>5</v>
      </c>
      <c r="P82" s="126">
        <f t="shared" si="2"/>
        <v>1</v>
      </c>
      <c r="Q82" s="126">
        <f t="shared" si="2"/>
        <v>2</v>
      </c>
      <c r="R82" s="126">
        <f t="shared" si="2"/>
        <v>4</v>
      </c>
      <c r="S82" s="126">
        <f t="shared" si="2"/>
        <v>4</v>
      </c>
      <c r="T82" s="126">
        <f t="shared" si="2"/>
        <v>4</v>
      </c>
      <c r="U82" s="126">
        <f t="shared" si="2"/>
        <v>4</v>
      </c>
      <c r="V82" s="126">
        <f t="shared" si="2"/>
        <v>4</v>
      </c>
      <c r="W82" s="126">
        <f t="shared" si="2"/>
        <v>4</v>
      </c>
      <c r="X82" s="126">
        <f t="shared" si="2"/>
        <v>6</v>
      </c>
      <c r="Y82" s="126">
        <f t="shared" si="2"/>
        <v>0</v>
      </c>
      <c r="Z82" s="125">
        <f t="shared" ref="Z82:AB82" si="3">SUM(Z11:Z81)</f>
        <v>531</v>
      </c>
      <c r="AA82" s="127">
        <f t="shared" si="3"/>
        <v>50</v>
      </c>
      <c r="AB82" s="128">
        <f t="shared" si="3"/>
        <v>-48</v>
      </c>
    </row>
    <row r="84">
      <c r="A84" s="111" t="s">
        <v>343</v>
      </c>
      <c r="C84" s="105"/>
      <c r="D84" s="105"/>
      <c r="E84" s="105"/>
      <c r="F84" s="105"/>
      <c r="G84" s="106"/>
      <c r="H84" s="105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104"/>
    </row>
    <row r="85" hidden="1">
      <c r="C85" s="105"/>
      <c r="D85" s="105"/>
      <c r="E85" s="105"/>
      <c r="F85" s="105"/>
      <c r="G85" s="106"/>
      <c r="H85" s="105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104"/>
    </row>
    <row r="86" hidden="1">
      <c r="C86" s="105"/>
      <c r="D86" s="105"/>
      <c r="E86" s="105"/>
      <c r="F86" s="105"/>
      <c r="G86" s="106"/>
      <c r="H86" s="105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104"/>
    </row>
    <row r="87" hidden="1">
      <c r="C87" s="105"/>
      <c r="D87" s="105"/>
      <c r="E87" s="105"/>
      <c r="F87" s="105"/>
      <c r="G87" s="106"/>
      <c r="H87" s="105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104"/>
    </row>
  </sheetData>
  <mergeCells count="16">
    <mergeCell ref="D8:D9"/>
    <mergeCell ref="E8:E9"/>
    <mergeCell ref="A10:F10"/>
    <mergeCell ref="A82:E82"/>
    <mergeCell ref="F8:F9"/>
    <mergeCell ref="G8:I8"/>
    <mergeCell ref="Z8:Z9"/>
    <mergeCell ref="AA8:AA9"/>
    <mergeCell ref="A1:AB1"/>
    <mergeCell ref="A2:AB2"/>
    <mergeCell ref="A3:AB3"/>
    <mergeCell ref="A4:AB4"/>
    <mergeCell ref="A5:AB5"/>
    <mergeCell ref="A8:A9"/>
    <mergeCell ref="B8:C9"/>
    <mergeCell ref="AB8:AB9"/>
  </mergeCells>
  <conditionalFormatting sqref="J11:Y81">
    <cfRule type="cellIs" dxfId="3" priority="1" operator="lessThan">
      <formula>0</formula>
    </cfRule>
  </conditionalFormatting>
  <conditionalFormatting sqref="J11:Y81">
    <cfRule type="cellIs" dxfId="0" priority="2" operator="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10.25"/>
    <col customWidth="1" min="2" max="2" width="4.5"/>
    <col customWidth="1" min="3" max="3" width="15.0"/>
    <col customWidth="1" min="4" max="4" width="15.88"/>
    <col customWidth="1" min="5" max="5" width="29.75"/>
    <col customWidth="1" min="6" max="6" width="11.38"/>
    <col customWidth="1" min="7" max="8" width="9.0"/>
    <col customWidth="1" min="9" max="9" width="8.38"/>
    <col customWidth="1" min="10" max="14" width="7.13"/>
    <col customWidth="1" min="15" max="15" width="10.13"/>
    <col customWidth="1" min="16" max="21" width="7.13"/>
    <col customWidth="1" min="22" max="22" width="11.5"/>
    <col customWidth="1" min="23" max="23" width="13.63"/>
    <col customWidth="1" min="24" max="24" width="11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 ht="23.25" customHeight="1">
      <c r="A4" s="2" t="s">
        <v>3</v>
      </c>
    </row>
    <row r="5" ht="45.0" customHeight="1">
      <c r="A5" s="3" t="s">
        <v>4</v>
      </c>
    </row>
    <row r="6" ht="5.25" customHeight="1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29.25" customHeight="1">
      <c r="A8" s="8" t="s">
        <v>5</v>
      </c>
      <c r="B8" s="9" t="s">
        <v>6</v>
      </c>
      <c r="C8" s="10"/>
      <c r="D8" s="11" t="s">
        <v>7</v>
      </c>
      <c r="E8" s="11" t="s">
        <v>8</v>
      </c>
      <c r="F8" s="11" t="s">
        <v>9</v>
      </c>
      <c r="G8" s="12" t="s">
        <v>10</v>
      </c>
      <c r="H8" s="13"/>
      <c r="I8" s="14"/>
      <c r="J8" s="129" t="s">
        <v>344</v>
      </c>
      <c r="K8" s="129" t="s">
        <v>344</v>
      </c>
      <c r="L8" s="129" t="s">
        <v>344</v>
      </c>
      <c r="M8" s="129" t="s">
        <v>345</v>
      </c>
      <c r="N8" s="129" t="s">
        <v>345</v>
      </c>
      <c r="O8" s="129" t="s">
        <v>345</v>
      </c>
      <c r="P8" s="129" t="s">
        <v>344</v>
      </c>
      <c r="Q8" s="129" t="s">
        <v>344</v>
      </c>
      <c r="R8" s="129" t="s">
        <v>345</v>
      </c>
      <c r="S8" s="129" t="s">
        <v>346</v>
      </c>
      <c r="T8" s="129" t="s">
        <v>346</v>
      </c>
      <c r="U8" s="129" t="s">
        <v>346</v>
      </c>
      <c r="V8" s="114" t="s">
        <v>12</v>
      </c>
      <c r="W8" s="115" t="s">
        <v>13</v>
      </c>
      <c r="X8" s="116" t="s">
        <v>347</v>
      </c>
    </row>
    <row r="9">
      <c r="A9" s="20"/>
      <c r="B9" s="21"/>
      <c r="C9" s="22"/>
      <c r="D9" s="20"/>
      <c r="E9" s="20"/>
      <c r="F9" s="20"/>
      <c r="G9" s="23" t="s">
        <v>16</v>
      </c>
      <c r="H9" s="24" t="s">
        <v>17</v>
      </c>
      <c r="I9" s="24" t="s">
        <v>18</v>
      </c>
      <c r="J9" s="129" t="s">
        <v>363</v>
      </c>
      <c r="K9" s="129" t="s">
        <v>364</v>
      </c>
      <c r="L9" s="129" t="s">
        <v>365</v>
      </c>
      <c r="M9" s="129" t="s">
        <v>366</v>
      </c>
      <c r="N9" s="129" t="s">
        <v>367</v>
      </c>
      <c r="O9" s="129" t="s">
        <v>368</v>
      </c>
      <c r="P9" s="129" t="s">
        <v>369</v>
      </c>
      <c r="Q9" s="129" t="s">
        <v>354</v>
      </c>
      <c r="R9" s="129" t="s">
        <v>370</v>
      </c>
      <c r="S9" s="129" t="s">
        <v>361</v>
      </c>
      <c r="T9" s="129" t="s">
        <v>362</v>
      </c>
      <c r="U9" s="129" t="s">
        <v>371</v>
      </c>
      <c r="V9" s="20"/>
      <c r="W9" s="20"/>
      <c r="X9" s="20"/>
    </row>
    <row r="10">
      <c r="A10" s="25" t="s">
        <v>178</v>
      </c>
      <c r="B10" s="13"/>
      <c r="C10" s="13"/>
      <c r="D10" s="13"/>
      <c r="E10" s="13"/>
      <c r="F10" s="13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7"/>
    </row>
    <row r="11" ht="22.5" customHeight="1">
      <c r="A11" s="52" t="s">
        <v>178</v>
      </c>
      <c r="B11" s="53">
        <v>1.0</v>
      </c>
      <c r="C11" s="53" t="s">
        <v>179</v>
      </c>
      <c r="D11" s="54" t="s">
        <v>21</v>
      </c>
      <c r="E11" s="55" t="s">
        <v>180</v>
      </c>
      <c r="F11" s="55" t="s">
        <v>21</v>
      </c>
      <c r="G11" s="56">
        <v>19.0</v>
      </c>
      <c r="H11" s="56">
        <v>29.0</v>
      </c>
      <c r="I11" s="57">
        <f t="shared" ref="I11:I83" si="1">SUM(G11:H11)</f>
        <v>48</v>
      </c>
      <c r="J11" s="130">
        <f>IFERROR(__xludf.DUMMYFUNCTION("IMPORTRANGE(""https://docs.google.com/spreadsheets/d/1CaLR8gtRCp0-wyyH0y5IvQnenreOSKFOo8AF4Pfpekc/edit?gid=400822622#gid=400822622"", ""GRADE 12!H""&amp;ROW(H8))"),0.0)</f>
        <v>0</v>
      </c>
      <c r="K11" s="130">
        <f>IFERROR(__xludf.DUMMYFUNCTION("IMPORTRANGE(""https://docs.google.com/spreadsheets/d/1CaLR8gtRCp0-wyyH0y5IvQnenreOSKFOo8AF4Pfpekc/edit?gid=400822622#gid=400822622"", ""GRADE 12!I""&amp;ROW(I8))"),0.0)</f>
        <v>0</v>
      </c>
      <c r="L11" s="130">
        <f>IFERROR(__xludf.DUMMYFUNCTION("IMPORTRANGE(""https://docs.google.com/spreadsheets/d/1CaLR8gtRCp0-wyyH0y5IvQnenreOSKFOo8AF4Pfpekc/edit?gid=400822622#gid=400822622"", ""GRADE 12!J""&amp;ROW(J8))"),0.0)</f>
        <v>0</v>
      </c>
      <c r="M11" s="130">
        <f>IFERROR(__xludf.DUMMYFUNCTION("IMPORTRANGE(""https://docs.google.com/spreadsheets/d/1CaLR8gtRCp0-wyyH0y5IvQnenreOSKFOo8AF4Pfpekc/edit?gid=400822622#gid=400822622"", ""GRADE 12!K""&amp;ROW(K8))"),0.0)</f>
        <v>0</v>
      </c>
      <c r="N11" s="130">
        <f>IFERROR(__xludf.DUMMYFUNCTION("IMPORTRANGE(""https://docs.google.com/spreadsheets/d/1CaLR8gtRCp0-wyyH0y5IvQnenreOSKFOo8AF4Pfpekc/edit?gid=400822622#gid=400822622"", ""GRADE 12!L""&amp;ROW(L8))"),0.0)</f>
        <v>0</v>
      </c>
      <c r="O11" s="130">
        <f>IFERROR(__xludf.DUMMYFUNCTION("IMPORTRANGE(""https://docs.google.com/spreadsheets/d/1CaLR8gtRCp0-wyyH0y5IvQnenreOSKFOo8AF4Pfpekc/edit?gid=400822622#gid=400822622"", ""GRADE 12!M""&amp;ROW(M8))"),0.0)</f>
        <v>0</v>
      </c>
      <c r="P11" s="130" t="str">
        <f>IFERROR(__xludf.DUMMYFUNCTION("IMPORTRANGE(""https://docs.google.com/spreadsheets/d/1CaLR8gtRCp0-wyyH0y5IvQnenreOSKFOo8AF4Pfpekc/edit?gid=400822622#gid=400822622"", ""GRADE 12!N""&amp;ROW(N8))"),"")</f>
        <v/>
      </c>
      <c r="Q11" s="130" t="str">
        <f>IFERROR(__xludf.DUMMYFUNCTION("IMPORTRANGE(""https://docs.google.com/spreadsheets/d/1CaLR8gtRCp0-wyyH0y5IvQnenreOSKFOo8AF4Pfpekc/edit?gid=400822622#gid=400822622"", ""GRADE 12!O""&amp;ROW(O8))"),"")</f>
        <v/>
      </c>
      <c r="R11" s="130" t="str">
        <f>IFERROR(__xludf.DUMMYFUNCTION("IMPORTRANGE(""https://docs.google.com/spreadsheets/d/1CaLR8gtRCp0-wyyH0y5IvQnenreOSKFOo8AF4Pfpekc/edit?gid=400822622#gid=400822622"", ""GRADE 12!P""&amp;ROW(P8))"),"")</f>
        <v/>
      </c>
      <c r="S11" s="130">
        <f>IFERROR(__xludf.DUMMYFUNCTION("IMPORTRANGE(""https://docs.google.com/spreadsheets/d/1CaLR8gtRCp0-wyyH0y5IvQnenreOSKFOo8AF4Pfpekc/edit?gid=400822622#gid=400822622"", ""GRADE 12!Q""&amp;ROW(Q8))"),0.0)</f>
        <v>0</v>
      </c>
      <c r="T11" s="130">
        <f>IFERROR(__xludf.DUMMYFUNCTION("IMPORTRANGE(""https://docs.google.com/spreadsheets/d/1CaLR8gtRCp0-wyyH0y5IvQnenreOSKFOo8AF4Pfpekc/edit?gid=400822622#gid=400822622"", ""GRADE 12!R""&amp;ROW(R8))"),0.0)</f>
        <v>0</v>
      </c>
      <c r="U11" s="130" t="str">
        <f>IFERROR(__xludf.DUMMYFUNCTION("IMPORTRANGE(""https://docs.google.com/spreadsheets/d/1CaLR8gtRCp0-wyyH0y5IvQnenreOSKFOo8AF4Pfpekc/edit?gid=400822622#gid=400822622"", ""GRADE 12!S""&amp;ROW(S8))"),"")</f>
        <v/>
      </c>
      <c r="V11" s="131">
        <f>IFERROR(__xludf.DUMMYFUNCTION("IMPORTRANGE(""https://docs.google.com/spreadsheets/d/1CaLR8gtRCp0-wyyH0y5IvQnenreOSKFOo8AF4Pfpekc/edit?gid=400822622#gid=400822622"", ""GRADE 12!T""&amp;ROW(T8))"),8.0)</f>
        <v>8</v>
      </c>
      <c r="W11" s="132">
        <f>IFERROR(__xludf.DUMMYFUNCTION("IMPORTRANGE(""https://docs.google.com/spreadsheets/d/1CaLR8gtRCp0-wyyH0y5IvQnenreOSKFOo8AF4Pfpekc/edit?gid=400822622#gid=400822622"", ""GRADE 12!U""&amp;ROW(U8))"),0.0)</f>
        <v>0</v>
      </c>
      <c r="X11" s="61">
        <f>IFERROR(__xludf.DUMMYFUNCTION("IMPORTRANGE(""https://docs.google.com/spreadsheets/d/1CaLR8gtRCp0-wyyH0y5IvQnenreOSKFOo8AF4Pfpekc/edit?gid=400822622#gid=400822622"", ""GRADE 12!V""&amp;ROW(V8))"),0.0)</f>
        <v>0</v>
      </c>
    </row>
    <row r="12" ht="22.5" customHeight="1">
      <c r="A12" s="63" t="s">
        <v>178</v>
      </c>
      <c r="B12" s="64">
        <v>2.0</v>
      </c>
      <c r="C12" s="64" t="s">
        <v>181</v>
      </c>
      <c r="D12" s="65" t="s">
        <v>21</v>
      </c>
      <c r="E12" s="66" t="s">
        <v>182</v>
      </c>
      <c r="F12" s="66" t="s">
        <v>21</v>
      </c>
      <c r="G12" s="67">
        <v>18.0</v>
      </c>
      <c r="H12" s="67">
        <v>29.0</v>
      </c>
      <c r="I12" s="35">
        <f t="shared" si="1"/>
        <v>47</v>
      </c>
      <c r="J12" s="130">
        <f>IFERROR(__xludf.DUMMYFUNCTION("IMPORTRANGE(""https://docs.google.com/spreadsheets/d/1CaLR8gtRCp0-wyyH0y5IvQnenreOSKFOo8AF4Pfpekc/edit?gid=400822622#gid=400822622"", ""GRADE 12!H""&amp;ROW(H9))"),0.0)</f>
        <v>0</v>
      </c>
      <c r="K12" s="130">
        <f>IFERROR(__xludf.DUMMYFUNCTION("IMPORTRANGE(""https://docs.google.com/spreadsheets/d/1CaLR8gtRCp0-wyyH0y5IvQnenreOSKFOo8AF4Pfpekc/edit?gid=400822622#gid=400822622"", ""GRADE 12!I""&amp;ROW(I9))"),0.0)</f>
        <v>0</v>
      </c>
      <c r="L12" s="130">
        <f>IFERROR(__xludf.DUMMYFUNCTION("IMPORTRANGE(""https://docs.google.com/spreadsheets/d/1CaLR8gtRCp0-wyyH0y5IvQnenreOSKFOo8AF4Pfpekc/edit?gid=400822622#gid=400822622"", ""GRADE 12!J""&amp;ROW(J9))"),0.0)</f>
        <v>0</v>
      </c>
      <c r="M12" s="130">
        <f>IFERROR(__xludf.DUMMYFUNCTION("IMPORTRANGE(""https://docs.google.com/spreadsheets/d/1CaLR8gtRCp0-wyyH0y5IvQnenreOSKFOo8AF4Pfpekc/edit?gid=400822622#gid=400822622"", ""GRADE 12!K""&amp;ROW(K9))"),0.0)</f>
        <v>0</v>
      </c>
      <c r="N12" s="130">
        <f>IFERROR(__xludf.DUMMYFUNCTION("IMPORTRANGE(""https://docs.google.com/spreadsheets/d/1CaLR8gtRCp0-wyyH0y5IvQnenreOSKFOo8AF4Pfpekc/edit?gid=400822622#gid=400822622"", ""GRADE 12!L""&amp;ROW(L9))"),0.0)</f>
        <v>0</v>
      </c>
      <c r="O12" s="130">
        <f>IFERROR(__xludf.DUMMYFUNCTION("IMPORTRANGE(""https://docs.google.com/spreadsheets/d/1CaLR8gtRCp0-wyyH0y5IvQnenreOSKFOo8AF4Pfpekc/edit?gid=400822622#gid=400822622"", ""GRADE 12!M""&amp;ROW(M9))"),0.0)</f>
        <v>0</v>
      </c>
      <c r="P12" s="130" t="str">
        <f>IFERROR(__xludf.DUMMYFUNCTION("IMPORTRANGE(""https://docs.google.com/spreadsheets/d/1CaLR8gtRCp0-wyyH0y5IvQnenreOSKFOo8AF4Pfpekc/edit?gid=400822622#gid=400822622"", ""GRADE 12!N""&amp;ROW(N9))"),"")</f>
        <v/>
      </c>
      <c r="Q12" s="130" t="str">
        <f>IFERROR(__xludf.DUMMYFUNCTION("IMPORTRANGE(""https://docs.google.com/spreadsheets/d/1CaLR8gtRCp0-wyyH0y5IvQnenreOSKFOo8AF4Pfpekc/edit?gid=400822622#gid=400822622"", ""GRADE 12!O""&amp;ROW(O9))"),"")</f>
        <v/>
      </c>
      <c r="R12" s="130" t="str">
        <f>IFERROR(__xludf.DUMMYFUNCTION("IMPORTRANGE(""https://docs.google.com/spreadsheets/d/1CaLR8gtRCp0-wyyH0y5IvQnenreOSKFOo8AF4Pfpekc/edit?gid=400822622#gid=400822622"", ""GRADE 12!P""&amp;ROW(P9))"),"")</f>
        <v/>
      </c>
      <c r="S12" s="130">
        <f>IFERROR(__xludf.DUMMYFUNCTION("IMPORTRANGE(""https://docs.google.com/spreadsheets/d/1CaLR8gtRCp0-wyyH0y5IvQnenreOSKFOo8AF4Pfpekc/edit?gid=400822622#gid=400822622"", ""GRADE 12!Q""&amp;ROW(Q9))"),0.0)</f>
        <v>0</v>
      </c>
      <c r="T12" s="130">
        <f>IFERROR(__xludf.DUMMYFUNCTION("IMPORTRANGE(""https://docs.google.com/spreadsheets/d/1CaLR8gtRCp0-wyyH0y5IvQnenreOSKFOo8AF4Pfpekc/edit?gid=400822622#gid=400822622"", ""GRADE 12!R""&amp;ROW(R9))"),0.0)</f>
        <v>0</v>
      </c>
      <c r="U12" s="130" t="str">
        <f>IFERROR(__xludf.DUMMYFUNCTION("IMPORTRANGE(""https://docs.google.com/spreadsheets/d/1CaLR8gtRCp0-wyyH0y5IvQnenreOSKFOo8AF4Pfpekc/edit?gid=400822622#gid=400822622"", ""GRADE 12!S""&amp;ROW(S9))"),"")</f>
        <v/>
      </c>
      <c r="V12" s="131">
        <f>IFERROR(__xludf.DUMMYFUNCTION("IMPORTRANGE(""https://docs.google.com/spreadsheets/d/1CaLR8gtRCp0-wyyH0y5IvQnenreOSKFOo8AF4Pfpekc/edit?gid=400822622#gid=400822622"", ""GRADE 12!T""&amp;ROW(T9))"),8.0)</f>
        <v>8</v>
      </c>
      <c r="W12" s="132">
        <f>IFERROR(__xludf.DUMMYFUNCTION("IMPORTRANGE(""https://docs.google.com/spreadsheets/d/1CaLR8gtRCp0-wyyH0y5IvQnenreOSKFOo8AF4Pfpekc/edit?gid=400822622#gid=400822622"", ""GRADE 12!U""&amp;ROW(U9))"),0.0)</f>
        <v>0</v>
      </c>
      <c r="X12" s="61">
        <f>IFERROR(__xludf.DUMMYFUNCTION("IMPORTRANGE(""https://docs.google.com/spreadsheets/d/1CaLR8gtRCp0-wyyH0y5IvQnenreOSKFOo8AF4Pfpekc/edit?gid=400822622#gid=400822622"", ""GRADE 12!V""&amp;ROW(V9))"),0.0)</f>
        <v>0</v>
      </c>
    </row>
    <row r="13" ht="22.5" customHeight="1">
      <c r="A13" s="63" t="s">
        <v>178</v>
      </c>
      <c r="B13" s="64">
        <v>3.0</v>
      </c>
      <c r="C13" s="64" t="s">
        <v>183</v>
      </c>
      <c r="D13" s="65" t="s">
        <v>21</v>
      </c>
      <c r="E13" s="66" t="s">
        <v>184</v>
      </c>
      <c r="F13" s="66" t="s">
        <v>55</v>
      </c>
      <c r="G13" s="67">
        <v>18.0</v>
      </c>
      <c r="H13" s="67">
        <v>30.0</v>
      </c>
      <c r="I13" s="35">
        <f t="shared" si="1"/>
        <v>48</v>
      </c>
      <c r="J13" s="130">
        <f>IFERROR(__xludf.DUMMYFUNCTION("IMPORTRANGE(""https://docs.google.com/spreadsheets/d/1CaLR8gtRCp0-wyyH0y5IvQnenreOSKFOo8AF4Pfpekc/edit?gid=400822622#gid=400822622"", ""GRADE 12!H""&amp;ROW(H10))"),0.0)</f>
        <v>0</v>
      </c>
      <c r="K13" s="130">
        <f>IFERROR(__xludf.DUMMYFUNCTION("IMPORTRANGE(""https://docs.google.com/spreadsheets/d/1CaLR8gtRCp0-wyyH0y5IvQnenreOSKFOo8AF4Pfpekc/edit?gid=400822622#gid=400822622"", ""GRADE 12!I""&amp;ROW(I10))"),0.0)</f>
        <v>0</v>
      </c>
      <c r="L13" s="130">
        <f>IFERROR(__xludf.DUMMYFUNCTION("IMPORTRANGE(""https://docs.google.com/spreadsheets/d/1CaLR8gtRCp0-wyyH0y5IvQnenreOSKFOo8AF4Pfpekc/edit?gid=400822622#gid=400822622"", ""GRADE 12!J""&amp;ROW(J10))"),0.0)</f>
        <v>0</v>
      </c>
      <c r="M13" s="130">
        <f>IFERROR(__xludf.DUMMYFUNCTION("IMPORTRANGE(""https://docs.google.com/spreadsheets/d/1CaLR8gtRCp0-wyyH0y5IvQnenreOSKFOo8AF4Pfpekc/edit?gid=400822622#gid=400822622"", ""GRADE 12!K""&amp;ROW(K10))"),0.0)</f>
        <v>0</v>
      </c>
      <c r="N13" s="130">
        <f>IFERROR(__xludf.DUMMYFUNCTION("IMPORTRANGE(""https://docs.google.com/spreadsheets/d/1CaLR8gtRCp0-wyyH0y5IvQnenreOSKFOo8AF4Pfpekc/edit?gid=400822622#gid=400822622"", ""GRADE 12!L""&amp;ROW(L10))"),0.0)</f>
        <v>0</v>
      </c>
      <c r="O13" s="130">
        <f>IFERROR(__xludf.DUMMYFUNCTION("IMPORTRANGE(""https://docs.google.com/spreadsheets/d/1CaLR8gtRCp0-wyyH0y5IvQnenreOSKFOo8AF4Pfpekc/edit?gid=400822622#gid=400822622"", ""GRADE 12!M""&amp;ROW(M10))"),0.0)</f>
        <v>0</v>
      </c>
      <c r="P13" s="130" t="str">
        <f>IFERROR(__xludf.DUMMYFUNCTION("IMPORTRANGE(""https://docs.google.com/spreadsheets/d/1CaLR8gtRCp0-wyyH0y5IvQnenreOSKFOo8AF4Pfpekc/edit?gid=400822622#gid=400822622"", ""GRADE 12!N""&amp;ROW(N10))"),"")</f>
        <v/>
      </c>
      <c r="Q13" s="130" t="str">
        <f>IFERROR(__xludf.DUMMYFUNCTION("IMPORTRANGE(""https://docs.google.com/spreadsheets/d/1CaLR8gtRCp0-wyyH0y5IvQnenreOSKFOo8AF4Pfpekc/edit?gid=400822622#gid=400822622"", ""GRADE 12!O""&amp;ROW(O10))"),"")</f>
        <v/>
      </c>
      <c r="R13" s="130" t="str">
        <f>IFERROR(__xludf.DUMMYFUNCTION("IMPORTRANGE(""https://docs.google.com/spreadsheets/d/1CaLR8gtRCp0-wyyH0y5IvQnenreOSKFOo8AF4Pfpekc/edit?gid=400822622#gid=400822622"", ""GRADE 12!P""&amp;ROW(P10))"),"")</f>
        <v/>
      </c>
      <c r="S13" s="130">
        <f>IFERROR(__xludf.DUMMYFUNCTION("IMPORTRANGE(""https://docs.google.com/spreadsheets/d/1CaLR8gtRCp0-wyyH0y5IvQnenreOSKFOo8AF4Pfpekc/edit?gid=400822622#gid=400822622"", ""GRADE 12!Q""&amp;ROW(Q10))"),0.0)</f>
        <v>0</v>
      </c>
      <c r="T13" s="130">
        <f>IFERROR(__xludf.DUMMYFUNCTION("IMPORTRANGE(""https://docs.google.com/spreadsheets/d/1CaLR8gtRCp0-wyyH0y5IvQnenreOSKFOo8AF4Pfpekc/edit?gid=400822622#gid=400822622"", ""GRADE 12!R""&amp;ROW(R10))"),0.0)</f>
        <v>0</v>
      </c>
      <c r="U13" s="130" t="str">
        <f>IFERROR(__xludf.DUMMYFUNCTION("IMPORTRANGE(""https://docs.google.com/spreadsheets/d/1CaLR8gtRCp0-wyyH0y5IvQnenreOSKFOo8AF4Pfpekc/edit?gid=400822622#gid=400822622"", ""GRADE 12!S""&amp;ROW(S10))"),"")</f>
        <v/>
      </c>
      <c r="V13" s="131">
        <f>IFERROR(__xludf.DUMMYFUNCTION("IMPORTRANGE(""https://docs.google.com/spreadsheets/d/1CaLR8gtRCp0-wyyH0y5IvQnenreOSKFOo8AF4Pfpekc/edit?gid=400822622#gid=400822622"", ""GRADE 12!T""&amp;ROW(T10))"),8.0)</f>
        <v>8</v>
      </c>
      <c r="W13" s="132">
        <f>IFERROR(__xludf.DUMMYFUNCTION("IMPORTRANGE(""https://docs.google.com/spreadsheets/d/1CaLR8gtRCp0-wyyH0y5IvQnenreOSKFOo8AF4Pfpekc/edit?gid=400822622#gid=400822622"", ""GRADE 12!U""&amp;ROW(U10))"),0.0)</f>
        <v>0</v>
      </c>
      <c r="X13" s="61">
        <f>IFERROR(__xludf.DUMMYFUNCTION("IMPORTRANGE(""https://docs.google.com/spreadsheets/d/1CaLR8gtRCp0-wyyH0y5IvQnenreOSKFOo8AF4Pfpekc/edit?gid=400822622#gid=400822622"", ""GRADE 12!V""&amp;ROW(V10))"),0.0)</f>
        <v>0</v>
      </c>
    </row>
    <row r="14" ht="22.5" customHeight="1">
      <c r="A14" s="63" t="s">
        <v>178</v>
      </c>
      <c r="B14" s="64">
        <v>4.0</v>
      </c>
      <c r="C14" s="64" t="s">
        <v>185</v>
      </c>
      <c r="D14" s="65" t="s">
        <v>21</v>
      </c>
      <c r="E14" s="66" t="s">
        <v>186</v>
      </c>
      <c r="F14" s="66" t="s">
        <v>27</v>
      </c>
      <c r="G14" s="67">
        <v>18.0</v>
      </c>
      <c r="H14" s="67">
        <v>30.0</v>
      </c>
      <c r="I14" s="35">
        <f t="shared" si="1"/>
        <v>48</v>
      </c>
      <c r="J14" s="130">
        <f>IFERROR(__xludf.DUMMYFUNCTION("IMPORTRANGE(""https://docs.google.com/spreadsheets/d/1CaLR8gtRCp0-wyyH0y5IvQnenreOSKFOo8AF4Pfpekc/edit?gid=400822622#gid=400822622"", ""GRADE 12!H""&amp;ROW(H11))"),0.0)</f>
        <v>0</v>
      </c>
      <c r="K14" s="130">
        <f>IFERROR(__xludf.DUMMYFUNCTION("IMPORTRANGE(""https://docs.google.com/spreadsheets/d/1CaLR8gtRCp0-wyyH0y5IvQnenreOSKFOo8AF4Pfpekc/edit?gid=400822622#gid=400822622"", ""GRADE 12!I""&amp;ROW(I11))"),0.0)</f>
        <v>0</v>
      </c>
      <c r="L14" s="130">
        <f>IFERROR(__xludf.DUMMYFUNCTION("IMPORTRANGE(""https://docs.google.com/spreadsheets/d/1CaLR8gtRCp0-wyyH0y5IvQnenreOSKFOo8AF4Pfpekc/edit?gid=400822622#gid=400822622"", ""GRADE 12!J""&amp;ROW(J11))"),0.0)</f>
        <v>0</v>
      </c>
      <c r="M14" s="130">
        <f>IFERROR(__xludf.DUMMYFUNCTION("IMPORTRANGE(""https://docs.google.com/spreadsheets/d/1CaLR8gtRCp0-wyyH0y5IvQnenreOSKFOo8AF4Pfpekc/edit?gid=400822622#gid=400822622"", ""GRADE 12!K""&amp;ROW(K11))"),0.0)</f>
        <v>0</v>
      </c>
      <c r="N14" s="130">
        <f>IFERROR(__xludf.DUMMYFUNCTION("IMPORTRANGE(""https://docs.google.com/spreadsheets/d/1CaLR8gtRCp0-wyyH0y5IvQnenreOSKFOo8AF4Pfpekc/edit?gid=400822622#gid=400822622"", ""GRADE 12!L""&amp;ROW(L11))"),0.0)</f>
        <v>0</v>
      </c>
      <c r="O14" s="130">
        <f>IFERROR(__xludf.DUMMYFUNCTION("IMPORTRANGE(""https://docs.google.com/spreadsheets/d/1CaLR8gtRCp0-wyyH0y5IvQnenreOSKFOo8AF4Pfpekc/edit?gid=400822622#gid=400822622"", ""GRADE 12!M""&amp;ROW(M11))"),0.0)</f>
        <v>0</v>
      </c>
      <c r="P14" s="130" t="str">
        <f>IFERROR(__xludf.DUMMYFUNCTION("IMPORTRANGE(""https://docs.google.com/spreadsheets/d/1CaLR8gtRCp0-wyyH0y5IvQnenreOSKFOo8AF4Pfpekc/edit?gid=400822622#gid=400822622"", ""GRADE 12!N""&amp;ROW(N11))"),"")</f>
        <v/>
      </c>
      <c r="Q14" s="130" t="str">
        <f>IFERROR(__xludf.DUMMYFUNCTION("IMPORTRANGE(""https://docs.google.com/spreadsheets/d/1CaLR8gtRCp0-wyyH0y5IvQnenreOSKFOo8AF4Pfpekc/edit?gid=400822622#gid=400822622"", ""GRADE 12!O""&amp;ROW(O11))"),"")</f>
        <v/>
      </c>
      <c r="R14" s="130" t="str">
        <f>IFERROR(__xludf.DUMMYFUNCTION("IMPORTRANGE(""https://docs.google.com/spreadsheets/d/1CaLR8gtRCp0-wyyH0y5IvQnenreOSKFOo8AF4Pfpekc/edit?gid=400822622#gid=400822622"", ""GRADE 12!P""&amp;ROW(P11))"),"")</f>
        <v/>
      </c>
      <c r="S14" s="130">
        <f>IFERROR(__xludf.DUMMYFUNCTION("IMPORTRANGE(""https://docs.google.com/spreadsheets/d/1CaLR8gtRCp0-wyyH0y5IvQnenreOSKFOo8AF4Pfpekc/edit?gid=400822622#gid=400822622"", ""GRADE 12!Q""&amp;ROW(Q11))"),0.0)</f>
        <v>0</v>
      </c>
      <c r="T14" s="130">
        <f>IFERROR(__xludf.DUMMYFUNCTION("IMPORTRANGE(""https://docs.google.com/spreadsheets/d/1CaLR8gtRCp0-wyyH0y5IvQnenreOSKFOo8AF4Pfpekc/edit?gid=400822622#gid=400822622"", ""GRADE 12!R""&amp;ROW(R11))"),0.0)</f>
        <v>0</v>
      </c>
      <c r="U14" s="130" t="str">
        <f>IFERROR(__xludf.DUMMYFUNCTION("IMPORTRANGE(""https://docs.google.com/spreadsheets/d/1CaLR8gtRCp0-wyyH0y5IvQnenreOSKFOo8AF4Pfpekc/edit?gid=400822622#gid=400822622"", ""GRADE 12!S""&amp;ROW(S11))"),"")</f>
        <v/>
      </c>
      <c r="V14" s="131">
        <f>IFERROR(__xludf.DUMMYFUNCTION("IMPORTRANGE(""https://docs.google.com/spreadsheets/d/1CaLR8gtRCp0-wyyH0y5IvQnenreOSKFOo8AF4Pfpekc/edit?gid=400822622#gid=400822622"", ""GRADE 12!T""&amp;ROW(T11))"),8.0)</f>
        <v>8</v>
      </c>
      <c r="W14" s="132">
        <f>IFERROR(__xludf.DUMMYFUNCTION("IMPORTRANGE(""https://docs.google.com/spreadsheets/d/1CaLR8gtRCp0-wyyH0y5IvQnenreOSKFOo8AF4Pfpekc/edit?gid=400822622#gid=400822622"", ""GRADE 12!U""&amp;ROW(U11))"),0.0)</f>
        <v>0</v>
      </c>
      <c r="X14" s="61">
        <f>IFERROR(__xludf.DUMMYFUNCTION("IMPORTRANGE(""https://docs.google.com/spreadsheets/d/1CaLR8gtRCp0-wyyH0y5IvQnenreOSKFOo8AF4Pfpekc/edit?gid=400822622#gid=400822622"", ""GRADE 12!V""&amp;ROW(V11))"),0.0)</f>
        <v>0</v>
      </c>
    </row>
    <row r="15" ht="22.5" customHeight="1">
      <c r="A15" s="63" t="s">
        <v>178</v>
      </c>
      <c r="B15" s="64">
        <v>5.0</v>
      </c>
      <c r="C15" s="64" t="s">
        <v>187</v>
      </c>
      <c r="D15" s="65" t="s">
        <v>21</v>
      </c>
      <c r="E15" s="66" t="s">
        <v>188</v>
      </c>
      <c r="F15" s="66" t="s">
        <v>30</v>
      </c>
      <c r="G15" s="67">
        <v>16.0</v>
      </c>
      <c r="H15" s="67">
        <v>31.0</v>
      </c>
      <c r="I15" s="35">
        <f t="shared" si="1"/>
        <v>47</v>
      </c>
      <c r="J15" s="130">
        <f>IFERROR(__xludf.DUMMYFUNCTION("IMPORTRANGE(""https://docs.google.com/spreadsheets/d/1CaLR8gtRCp0-wyyH0y5IvQnenreOSKFOo8AF4Pfpekc/edit?gid=400822622#gid=400822622"", ""GRADE 12!H""&amp;ROW(H12))"),0.0)</f>
        <v>0</v>
      </c>
      <c r="K15" s="130">
        <f>IFERROR(__xludf.DUMMYFUNCTION("IMPORTRANGE(""https://docs.google.com/spreadsheets/d/1CaLR8gtRCp0-wyyH0y5IvQnenreOSKFOo8AF4Pfpekc/edit?gid=400822622#gid=400822622"", ""GRADE 12!I""&amp;ROW(I12))"),0.0)</f>
        <v>0</v>
      </c>
      <c r="L15" s="130">
        <f>IFERROR(__xludf.DUMMYFUNCTION("IMPORTRANGE(""https://docs.google.com/spreadsheets/d/1CaLR8gtRCp0-wyyH0y5IvQnenreOSKFOo8AF4Pfpekc/edit?gid=400822622#gid=400822622"", ""GRADE 12!J""&amp;ROW(J12))"),0.0)</f>
        <v>0</v>
      </c>
      <c r="M15" s="130">
        <f>IFERROR(__xludf.DUMMYFUNCTION("IMPORTRANGE(""https://docs.google.com/spreadsheets/d/1CaLR8gtRCp0-wyyH0y5IvQnenreOSKFOo8AF4Pfpekc/edit?gid=400822622#gid=400822622"", ""GRADE 12!K""&amp;ROW(K12))"),0.0)</f>
        <v>0</v>
      </c>
      <c r="N15" s="130">
        <f>IFERROR(__xludf.DUMMYFUNCTION("IMPORTRANGE(""https://docs.google.com/spreadsheets/d/1CaLR8gtRCp0-wyyH0y5IvQnenreOSKFOo8AF4Pfpekc/edit?gid=400822622#gid=400822622"", ""GRADE 12!L""&amp;ROW(L12))"),0.0)</f>
        <v>0</v>
      </c>
      <c r="O15" s="130">
        <f>IFERROR(__xludf.DUMMYFUNCTION("IMPORTRANGE(""https://docs.google.com/spreadsheets/d/1CaLR8gtRCp0-wyyH0y5IvQnenreOSKFOo8AF4Pfpekc/edit?gid=400822622#gid=400822622"", ""GRADE 12!M""&amp;ROW(M12))"),0.0)</f>
        <v>0</v>
      </c>
      <c r="P15" s="130" t="str">
        <f>IFERROR(__xludf.DUMMYFUNCTION("IMPORTRANGE(""https://docs.google.com/spreadsheets/d/1CaLR8gtRCp0-wyyH0y5IvQnenreOSKFOo8AF4Pfpekc/edit?gid=400822622#gid=400822622"", ""GRADE 12!N""&amp;ROW(N12))"),"")</f>
        <v/>
      </c>
      <c r="Q15" s="130" t="str">
        <f>IFERROR(__xludf.DUMMYFUNCTION("IMPORTRANGE(""https://docs.google.com/spreadsheets/d/1CaLR8gtRCp0-wyyH0y5IvQnenreOSKFOo8AF4Pfpekc/edit?gid=400822622#gid=400822622"", ""GRADE 12!O""&amp;ROW(O12))"),"")</f>
        <v/>
      </c>
      <c r="R15" s="130" t="str">
        <f>IFERROR(__xludf.DUMMYFUNCTION("IMPORTRANGE(""https://docs.google.com/spreadsheets/d/1CaLR8gtRCp0-wyyH0y5IvQnenreOSKFOo8AF4Pfpekc/edit?gid=400822622#gid=400822622"", ""GRADE 12!P""&amp;ROW(P12))"),"")</f>
        <v/>
      </c>
      <c r="S15" s="130">
        <f>IFERROR(__xludf.DUMMYFUNCTION("IMPORTRANGE(""https://docs.google.com/spreadsheets/d/1CaLR8gtRCp0-wyyH0y5IvQnenreOSKFOo8AF4Pfpekc/edit?gid=400822622#gid=400822622"", ""GRADE 12!Q""&amp;ROW(Q12))"),0.0)</f>
        <v>0</v>
      </c>
      <c r="T15" s="130">
        <f>IFERROR(__xludf.DUMMYFUNCTION("IMPORTRANGE(""https://docs.google.com/spreadsheets/d/1CaLR8gtRCp0-wyyH0y5IvQnenreOSKFOo8AF4Pfpekc/edit?gid=400822622#gid=400822622"", ""GRADE 12!R""&amp;ROW(R12))"),0.0)</f>
        <v>0</v>
      </c>
      <c r="U15" s="130" t="str">
        <f>IFERROR(__xludf.DUMMYFUNCTION("IMPORTRANGE(""https://docs.google.com/spreadsheets/d/1CaLR8gtRCp0-wyyH0y5IvQnenreOSKFOo8AF4Pfpekc/edit?gid=400822622#gid=400822622"", ""GRADE 12!S""&amp;ROW(S12))"),"")</f>
        <v/>
      </c>
      <c r="V15" s="131">
        <f>IFERROR(__xludf.DUMMYFUNCTION("IMPORTRANGE(""https://docs.google.com/spreadsheets/d/1CaLR8gtRCp0-wyyH0y5IvQnenreOSKFOo8AF4Pfpekc/edit?gid=400822622#gid=400822622"", ""GRADE 12!T""&amp;ROW(T12))"),8.0)</f>
        <v>8</v>
      </c>
      <c r="W15" s="132">
        <f>IFERROR(__xludf.DUMMYFUNCTION("IMPORTRANGE(""https://docs.google.com/spreadsheets/d/1CaLR8gtRCp0-wyyH0y5IvQnenreOSKFOo8AF4Pfpekc/edit?gid=400822622#gid=400822622"", ""GRADE 12!U""&amp;ROW(U12))"),0.0)</f>
        <v>0</v>
      </c>
      <c r="X15" s="61">
        <f>IFERROR(__xludf.DUMMYFUNCTION("IMPORTRANGE(""https://docs.google.com/spreadsheets/d/1CaLR8gtRCp0-wyyH0y5IvQnenreOSKFOo8AF4Pfpekc/edit?gid=400822622#gid=400822622"", ""GRADE 12!V""&amp;ROW(V12))"),0.0)</f>
        <v>0</v>
      </c>
    </row>
    <row r="16" ht="22.5" customHeight="1">
      <c r="A16" s="63" t="s">
        <v>178</v>
      </c>
      <c r="B16" s="64">
        <v>6.0</v>
      </c>
      <c r="C16" s="64" t="s">
        <v>189</v>
      </c>
      <c r="D16" s="65" t="s">
        <v>21</v>
      </c>
      <c r="E16" s="66" t="s">
        <v>190</v>
      </c>
      <c r="F16" s="66" t="s">
        <v>27</v>
      </c>
      <c r="G16" s="67">
        <v>20.0</v>
      </c>
      <c r="H16" s="67">
        <v>29.0</v>
      </c>
      <c r="I16" s="35">
        <f t="shared" si="1"/>
        <v>49</v>
      </c>
      <c r="J16" s="130">
        <f>IFERROR(__xludf.DUMMYFUNCTION("IMPORTRANGE(""https://docs.google.com/spreadsheets/d/1CaLR8gtRCp0-wyyH0y5IvQnenreOSKFOo8AF4Pfpekc/edit?gid=400822622#gid=400822622"", ""GRADE 12!H""&amp;ROW(H13))"),0.0)</f>
        <v>0</v>
      </c>
      <c r="K16" s="130">
        <f>IFERROR(__xludf.DUMMYFUNCTION("IMPORTRANGE(""https://docs.google.com/spreadsheets/d/1CaLR8gtRCp0-wyyH0y5IvQnenreOSKFOo8AF4Pfpekc/edit?gid=400822622#gid=400822622"", ""GRADE 12!I""&amp;ROW(I13))"),0.0)</f>
        <v>0</v>
      </c>
      <c r="L16" s="130">
        <f>IFERROR(__xludf.DUMMYFUNCTION("IMPORTRANGE(""https://docs.google.com/spreadsheets/d/1CaLR8gtRCp0-wyyH0y5IvQnenreOSKFOo8AF4Pfpekc/edit?gid=400822622#gid=400822622"", ""GRADE 12!J""&amp;ROW(J13))"),0.0)</f>
        <v>0</v>
      </c>
      <c r="M16" s="130">
        <f>IFERROR(__xludf.DUMMYFUNCTION("IMPORTRANGE(""https://docs.google.com/spreadsheets/d/1CaLR8gtRCp0-wyyH0y5IvQnenreOSKFOo8AF4Pfpekc/edit?gid=400822622#gid=400822622"", ""GRADE 12!K""&amp;ROW(K13))"),0.0)</f>
        <v>0</v>
      </c>
      <c r="N16" s="130">
        <f>IFERROR(__xludf.DUMMYFUNCTION("IMPORTRANGE(""https://docs.google.com/spreadsheets/d/1CaLR8gtRCp0-wyyH0y5IvQnenreOSKFOo8AF4Pfpekc/edit?gid=400822622#gid=400822622"", ""GRADE 12!L""&amp;ROW(L13))"),0.0)</f>
        <v>0</v>
      </c>
      <c r="O16" s="130">
        <f>IFERROR(__xludf.DUMMYFUNCTION("IMPORTRANGE(""https://docs.google.com/spreadsheets/d/1CaLR8gtRCp0-wyyH0y5IvQnenreOSKFOo8AF4Pfpekc/edit?gid=400822622#gid=400822622"", ""GRADE 12!M""&amp;ROW(M13))"),0.0)</f>
        <v>0</v>
      </c>
      <c r="P16" s="130" t="str">
        <f>IFERROR(__xludf.DUMMYFUNCTION("IMPORTRANGE(""https://docs.google.com/spreadsheets/d/1CaLR8gtRCp0-wyyH0y5IvQnenreOSKFOo8AF4Pfpekc/edit?gid=400822622#gid=400822622"", ""GRADE 12!N""&amp;ROW(N13))"),"")</f>
        <v/>
      </c>
      <c r="Q16" s="130" t="str">
        <f>IFERROR(__xludf.DUMMYFUNCTION("IMPORTRANGE(""https://docs.google.com/spreadsheets/d/1CaLR8gtRCp0-wyyH0y5IvQnenreOSKFOo8AF4Pfpekc/edit?gid=400822622#gid=400822622"", ""GRADE 12!O""&amp;ROW(O13))"),"")</f>
        <v/>
      </c>
      <c r="R16" s="130" t="str">
        <f>IFERROR(__xludf.DUMMYFUNCTION("IMPORTRANGE(""https://docs.google.com/spreadsheets/d/1CaLR8gtRCp0-wyyH0y5IvQnenreOSKFOo8AF4Pfpekc/edit?gid=400822622#gid=400822622"", ""GRADE 12!P""&amp;ROW(P13))"),"")</f>
        <v/>
      </c>
      <c r="S16" s="130">
        <f>IFERROR(__xludf.DUMMYFUNCTION("IMPORTRANGE(""https://docs.google.com/spreadsheets/d/1CaLR8gtRCp0-wyyH0y5IvQnenreOSKFOo8AF4Pfpekc/edit?gid=400822622#gid=400822622"", ""GRADE 12!Q""&amp;ROW(Q13))"),0.0)</f>
        <v>0</v>
      </c>
      <c r="T16" s="130">
        <f>IFERROR(__xludf.DUMMYFUNCTION("IMPORTRANGE(""https://docs.google.com/spreadsheets/d/1CaLR8gtRCp0-wyyH0y5IvQnenreOSKFOo8AF4Pfpekc/edit?gid=400822622#gid=400822622"", ""GRADE 12!R""&amp;ROW(R13))"),0.0)</f>
        <v>0</v>
      </c>
      <c r="U16" s="130" t="str">
        <f>IFERROR(__xludf.DUMMYFUNCTION("IMPORTRANGE(""https://docs.google.com/spreadsheets/d/1CaLR8gtRCp0-wyyH0y5IvQnenreOSKFOo8AF4Pfpekc/edit?gid=400822622#gid=400822622"", ""GRADE 12!S""&amp;ROW(S13))"),"")</f>
        <v/>
      </c>
      <c r="V16" s="131">
        <f>IFERROR(__xludf.DUMMYFUNCTION("IMPORTRANGE(""https://docs.google.com/spreadsheets/d/1CaLR8gtRCp0-wyyH0y5IvQnenreOSKFOo8AF4Pfpekc/edit?gid=400822622#gid=400822622"", ""GRADE 12!T""&amp;ROW(T13))"),8.0)</f>
        <v>8</v>
      </c>
      <c r="W16" s="132">
        <f>IFERROR(__xludf.DUMMYFUNCTION("IMPORTRANGE(""https://docs.google.com/spreadsheets/d/1CaLR8gtRCp0-wyyH0y5IvQnenreOSKFOo8AF4Pfpekc/edit?gid=400822622#gid=400822622"", ""GRADE 12!U""&amp;ROW(U13))"),0.0)</f>
        <v>0</v>
      </c>
      <c r="X16" s="61">
        <f>IFERROR(__xludf.DUMMYFUNCTION("IMPORTRANGE(""https://docs.google.com/spreadsheets/d/1CaLR8gtRCp0-wyyH0y5IvQnenreOSKFOo8AF4Pfpekc/edit?gid=400822622#gid=400822622"", ""GRADE 12!V""&amp;ROW(V13))"),0.0)</f>
        <v>0</v>
      </c>
    </row>
    <row r="17" ht="22.5" customHeight="1">
      <c r="A17" s="63" t="s">
        <v>178</v>
      </c>
      <c r="B17" s="64">
        <v>7.0</v>
      </c>
      <c r="C17" s="64" t="s">
        <v>191</v>
      </c>
      <c r="D17" s="65" t="s">
        <v>21</v>
      </c>
      <c r="E17" s="66" t="s">
        <v>192</v>
      </c>
      <c r="F17" s="66" t="s">
        <v>21</v>
      </c>
      <c r="G17" s="67">
        <v>19.0</v>
      </c>
      <c r="H17" s="67">
        <v>30.0</v>
      </c>
      <c r="I17" s="35">
        <f t="shared" si="1"/>
        <v>49</v>
      </c>
      <c r="J17" s="130">
        <f>IFERROR(__xludf.DUMMYFUNCTION("IMPORTRANGE(""https://docs.google.com/spreadsheets/d/1CaLR8gtRCp0-wyyH0y5IvQnenreOSKFOo8AF4Pfpekc/edit?gid=400822622#gid=400822622"", ""GRADE 12!H""&amp;ROW(H14))"),0.0)</f>
        <v>0</v>
      </c>
      <c r="K17" s="130">
        <f>IFERROR(__xludf.DUMMYFUNCTION("IMPORTRANGE(""https://docs.google.com/spreadsheets/d/1CaLR8gtRCp0-wyyH0y5IvQnenreOSKFOo8AF4Pfpekc/edit?gid=400822622#gid=400822622"", ""GRADE 12!I""&amp;ROW(I14))"),0.0)</f>
        <v>0</v>
      </c>
      <c r="L17" s="130">
        <f>IFERROR(__xludf.DUMMYFUNCTION("IMPORTRANGE(""https://docs.google.com/spreadsheets/d/1CaLR8gtRCp0-wyyH0y5IvQnenreOSKFOo8AF4Pfpekc/edit?gid=400822622#gid=400822622"", ""GRADE 12!J""&amp;ROW(J14))"),0.0)</f>
        <v>0</v>
      </c>
      <c r="M17" s="130">
        <f>IFERROR(__xludf.DUMMYFUNCTION("IMPORTRANGE(""https://docs.google.com/spreadsheets/d/1CaLR8gtRCp0-wyyH0y5IvQnenreOSKFOo8AF4Pfpekc/edit?gid=400822622#gid=400822622"", ""GRADE 12!K""&amp;ROW(K14))"),0.0)</f>
        <v>0</v>
      </c>
      <c r="N17" s="130">
        <f>IFERROR(__xludf.DUMMYFUNCTION("IMPORTRANGE(""https://docs.google.com/spreadsheets/d/1CaLR8gtRCp0-wyyH0y5IvQnenreOSKFOo8AF4Pfpekc/edit?gid=400822622#gid=400822622"", ""GRADE 12!L""&amp;ROW(L14))"),0.0)</f>
        <v>0</v>
      </c>
      <c r="O17" s="130">
        <f>IFERROR(__xludf.DUMMYFUNCTION("IMPORTRANGE(""https://docs.google.com/spreadsheets/d/1CaLR8gtRCp0-wyyH0y5IvQnenreOSKFOo8AF4Pfpekc/edit?gid=400822622#gid=400822622"", ""GRADE 12!M""&amp;ROW(M14))"),0.0)</f>
        <v>0</v>
      </c>
      <c r="P17" s="130" t="str">
        <f>IFERROR(__xludf.DUMMYFUNCTION("IMPORTRANGE(""https://docs.google.com/spreadsheets/d/1CaLR8gtRCp0-wyyH0y5IvQnenreOSKFOo8AF4Pfpekc/edit?gid=400822622#gid=400822622"", ""GRADE 12!N""&amp;ROW(N14))"),"")</f>
        <v/>
      </c>
      <c r="Q17" s="130" t="str">
        <f>IFERROR(__xludf.DUMMYFUNCTION("IMPORTRANGE(""https://docs.google.com/spreadsheets/d/1CaLR8gtRCp0-wyyH0y5IvQnenreOSKFOo8AF4Pfpekc/edit?gid=400822622#gid=400822622"", ""GRADE 12!O""&amp;ROW(O14))"),"")</f>
        <v/>
      </c>
      <c r="R17" s="130" t="str">
        <f>IFERROR(__xludf.DUMMYFUNCTION("IMPORTRANGE(""https://docs.google.com/spreadsheets/d/1CaLR8gtRCp0-wyyH0y5IvQnenreOSKFOo8AF4Pfpekc/edit?gid=400822622#gid=400822622"", ""GRADE 12!P""&amp;ROW(P14))"),"")</f>
        <v/>
      </c>
      <c r="S17" s="130">
        <f>IFERROR(__xludf.DUMMYFUNCTION("IMPORTRANGE(""https://docs.google.com/spreadsheets/d/1CaLR8gtRCp0-wyyH0y5IvQnenreOSKFOo8AF4Pfpekc/edit?gid=400822622#gid=400822622"", ""GRADE 12!Q""&amp;ROW(Q14))"),0.0)</f>
        <v>0</v>
      </c>
      <c r="T17" s="130">
        <f>IFERROR(__xludf.DUMMYFUNCTION("IMPORTRANGE(""https://docs.google.com/spreadsheets/d/1CaLR8gtRCp0-wyyH0y5IvQnenreOSKFOo8AF4Pfpekc/edit?gid=400822622#gid=400822622"", ""GRADE 12!R""&amp;ROW(R14))"),0.0)</f>
        <v>0</v>
      </c>
      <c r="U17" s="130" t="str">
        <f>IFERROR(__xludf.DUMMYFUNCTION("IMPORTRANGE(""https://docs.google.com/spreadsheets/d/1CaLR8gtRCp0-wyyH0y5IvQnenreOSKFOo8AF4Pfpekc/edit?gid=400822622#gid=400822622"", ""GRADE 12!S""&amp;ROW(S14))"),"")</f>
        <v/>
      </c>
      <c r="V17" s="131">
        <f>IFERROR(__xludf.DUMMYFUNCTION("IMPORTRANGE(""https://docs.google.com/spreadsheets/d/1CaLR8gtRCp0-wyyH0y5IvQnenreOSKFOo8AF4Pfpekc/edit?gid=400822622#gid=400822622"", ""GRADE 12!T""&amp;ROW(T14))"),8.0)</f>
        <v>8</v>
      </c>
      <c r="W17" s="132">
        <f>IFERROR(__xludf.DUMMYFUNCTION("IMPORTRANGE(""https://docs.google.com/spreadsheets/d/1CaLR8gtRCp0-wyyH0y5IvQnenreOSKFOo8AF4Pfpekc/edit?gid=400822622#gid=400822622"", ""GRADE 12!U""&amp;ROW(U14))"),0.0)</f>
        <v>0</v>
      </c>
      <c r="X17" s="61">
        <f>IFERROR(__xludf.DUMMYFUNCTION("IMPORTRANGE(""https://docs.google.com/spreadsheets/d/1CaLR8gtRCp0-wyyH0y5IvQnenreOSKFOo8AF4Pfpekc/edit?gid=400822622#gid=400822622"", ""GRADE 12!V""&amp;ROW(V14))"),0.0)</f>
        <v>0</v>
      </c>
    </row>
    <row r="18" ht="22.5" customHeight="1">
      <c r="A18" s="63" t="s">
        <v>178</v>
      </c>
      <c r="B18" s="64">
        <v>8.0</v>
      </c>
      <c r="C18" s="64" t="s">
        <v>193</v>
      </c>
      <c r="D18" s="65" t="s">
        <v>21</v>
      </c>
      <c r="E18" s="66" t="s">
        <v>194</v>
      </c>
      <c r="F18" s="66" t="s">
        <v>30</v>
      </c>
      <c r="G18" s="67">
        <v>17.0</v>
      </c>
      <c r="H18" s="67">
        <v>31.0</v>
      </c>
      <c r="I18" s="35">
        <f t="shared" si="1"/>
        <v>48</v>
      </c>
      <c r="J18" s="130">
        <f>IFERROR(__xludf.DUMMYFUNCTION("IMPORTRANGE(""https://docs.google.com/spreadsheets/d/1CaLR8gtRCp0-wyyH0y5IvQnenreOSKFOo8AF4Pfpekc/edit?gid=400822622#gid=400822622"", ""GRADE 12!H""&amp;ROW(H15))"),0.0)</f>
        <v>0</v>
      </c>
      <c r="K18" s="130">
        <f>IFERROR(__xludf.DUMMYFUNCTION("IMPORTRANGE(""https://docs.google.com/spreadsheets/d/1CaLR8gtRCp0-wyyH0y5IvQnenreOSKFOo8AF4Pfpekc/edit?gid=400822622#gid=400822622"", ""GRADE 12!I""&amp;ROW(I15))"),0.0)</f>
        <v>0</v>
      </c>
      <c r="L18" s="130">
        <f>IFERROR(__xludf.DUMMYFUNCTION("IMPORTRANGE(""https://docs.google.com/spreadsheets/d/1CaLR8gtRCp0-wyyH0y5IvQnenreOSKFOo8AF4Pfpekc/edit?gid=400822622#gid=400822622"", ""GRADE 12!J""&amp;ROW(J15))"),0.0)</f>
        <v>0</v>
      </c>
      <c r="M18" s="130">
        <f>IFERROR(__xludf.DUMMYFUNCTION("IMPORTRANGE(""https://docs.google.com/spreadsheets/d/1CaLR8gtRCp0-wyyH0y5IvQnenreOSKFOo8AF4Pfpekc/edit?gid=400822622#gid=400822622"", ""GRADE 12!K""&amp;ROW(K15))"),0.0)</f>
        <v>0</v>
      </c>
      <c r="N18" s="130">
        <f>IFERROR(__xludf.DUMMYFUNCTION("IMPORTRANGE(""https://docs.google.com/spreadsheets/d/1CaLR8gtRCp0-wyyH0y5IvQnenreOSKFOo8AF4Pfpekc/edit?gid=400822622#gid=400822622"", ""GRADE 12!L""&amp;ROW(L15))"),0.0)</f>
        <v>0</v>
      </c>
      <c r="O18" s="130">
        <f>IFERROR(__xludf.DUMMYFUNCTION("IMPORTRANGE(""https://docs.google.com/spreadsheets/d/1CaLR8gtRCp0-wyyH0y5IvQnenreOSKFOo8AF4Pfpekc/edit?gid=400822622#gid=400822622"", ""GRADE 12!M""&amp;ROW(M15))"),0.0)</f>
        <v>0</v>
      </c>
      <c r="P18" s="130" t="str">
        <f>IFERROR(__xludf.DUMMYFUNCTION("IMPORTRANGE(""https://docs.google.com/spreadsheets/d/1CaLR8gtRCp0-wyyH0y5IvQnenreOSKFOo8AF4Pfpekc/edit?gid=400822622#gid=400822622"", ""GRADE 12!N""&amp;ROW(N15))"),"")</f>
        <v/>
      </c>
      <c r="Q18" s="130" t="str">
        <f>IFERROR(__xludf.DUMMYFUNCTION("IMPORTRANGE(""https://docs.google.com/spreadsheets/d/1CaLR8gtRCp0-wyyH0y5IvQnenreOSKFOo8AF4Pfpekc/edit?gid=400822622#gid=400822622"", ""GRADE 12!O""&amp;ROW(O15))"),"")</f>
        <v/>
      </c>
      <c r="R18" s="130" t="str">
        <f>IFERROR(__xludf.DUMMYFUNCTION("IMPORTRANGE(""https://docs.google.com/spreadsheets/d/1CaLR8gtRCp0-wyyH0y5IvQnenreOSKFOo8AF4Pfpekc/edit?gid=400822622#gid=400822622"", ""GRADE 12!P""&amp;ROW(P15))"),"")</f>
        <v/>
      </c>
      <c r="S18" s="130">
        <f>IFERROR(__xludf.DUMMYFUNCTION("IMPORTRANGE(""https://docs.google.com/spreadsheets/d/1CaLR8gtRCp0-wyyH0y5IvQnenreOSKFOo8AF4Pfpekc/edit?gid=400822622#gid=400822622"", ""GRADE 12!Q""&amp;ROW(Q15))"),0.0)</f>
        <v>0</v>
      </c>
      <c r="T18" s="130">
        <f>IFERROR(__xludf.DUMMYFUNCTION("IMPORTRANGE(""https://docs.google.com/spreadsheets/d/1CaLR8gtRCp0-wyyH0y5IvQnenreOSKFOo8AF4Pfpekc/edit?gid=400822622#gid=400822622"", ""GRADE 12!R""&amp;ROW(R15))"),0.0)</f>
        <v>0</v>
      </c>
      <c r="U18" s="130" t="str">
        <f>IFERROR(__xludf.DUMMYFUNCTION("IMPORTRANGE(""https://docs.google.com/spreadsheets/d/1CaLR8gtRCp0-wyyH0y5IvQnenreOSKFOo8AF4Pfpekc/edit?gid=400822622#gid=400822622"", ""GRADE 12!S""&amp;ROW(S15))"),"")</f>
        <v/>
      </c>
      <c r="V18" s="131">
        <f>IFERROR(__xludf.DUMMYFUNCTION("IMPORTRANGE(""https://docs.google.com/spreadsheets/d/1CaLR8gtRCp0-wyyH0y5IvQnenreOSKFOo8AF4Pfpekc/edit?gid=400822622#gid=400822622"", ""GRADE 12!T""&amp;ROW(T15))"),8.0)</f>
        <v>8</v>
      </c>
      <c r="W18" s="132">
        <f>IFERROR(__xludf.DUMMYFUNCTION("IMPORTRANGE(""https://docs.google.com/spreadsheets/d/1CaLR8gtRCp0-wyyH0y5IvQnenreOSKFOo8AF4Pfpekc/edit?gid=400822622#gid=400822622"", ""GRADE 12!U""&amp;ROW(U15))"),0.0)</f>
        <v>0</v>
      </c>
      <c r="X18" s="61">
        <f>IFERROR(__xludf.DUMMYFUNCTION("IMPORTRANGE(""https://docs.google.com/spreadsheets/d/1CaLR8gtRCp0-wyyH0y5IvQnenreOSKFOo8AF4Pfpekc/edit?gid=400822622#gid=400822622"", ""GRADE 12!V""&amp;ROW(V15))"),0.0)</f>
        <v>0</v>
      </c>
    </row>
    <row r="19" ht="22.5" customHeight="1">
      <c r="A19" s="63" t="s">
        <v>178</v>
      </c>
      <c r="B19" s="64">
        <v>9.0</v>
      </c>
      <c r="C19" s="64" t="s">
        <v>195</v>
      </c>
      <c r="D19" s="65" t="s">
        <v>21</v>
      </c>
      <c r="E19" s="66" t="s">
        <v>196</v>
      </c>
      <c r="F19" s="66" t="s">
        <v>27</v>
      </c>
      <c r="G19" s="67">
        <v>16.0</v>
      </c>
      <c r="H19" s="67">
        <v>30.0</v>
      </c>
      <c r="I19" s="35">
        <f t="shared" si="1"/>
        <v>46</v>
      </c>
      <c r="J19" s="130">
        <f>IFERROR(__xludf.DUMMYFUNCTION("IMPORTRANGE(""https://docs.google.com/spreadsheets/d/1CaLR8gtRCp0-wyyH0y5IvQnenreOSKFOo8AF4Pfpekc/edit?gid=400822622#gid=400822622"", ""GRADE 12!H""&amp;ROW(H16))"),0.0)</f>
        <v>0</v>
      </c>
      <c r="K19" s="130">
        <f>IFERROR(__xludf.DUMMYFUNCTION("IMPORTRANGE(""https://docs.google.com/spreadsheets/d/1CaLR8gtRCp0-wyyH0y5IvQnenreOSKFOo8AF4Pfpekc/edit?gid=400822622#gid=400822622"", ""GRADE 12!I""&amp;ROW(I16))"),0.0)</f>
        <v>0</v>
      </c>
      <c r="L19" s="130">
        <f>IFERROR(__xludf.DUMMYFUNCTION("IMPORTRANGE(""https://docs.google.com/spreadsheets/d/1CaLR8gtRCp0-wyyH0y5IvQnenreOSKFOo8AF4Pfpekc/edit?gid=400822622#gid=400822622"", ""GRADE 12!J""&amp;ROW(J16))"),0.0)</f>
        <v>0</v>
      </c>
      <c r="M19" s="130">
        <f>IFERROR(__xludf.DUMMYFUNCTION("IMPORTRANGE(""https://docs.google.com/spreadsheets/d/1CaLR8gtRCp0-wyyH0y5IvQnenreOSKFOo8AF4Pfpekc/edit?gid=400822622#gid=400822622"", ""GRADE 12!K""&amp;ROW(K16))"),0.0)</f>
        <v>0</v>
      </c>
      <c r="N19" s="130">
        <f>IFERROR(__xludf.DUMMYFUNCTION("IMPORTRANGE(""https://docs.google.com/spreadsheets/d/1CaLR8gtRCp0-wyyH0y5IvQnenreOSKFOo8AF4Pfpekc/edit?gid=400822622#gid=400822622"", ""GRADE 12!L""&amp;ROW(L16))"),0.0)</f>
        <v>0</v>
      </c>
      <c r="O19" s="130">
        <f>IFERROR(__xludf.DUMMYFUNCTION("IMPORTRANGE(""https://docs.google.com/spreadsheets/d/1CaLR8gtRCp0-wyyH0y5IvQnenreOSKFOo8AF4Pfpekc/edit?gid=400822622#gid=400822622"", ""GRADE 12!M""&amp;ROW(M16))"),0.0)</f>
        <v>0</v>
      </c>
      <c r="P19" s="130" t="str">
        <f>IFERROR(__xludf.DUMMYFUNCTION("IMPORTRANGE(""https://docs.google.com/spreadsheets/d/1CaLR8gtRCp0-wyyH0y5IvQnenreOSKFOo8AF4Pfpekc/edit?gid=400822622#gid=400822622"", ""GRADE 12!N""&amp;ROW(N16))"),"")</f>
        <v/>
      </c>
      <c r="Q19" s="130" t="str">
        <f>IFERROR(__xludf.DUMMYFUNCTION("IMPORTRANGE(""https://docs.google.com/spreadsheets/d/1CaLR8gtRCp0-wyyH0y5IvQnenreOSKFOo8AF4Pfpekc/edit?gid=400822622#gid=400822622"", ""GRADE 12!O""&amp;ROW(O16))"),"")</f>
        <v/>
      </c>
      <c r="R19" s="130" t="str">
        <f>IFERROR(__xludf.DUMMYFUNCTION("IMPORTRANGE(""https://docs.google.com/spreadsheets/d/1CaLR8gtRCp0-wyyH0y5IvQnenreOSKFOo8AF4Pfpekc/edit?gid=400822622#gid=400822622"", ""GRADE 12!P""&amp;ROW(P16))"),"")</f>
        <v/>
      </c>
      <c r="S19" s="130">
        <f>IFERROR(__xludf.DUMMYFUNCTION("IMPORTRANGE(""https://docs.google.com/spreadsheets/d/1CaLR8gtRCp0-wyyH0y5IvQnenreOSKFOo8AF4Pfpekc/edit?gid=400822622#gid=400822622"", ""GRADE 12!Q""&amp;ROW(Q16))"),0.0)</f>
        <v>0</v>
      </c>
      <c r="T19" s="130">
        <f>IFERROR(__xludf.DUMMYFUNCTION("IMPORTRANGE(""https://docs.google.com/spreadsheets/d/1CaLR8gtRCp0-wyyH0y5IvQnenreOSKFOo8AF4Pfpekc/edit?gid=400822622#gid=400822622"", ""GRADE 12!R""&amp;ROW(R16))"),0.0)</f>
        <v>0</v>
      </c>
      <c r="U19" s="130" t="str">
        <f>IFERROR(__xludf.DUMMYFUNCTION("IMPORTRANGE(""https://docs.google.com/spreadsheets/d/1CaLR8gtRCp0-wyyH0y5IvQnenreOSKFOo8AF4Pfpekc/edit?gid=400822622#gid=400822622"", ""GRADE 12!S""&amp;ROW(S16))"),"")</f>
        <v/>
      </c>
      <c r="V19" s="131">
        <f>IFERROR(__xludf.DUMMYFUNCTION("IMPORTRANGE(""https://docs.google.com/spreadsheets/d/1CaLR8gtRCp0-wyyH0y5IvQnenreOSKFOo8AF4Pfpekc/edit?gid=400822622#gid=400822622"", ""GRADE 12!T""&amp;ROW(T16))"),8.0)</f>
        <v>8</v>
      </c>
      <c r="W19" s="132">
        <f>IFERROR(__xludf.DUMMYFUNCTION("IMPORTRANGE(""https://docs.google.com/spreadsheets/d/1CaLR8gtRCp0-wyyH0y5IvQnenreOSKFOo8AF4Pfpekc/edit?gid=400822622#gid=400822622"", ""GRADE 12!U""&amp;ROW(U16))"),0.0)</f>
        <v>0</v>
      </c>
      <c r="X19" s="61">
        <f>IFERROR(__xludf.DUMMYFUNCTION("IMPORTRANGE(""https://docs.google.com/spreadsheets/d/1CaLR8gtRCp0-wyyH0y5IvQnenreOSKFOo8AF4Pfpekc/edit?gid=400822622#gid=400822622"", ""GRADE 12!V""&amp;ROW(V16))"),0.0)</f>
        <v>0</v>
      </c>
    </row>
    <row r="20" ht="22.5" customHeight="1">
      <c r="A20" s="63" t="s">
        <v>178</v>
      </c>
      <c r="B20" s="64">
        <v>10.0</v>
      </c>
      <c r="C20" s="64" t="s">
        <v>197</v>
      </c>
      <c r="D20" s="65" t="s">
        <v>21</v>
      </c>
      <c r="E20" s="66" t="s">
        <v>198</v>
      </c>
      <c r="F20" s="66" t="s">
        <v>21</v>
      </c>
      <c r="G20" s="67">
        <v>19.0</v>
      </c>
      <c r="H20" s="67">
        <v>30.0</v>
      </c>
      <c r="I20" s="35">
        <f t="shared" si="1"/>
        <v>49</v>
      </c>
      <c r="J20" s="130">
        <f>IFERROR(__xludf.DUMMYFUNCTION("IMPORTRANGE(""https://docs.google.com/spreadsheets/d/1CaLR8gtRCp0-wyyH0y5IvQnenreOSKFOo8AF4Pfpekc/edit?gid=400822622#gid=400822622"", ""GRADE 12!H""&amp;ROW(H17))"),0.0)</f>
        <v>0</v>
      </c>
      <c r="K20" s="130">
        <f>IFERROR(__xludf.DUMMYFUNCTION("IMPORTRANGE(""https://docs.google.com/spreadsheets/d/1CaLR8gtRCp0-wyyH0y5IvQnenreOSKFOo8AF4Pfpekc/edit?gid=400822622#gid=400822622"", ""GRADE 12!I""&amp;ROW(I17))"),0.0)</f>
        <v>0</v>
      </c>
      <c r="L20" s="130">
        <f>IFERROR(__xludf.DUMMYFUNCTION("IMPORTRANGE(""https://docs.google.com/spreadsheets/d/1CaLR8gtRCp0-wyyH0y5IvQnenreOSKFOo8AF4Pfpekc/edit?gid=400822622#gid=400822622"", ""GRADE 12!J""&amp;ROW(J17))"),0.0)</f>
        <v>0</v>
      </c>
      <c r="M20" s="130">
        <f>IFERROR(__xludf.DUMMYFUNCTION("IMPORTRANGE(""https://docs.google.com/spreadsheets/d/1CaLR8gtRCp0-wyyH0y5IvQnenreOSKFOo8AF4Pfpekc/edit?gid=400822622#gid=400822622"", ""GRADE 12!K""&amp;ROW(K17))"),0.0)</f>
        <v>0</v>
      </c>
      <c r="N20" s="130">
        <f>IFERROR(__xludf.DUMMYFUNCTION("IMPORTRANGE(""https://docs.google.com/spreadsheets/d/1CaLR8gtRCp0-wyyH0y5IvQnenreOSKFOo8AF4Pfpekc/edit?gid=400822622#gid=400822622"", ""GRADE 12!L""&amp;ROW(L17))"),0.0)</f>
        <v>0</v>
      </c>
      <c r="O20" s="130">
        <f>IFERROR(__xludf.DUMMYFUNCTION("IMPORTRANGE(""https://docs.google.com/spreadsheets/d/1CaLR8gtRCp0-wyyH0y5IvQnenreOSKFOo8AF4Pfpekc/edit?gid=400822622#gid=400822622"", ""GRADE 12!M""&amp;ROW(M17))"),0.0)</f>
        <v>0</v>
      </c>
      <c r="P20" s="130" t="str">
        <f>IFERROR(__xludf.DUMMYFUNCTION("IMPORTRANGE(""https://docs.google.com/spreadsheets/d/1CaLR8gtRCp0-wyyH0y5IvQnenreOSKFOo8AF4Pfpekc/edit?gid=400822622#gid=400822622"", ""GRADE 12!N""&amp;ROW(N17))"),"")</f>
        <v/>
      </c>
      <c r="Q20" s="130" t="str">
        <f>IFERROR(__xludf.DUMMYFUNCTION("IMPORTRANGE(""https://docs.google.com/spreadsheets/d/1CaLR8gtRCp0-wyyH0y5IvQnenreOSKFOo8AF4Pfpekc/edit?gid=400822622#gid=400822622"", ""GRADE 12!O""&amp;ROW(O17))"),"")</f>
        <v/>
      </c>
      <c r="R20" s="130" t="str">
        <f>IFERROR(__xludf.DUMMYFUNCTION("IMPORTRANGE(""https://docs.google.com/spreadsheets/d/1CaLR8gtRCp0-wyyH0y5IvQnenreOSKFOo8AF4Pfpekc/edit?gid=400822622#gid=400822622"", ""GRADE 12!P""&amp;ROW(P17))"),"")</f>
        <v/>
      </c>
      <c r="S20" s="130">
        <f>IFERROR(__xludf.DUMMYFUNCTION("IMPORTRANGE(""https://docs.google.com/spreadsheets/d/1CaLR8gtRCp0-wyyH0y5IvQnenreOSKFOo8AF4Pfpekc/edit?gid=400822622#gid=400822622"", ""GRADE 12!Q""&amp;ROW(Q17))"),0.0)</f>
        <v>0</v>
      </c>
      <c r="T20" s="130">
        <f>IFERROR(__xludf.DUMMYFUNCTION("IMPORTRANGE(""https://docs.google.com/spreadsheets/d/1CaLR8gtRCp0-wyyH0y5IvQnenreOSKFOo8AF4Pfpekc/edit?gid=400822622#gid=400822622"", ""GRADE 12!R""&amp;ROW(R17))"),0.0)</f>
        <v>0</v>
      </c>
      <c r="U20" s="130" t="str">
        <f>IFERROR(__xludf.DUMMYFUNCTION("IMPORTRANGE(""https://docs.google.com/spreadsheets/d/1CaLR8gtRCp0-wyyH0y5IvQnenreOSKFOo8AF4Pfpekc/edit?gid=400822622#gid=400822622"", ""GRADE 12!S""&amp;ROW(S17))"),"")</f>
        <v/>
      </c>
      <c r="V20" s="131">
        <f>IFERROR(__xludf.DUMMYFUNCTION("IMPORTRANGE(""https://docs.google.com/spreadsheets/d/1CaLR8gtRCp0-wyyH0y5IvQnenreOSKFOo8AF4Pfpekc/edit?gid=400822622#gid=400822622"", ""GRADE 12!T""&amp;ROW(T17))"),8.0)</f>
        <v>8</v>
      </c>
      <c r="W20" s="132">
        <f>IFERROR(__xludf.DUMMYFUNCTION("IMPORTRANGE(""https://docs.google.com/spreadsheets/d/1CaLR8gtRCp0-wyyH0y5IvQnenreOSKFOo8AF4Pfpekc/edit?gid=400822622#gid=400822622"", ""GRADE 12!U""&amp;ROW(U17))"),0.0)</f>
        <v>0</v>
      </c>
      <c r="X20" s="61">
        <f>IFERROR(__xludf.DUMMYFUNCTION("IMPORTRANGE(""https://docs.google.com/spreadsheets/d/1CaLR8gtRCp0-wyyH0y5IvQnenreOSKFOo8AF4Pfpekc/edit?gid=400822622#gid=400822622"", ""GRADE 12!V""&amp;ROW(V17))"),0.0)</f>
        <v>0</v>
      </c>
    </row>
    <row r="21" ht="22.5" customHeight="1">
      <c r="A21" s="63" t="s">
        <v>178</v>
      </c>
      <c r="B21" s="64">
        <v>11.0</v>
      </c>
      <c r="C21" s="64" t="s">
        <v>199</v>
      </c>
      <c r="D21" s="65" t="s">
        <v>21</v>
      </c>
      <c r="E21" s="66" t="s">
        <v>200</v>
      </c>
      <c r="F21" s="66" t="s">
        <v>27</v>
      </c>
      <c r="G21" s="67">
        <v>19.0</v>
      </c>
      <c r="H21" s="67">
        <v>28.0</v>
      </c>
      <c r="I21" s="35">
        <f t="shared" si="1"/>
        <v>47</v>
      </c>
      <c r="J21" s="130" t="str">
        <f>IFERROR(__xludf.DUMMYFUNCTION("IMPORTRANGE(""https://docs.google.com/spreadsheets/d/1CaLR8gtRCp0-wyyH0y5IvQnenreOSKFOo8AF4Pfpekc/edit?gid=400822622#gid=400822622"", ""GRADE 12!H""&amp;ROW(H18))"),"")</f>
        <v/>
      </c>
      <c r="K21" s="130" t="str">
        <f>IFERROR(__xludf.DUMMYFUNCTION("IMPORTRANGE(""https://docs.google.com/spreadsheets/d/1CaLR8gtRCp0-wyyH0y5IvQnenreOSKFOo8AF4Pfpekc/edit?gid=400822622#gid=400822622"", ""GRADE 12!I""&amp;ROW(I18))"),"")</f>
        <v/>
      </c>
      <c r="L21" s="130" t="str">
        <f>IFERROR(__xludf.DUMMYFUNCTION("IMPORTRANGE(""https://docs.google.com/spreadsheets/d/1CaLR8gtRCp0-wyyH0y5IvQnenreOSKFOo8AF4Pfpekc/edit?gid=400822622#gid=400822622"", ""GRADE 12!J""&amp;ROW(J18))"),"")</f>
        <v/>
      </c>
      <c r="M21" s="130">
        <f>IFERROR(__xludf.DUMMYFUNCTION("IMPORTRANGE(""https://docs.google.com/spreadsheets/d/1CaLR8gtRCp0-wyyH0y5IvQnenreOSKFOo8AF4Pfpekc/edit?gid=400822622#gid=400822622"", ""GRADE 12!K""&amp;ROW(K18))"),0.0)</f>
        <v>0</v>
      </c>
      <c r="N21" s="130">
        <f>IFERROR(__xludf.DUMMYFUNCTION("IMPORTRANGE(""https://docs.google.com/spreadsheets/d/1CaLR8gtRCp0-wyyH0y5IvQnenreOSKFOo8AF4Pfpekc/edit?gid=400822622#gid=400822622"", ""GRADE 12!L""&amp;ROW(L18))"),0.0)</f>
        <v>0</v>
      </c>
      <c r="O21" s="130" t="str">
        <f>IFERROR(__xludf.DUMMYFUNCTION("IMPORTRANGE(""https://docs.google.com/spreadsheets/d/1CaLR8gtRCp0-wyyH0y5IvQnenreOSKFOo8AF4Pfpekc/edit?gid=400822622#gid=400822622"", ""GRADE 12!M""&amp;ROW(M18))"),"")</f>
        <v/>
      </c>
      <c r="P21" s="130">
        <f>IFERROR(__xludf.DUMMYFUNCTION("IMPORTRANGE(""https://docs.google.com/spreadsheets/d/1CaLR8gtRCp0-wyyH0y5IvQnenreOSKFOo8AF4Pfpekc/edit?gid=400822622#gid=400822622"", ""GRADE 12!N""&amp;ROW(N18))"),0.0)</f>
        <v>0</v>
      </c>
      <c r="Q21" s="130">
        <f>IFERROR(__xludf.DUMMYFUNCTION("IMPORTRANGE(""https://docs.google.com/spreadsheets/d/1CaLR8gtRCp0-wyyH0y5IvQnenreOSKFOo8AF4Pfpekc/edit?gid=400822622#gid=400822622"", ""GRADE 12!O""&amp;ROW(O18))"),0.0)</f>
        <v>0</v>
      </c>
      <c r="R21" s="130">
        <f>IFERROR(__xludf.DUMMYFUNCTION("IMPORTRANGE(""https://docs.google.com/spreadsheets/d/1CaLR8gtRCp0-wyyH0y5IvQnenreOSKFOo8AF4Pfpekc/edit?gid=400822622#gid=400822622"", ""GRADE 12!P""&amp;ROW(P18))"),0.0)</f>
        <v>0</v>
      </c>
      <c r="S21" s="130">
        <f>IFERROR(__xludf.DUMMYFUNCTION("IMPORTRANGE(""https://docs.google.com/spreadsheets/d/1CaLR8gtRCp0-wyyH0y5IvQnenreOSKFOo8AF4Pfpekc/edit?gid=400822622#gid=400822622"", ""GRADE 12!Q""&amp;ROW(Q18))"),0.0)</f>
        <v>0</v>
      </c>
      <c r="T21" s="130">
        <f>IFERROR(__xludf.DUMMYFUNCTION("IMPORTRANGE(""https://docs.google.com/spreadsheets/d/1CaLR8gtRCp0-wyyH0y5IvQnenreOSKFOo8AF4Pfpekc/edit?gid=400822622#gid=400822622"", ""GRADE 12!R""&amp;ROW(R18))"),0.0)</f>
        <v>0</v>
      </c>
      <c r="U21" s="130" t="str">
        <f>IFERROR(__xludf.DUMMYFUNCTION("IMPORTRANGE(""https://docs.google.com/spreadsheets/d/1CaLR8gtRCp0-wyyH0y5IvQnenreOSKFOo8AF4Pfpekc/edit?gid=400822622#gid=400822622"", ""GRADE 12!S""&amp;ROW(S18))"),"")</f>
        <v/>
      </c>
      <c r="V21" s="131">
        <f>IFERROR(__xludf.DUMMYFUNCTION("IMPORTRANGE(""https://docs.google.com/spreadsheets/d/1CaLR8gtRCp0-wyyH0y5IvQnenreOSKFOo8AF4Pfpekc/edit?gid=400822622#gid=400822622"", ""GRADE 12!T""&amp;ROW(T18))"),7.0)</f>
        <v>7</v>
      </c>
      <c r="W21" s="132">
        <f>IFERROR(__xludf.DUMMYFUNCTION("IMPORTRANGE(""https://docs.google.com/spreadsheets/d/1CaLR8gtRCp0-wyyH0y5IvQnenreOSKFOo8AF4Pfpekc/edit?gid=400822622#gid=400822622"", ""GRADE 12!U""&amp;ROW(U18))"),0.0)</f>
        <v>0</v>
      </c>
      <c r="X21" s="61">
        <f>IFERROR(__xludf.DUMMYFUNCTION("IMPORTRANGE(""https://docs.google.com/spreadsheets/d/1CaLR8gtRCp0-wyyH0y5IvQnenreOSKFOo8AF4Pfpekc/edit?gid=400822622#gid=400822622"", ""GRADE 12!V""&amp;ROW(V18))"),0.0)</f>
        <v>0</v>
      </c>
    </row>
    <row r="22" ht="22.5" customHeight="1">
      <c r="A22" s="63" t="s">
        <v>178</v>
      </c>
      <c r="B22" s="64">
        <v>12.0</v>
      </c>
      <c r="C22" s="64" t="s">
        <v>201</v>
      </c>
      <c r="D22" s="65" t="s">
        <v>21</v>
      </c>
      <c r="E22" s="66" t="s">
        <v>202</v>
      </c>
      <c r="F22" s="66" t="s">
        <v>27</v>
      </c>
      <c r="G22" s="67">
        <v>17.0</v>
      </c>
      <c r="H22" s="67">
        <v>29.0</v>
      </c>
      <c r="I22" s="35">
        <f t="shared" si="1"/>
        <v>46</v>
      </c>
      <c r="J22" s="130" t="str">
        <f>IFERROR(__xludf.DUMMYFUNCTION("IMPORTRANGE(""https://docs.google.com/spreadsheets/d/1CaLR8gtRCp0-wyyH0y5IvQnenreOSKFOo8AF4Pfpekc/edit?gid=400822622#gid=400822622"", ""GRADE 12!H""&amp;ROW(H19))"),"")</f>
        <v/>
      </c>
      <c r="K22" s="130" t="str">
        <f>IFERROR(__xludf.DUMMYFUNCTION("IMPORTRANGE(""https://docs.google.com/spreadsheets/d/1CaLR8gtRCp0-wyyH0y5IvQnenreOSKFOo8AF4Pfpekc/edit?gid=400822622#gid=400822622"", ""GRADE 12!I""&amp;ROW(I19))"),"")</f>
        <v/>
      </c>
      <c r="L22" s="130" t="str">
        <f>IFERROR(__xludf.DUMMYFUNCTION("IMPORTRANGE(""https://docs.google.com/spreadsheets/d/1CaLR8gtRCp0-wyyH0y5IvQnenreOSKFOo8AF4Pfpekc/edit?gid=400822622#gid=400822622"", ""GRADE 12!J""&amp;ROW(J19))"),"")</f>
        <v/>
      </c>
      <c r="M22" s="130">
        <f>IFERROR(__xludf.DUMMYFUNCTION("IMPORTRANGE(""https://docs.google.com/spreadsheets/d/1CaLR8gtRCp0-wyyH0y5IvQnenreOSKFOo8AF4Pfpekc/edit?gid=400822622#gid=400822622"", ""GRADE 12!K""&amp;ROW(K19))"),0.0)</f>
        <v>0</v>
      </c>
      <c r="N22" s="130">
        <f>IFERROR(__xludf.DUMMYFUNCTION("IMPORTRANGE(""https://docs.google.com/spreadsheets/d/1CaLR8gtRCp0-wyyH0y5IvQnenreOSKFOo8AF4Pfpekc/edit?gid=400822622#gid=400822622"", ""GRADE 12!L""&amp;ROW(L19))"),0.0)</f>
        <v>0</v>
      </c>
      <c r="O22" s="130" t="str">
        <f>IFERROR(__xludf.DUMMYFUNCTION("IMPORTRANGE(""https://docs.google.com/spreadsheets/d/1CaLR8gtRCp0-wyyH0y5IvQnenreOSKFOo8AF4Pfpekc/edit?gid=400822622#gid=400822622"", ""GRADE 12!M""&amp;ROW(M19))"),"")</f>
        <v/>
      </c>
      <c r="P22" s="130">
        <f>IFERROR(__xludf.DUMMYFUNCTION("IMPORTRANGE(""https://docs.google.com/spreadsheets/d/1CaLR8gtRCp0-wyyH0y5IvQnenreOSKFOo8AF4Pfpekc/edit?gid=400822622#gid=400822622"", ""GRADE 12!N""&amp;ROW(N19))"),0.0)</f>
        <v>0</v>
      </c>
      <c r="Q22" s="130">
        <f>IFERROR(__xludf.DUMMYFUNCTION("IMPORTRANGE(""https://docs.google.com/spreadsheets/d/1CaLR8gtRCp0-wyyH0y5IvQnenreOSKFOo8AF4Pfpekc/edit?gid=400822622#gid=400822622"", ""GRADE 12!O""&amp;ROW(O19))"),0.0)</f>
        <v>0</v>
      </c>
      <c r="R22" s="130">
        <f>IFERROR(__xludf.DUMMYFUNCTION("IMPORTRANGE(""https://docs.google.com/spreadsheets/d/1CaLR8gtRCp0-wyyH0y5IvQnenreOSKFOo8AF4Pfpekc/edit?gid=400822622#gid=400822622"", ""GRADE 12!P""&amp;ROW(P19))"),0.0)</f>
        <v>0</v>
      </c>
      <c r="S22" s="130">
        <f>IFERROR(__xludf.DUMMYFUNCTION("IMPORTRANGE(""https://docs.google.com/spreadsheets/d/1CaLR8gtRCp0-wyyH0y5IvQnenreOSKFOo8AF4Pfpekc/edit?gid=400822622#gid=400822622"", ""GRADE 12!Q""&amp;ROW(Q19))"),0.0)</f>
        <v>0</v>
      </c>
      <c r="T22" s="130">
        <f>IFERROR(__xludf.DUMMYFUNCTION("IMPORTRANGE(""https://docs.google.com/spreadsheets/d/1CaLR8gtRCp0-wyyH0y5IvQnenreOSKFOo8AF4Pfpekc/edit?gid=400822622#gid=400822622"", ""GRADE 12!R""&amp;ROW(R19))"),0.0)</f>
        <v>0</v>
      </c>
      <c r="U22" s="130" t="str">
        <f>IFERROR(__xludf.DUMMYFUNCTION("IMPORTRANGE(""https://docs.google.com/spreadsheets/d/1CaLR8gtRCp0-wyyH0y5IvQnenreOSKFOo8AF4Pfpekc/edit?gid=400822622#gid=400822622"", ""GRADE 12!S""&amp;ROW(S19))"),"")</f>
        <v/>
      </c>
      <c r="V22" s="131">
        <f>IFERROR(__xludf.DUMMYFUNCTION("IMPORTRANGE(""https://docs.google.com/spreadsheets/d/1CaLR8gtRCp0-wyyH0y5IvQnenreOSKFOo8AF4Pfpekc/edit?gid=400822622#gid=400822622"", ""GRADE 12!T""&amp;ROW(T19))"),7.0)</f>
        <v>7</v>
      </c>
      <c r="W22" s="132">
        <f>IFERROR(__xludf.DUMMYFUNCTION("IMPORTRANGE(""https://docs.google.com/spreadsheets/d/1CaLR8gtRCp0-wyyH0y5IvQnenreOSKFOo8AF4Pfpekc/edit?gid=400822622#gid=400822622"", ""GRADE 12!U""&amp;ROW(U19))"),0.0)</f>
        <v>0</v>
      </c>
      <c r="X22" s="61">
        <f>IFERROR(__xludf.DUMMYFUNCTION("IMPORTRANGE(""https://docs.google.com/spreadsheets/d/1CaLR8gtRCp0-wyyH0y5IvQnenreOSKFOo8AF4Pfpekc/edit?gid=400822622#gid=400822622"", ""GRADE 12!V""&amp;ROW(V19))"),0.0)</f>
        <v>0</v>
      </c>
    </row>
    <row r="23" ht="22.5" customHeight="1">
      <c r="A23" s="63" t="s">
        <v>178</v>
      </c>
      <c r="B23" s="64">
        <v>13.0</v>
      </c>
      <c r="C23" s="64" t="s">
        <v>203</v>
      </c>
      <c r="D23" s="65" t="s">
        <v>21</v>
      </c>
      <c r="E23" s="66" t="s">
        <v>204</v>
      </c>
      <c r="F23" s="66" t="s">
        <v>21</v>
      </c>
      <c r="G23" s="67">
        <v>19.0</v>
      </c>
      <c r="H23" s="67">
        <v>29.0</v>
      </c>
      <c r="I23" s="35">
        <f t="shared" si="1"/>
        <v>48</v>
      </c>
      <c r="J23" s="130" t="str">
        <f>IFERROR(__xludf.DUMMYFUNCTION("IMPORTRANGE(""https://docs.google.com/spreadsheets/d/1CaLR8gtRCp0-wyyH0y5IvQnenreOSKFOo8AF4Pfpekc/edit?gid=400822622#gid=400822622"", ""GRADE 12!H""&amp;ROW(H20))"),"")</f>
        <v/>
      </c>
      <c r="K23" s="130" t="str">
        <f>IFERROR(__xludf.DUMMYFUNCTION("IMPORTRANGE(""https://docs.google.com/spreadsheets/d/1CaLR8gtRCp0-wyyH0y5IvQnenreOSKFOo8AF4Pfpekc/edit?gid=400822622#gid=400822622"", ""GRADE 12!I""&amp;ROW(I20))"),"")</f>
        <v/>
      </c>
      <c r="L23" s="130" t="str">
        <f>IFERROR(__xludf.DUMMYFUNCTION("IMPORTRANGE(""https://docs.google.com/spreadsheets/d/1CaLR8gtRCp0-wyyH0y5IvQnenreOSKFOo8AF4Pfpekc/edit?gid=400822622#gid=400822622"", ""GRADE 12!J""&amp;ROW(J20))"),"")</f>
        <v/>
      </c>
      <c r="M23" s="130">
        <f>IFERROR(__xludf.DUMMYFUNCTION("IMPORTRANGE(""https://docs.google.com/spreadsheets/d/1CaLR8gtRCp0-wyyH0y5IvQnenreOSKFOo8AF4Pfpekc/edit?gid=400822622#gid=400822622"", ""GRADE 12!K""&amp;ROW(K20))"),0.0)</f>
        <v>0</v>
      </c>
      <c r="N23" s="130">
        <f>IFERROR(__xludf.DUMMYFUNCTION("IMPORTRANGE(""https://docs.google.com/spreadsheets/d/1CaLR8gtRCp0-wyyH0y5IvQnenreOSKFOo8AF4Pfpekc/edit?gid=400822622#gid=400822622"", ""GRADE 12!L""&amp;ROW(L20))"),0.0)</f>
        <v>0</v>
      </c>
      <c r="O23" s="130" t="str">
        <f>IFERROR(__xludf.DUMMYFUNCTION("IMPORTRANGE(""https://docs.google.com/spreadsheets/d/1CaLR8gtRCp0-wyyH0y5IvQnenreOSKFOo8AF4Pfpekc/edit?gid=400822622#gid=400822622"", ""GRADE 12!M""&amp;ROW(M20))"),"")</f>
        <v/>
      </c>
      <c r="P23" s="130">
        <f>IFERROR(__xludf.DUMMYFUNCTION("IMPORTRANGE(""https://docs.google.com/spreadsheets/d/1CaLR8gtRCp0-wyyH0y5IvQnenreOSKFOo8AF4Pfpekc/edit?gid=400822622#gid=400822622"", ""GRADE 12!N""&amp;ROW(N20))"),0.0)</f>
        <v>0</v>
      </c>
      <c r="Q23" s="130">
        <f>IFERROR(__xludf.DUMMYFUNCTION("IMPORTRANGE(""https://docs.google.com/spreadsheets/d/1CaLR8gtRCp0-wyyH0y5IvQnenreOSKFOo8AF4Pfpekc/edit?gid=400822622#gid=400822622"", ""GRADE 12!O""&amp;ROW(O20))"),0.0)</f>
        <v>0</v>
      </c>
      <c r="R23" s="130">
        <f>IFERROR(__xludf.DUMMYFUNCTION("IMPORTRANGE(""https://docs.google.com/spreadsheets/d/1CaLR8gtRCp0-wyyH0y5IvQnenreOSKFOo8AF4Pfpekc/edit?gid=400822622#gid=400822622"", ""GRADE 12!P""&amp;ROW(P20))"),0.0)</f>
        <v>0</v>
      </c>
      <c r="S23" s="130">
        <f>IFERROR(__xludf.DUMMYFUNCTION("IMPORTRANGE(""https://docs.google.com/spreadsheets/d/1CaLR8gtRCp0-wyyH0y5IvQnenreOSKFOo8AF4Pfpekc/edit?gid=400822622#gid=400822622"", ""GRADE 12!Q""&amp;ROW(Q20))"),0.0)</f>
        <v>0</v>
      </c>
      <c r="T23" s="130">
        <f>IFERROR(__xludf.DUMMYFUNCTION("IMPORTRANGE(""https://docs.google.com/spreadsheets/d/1CaLR8gtRCp0-wyyH0y5IvQnenreOSKFOo8AF4Pfpekc/edit?gid=400822622#gid=400822622"", ""GRADE 12!R""&amp;ROW(R20))"),0.0)</f>
        <v>0</v>
      </c>
      <c r="U23" s="130" t="str">
        <f>IFERROR(__xludf.DUMMYFUNCTION("IMPORTRANGE(""https://docs.google.com/spreadsheets/d/1CaLR8gtRCp0-wyyH0y5IvQnenreOSKFOo8AF4Pfpekc/edit?gid=400822622#gid=400822622"", ""GRADE 12!S""&amp;ROW(S20))"),"")</f>
        <v/>
      </c>
      <c r="V23" s="131">
        <f>IFERROR(__xludf.DUMMYFUNCTION("IMPORTRANGE(""https://docs.google.com/spreadsheets/d/1CaLR8gtRCp0-wyyH0y5IvQnenreOSKFOo8AF4Pfpekc/edit?gid=400822622#gid=400822622"", ""GRADE 12!T""&amp;ROW(T20))"),7.0)</f>
        <v>7</v>
      </c>
      <c r="W23" s="132">
        <f>IFERROR(__xludf.DUMMYFUNCTION("IMPORTRANGE(""https://docs.google.com/spreadsheets/d/1CaLR8gtRCp0-wyyH0y5IvQnenreOSKFOo8AF4Pfpekc/edit?gid=400822622#gid=400822622"", ""GRADE 12!U""&amp;ROW(U20))"),0.0)</f>
        <v>0</v>
      </c>
      <c r="X23" s="61">
        <f>IFERROR(__xludf.DUMMYFUNCTION("IMPORTRANGE(""https://docs.google.com/spreadsheets/d/1CaLR8gtRCp0-wyyH0y5IvQnenreOSKFOo8AF4Pfpekc/edit?gid=400822622#gid=400822622"", ""GRADE 12!V""&amp;ROW(V20))"),0.0)</f>
        <v>0</v>
      </c>
    </row>
    <row r="24" ht="22.5" customHeight="1">
      <c r="A24" s="63" t="s">
        <v>178</v>
      </c>
      <c r="B24" s="64">
        <v>14.0</v>
      </c>
      <c r="C24" s="64" t="s">
        <v>205</v>
      </c>
      <c r="D24" s="65" t="s">
        <v>21</v>
      </c>
      <c r="E24" s="66" t="s">
        <v>206</v>
      </c>
      <c r="F24" s="66" t="s">
        <v>21</v>
      </c>
      <c r="G24" s="67">
        <v>17.0</v>
      </c>
      <c r="H24" s="67">
        <v>29.0</v>
      </c>
      <c r="I24" s="35">
        <f t="shared" si="1"/>
        <v>46</v>
      </c>
      <c r="J24" s="130" t="str">
        <f>IFERROR(__xludf.DUMMYFUNCTION("IMPORTRANGE(""https://docs.google.com/spreadsheets/d/1CaLR8gtRCp0-wyyH0y5IvQnenreOSKFOo8AF4Pfpekc/edit?gid=400822622#gid=400822622"", ""GRADE 12!H""&amp;ROW(H21))"),"")</f>
        <v/>
      </c>
      <c r="K24" s="130" t="str">
        <f>IFERROR(__xludf.DUMMYFUNCTION("IMPORTRANGE(""https://docs.google.com/spreadsheets/d/1CaLR8gtRCp0-wyyH0y5IvQnenreOSKFOo8AF4Pfpekc/edit?gid=400822622#gid=400822622"", ""GRADE 12!I""&amp;ROW(I21))"),"")</f>
        <v/>
      </c>
      <c r="L24" s="130" t="str">
        <f>IFERROR(__xludf.DUMMYFUNCTION("IMPORTRANGE(""https://docs.google.com/spreadsheets/d/1CaLR8gtRCp0-wyyH0y5IvQnenreOSKFOo8AF4Pfpekc/edit?gid=400822622#gid=400822622"", ""GRADE 12!J""&amp;ROW(J21))"),"")</f>
        <v/>
      </c>
      <c r="M24" s="130">
        <f>IFERROR(__xludf.DUMMYFUNCTION("IMPORTRANGE(""https://docs.google.com/spreadsheets/d/1CaLR8gtRCp0-wyyH0y5IvQnenreOSKFOo8AF4Pfpekc/edit?gid=400822622#gid=400822622"", ""GRADE 12!K""&amp;ROW(K21))"),0.0)</f>
        <v>0</v>
      </c>
      <c r="N24" s="130">
        <f>IFERROR(__xludf.DUMMYFUNCTION("IMPORTRANGE(""https://docs.google.com/spreadsheets/d/1CaLR8gtRCp0-wyyH0y5IvQnenreOSKFOo8AF4Pfpekc/edit?gid=400822622#gid=400822622"", ""GRADE 12!L""&amp;ROW(L21))"),0.0)</f>
        <v>0</v>
      </c>
      <c r="O24" s="130" t="str">
        <f>IFERROR(__xludf.DUMMYFUNCTION("IMPORTRANGE(""https://docs.google.com/spreadsheets/d/1CaLR8gtRCp0-wyyH0y5IvQnenreOSKFOo8AF4Pfpekc/edit?gid=400822622#gid=400822622"", ""GRADE 12!M""&amp;ROW(M21))"),"")</f>
        <v/>
      </c>
      <c r="P24" s="130">
        <f>IFERROR(__xludf.DUMMYFUNCTION("IMPORTRANGE(""https://docs.google.com/spreadsheets/d/1CaLR8gtRCp0-wyyH0y5IvQnenreOSKFOo8AF4Pfpekc/edit?gid=400822622#gid=400822622"", ""GRADE 12!N""&amp;ROW(N21))"),0.0)</f>
        <v>0</v>
      </c>
      <c r="Q24" s="130">
        <f>IFERROR(__xludf.DUMMYFUNCTION("IMPORTRANGE(""https://docs.google.com/spreadsheets/d/1CaLR8gtRCp0-wyyH0y5IvQnenreOSKFOo8AF4Pfpekc/edit?gid=400822622#gid=400822622"", ""GRADE 12!O""&amp;ROW(O21))"),0.0)</f>
        <v>0</v>
      </c>
      <c r="R24" s="130">
        <f>IFERROR(__xludf.DUMMYFUNCTION("IMPORTRANGE(""https://docs.google.com/spreadsheets/d/1CaLR8gtRCp0-wyyH0y5IvQnenreOSKFOo8AF4Pfpekc/edit?gid=400822622#gid=400822622"", ""GRADE 12!P""&amp;ROW(P21))"),0.0)</f>
        <v>0</v>
      </c>
      <c r="S24" s="130">
        <f>IFERROR(__xludf.DUMMYFUNCTION("IMPORTRANGE(""https://docs.google.com/spreadsheets/d/1CaLR8gtRCp0-wyyH0y5IvQnenreOSKFOo8AF4Pfpekc/edit?gid=400822622#gid=400822622"", ""GRADE 12!Q""&amp;ROW(Q21))"),0.0)</f>
        <v>0</v>
      </c>
      <c r="T24" s="130">
        <f>IFERROR(__xludf.DUMMYFUNCTION("IMPORTRANGE(""https://docs.google.com/spreadsheets/d/1CaLR8gtRCp0-wyyH0y5IvQnenreOSKFOo8AF4Pfpekc/edit?gid=400822622#gid=400822622"", ""GRADE 12!R""&amp;ROW(R21))"),0.0)</f>
        <v>0</v>
      </c>
      <c r="U24" s="130" t="str">
        <f>IFERROR(__xludf.DUMMYFUNCTION("IMPORTRANGE(""https://docs.google.com/spreadsheets/d/1CaLR8gtRCp0-wyyH0y5IvQnenreOSKFOo8AF4Pfpekc/edit?gid=400822622#gid=400822622"", ""GRADE 12!S""&amp;ROW(S21))"),"")</f>
        <v/>
      </c>
      <c r="V24" s="131">
        <f>IFERROR(__xludf.DUMMYFUNCTION("IMPORTRANGE(""https://docs.google.com/spreadsheets/d/1CaLR8gtRCp0-wyyH0y5IvQnenreOSKFOo8AF4Pfpekc/edit?gid=400822622#gid=400822622"", ""GRADE 12!T""&amp;ROW(T21))"),7.0)</f>
        <v>7</v>
      </c>
      <c r="W24" s="132">
        <f>IFERROR(__xludf.DUMMYFUNCTION("IMPORTRANGE(""https://docs.google.com/spreadsheets/d/1CaLR8gtRCp0-wyyH0y5IvQnenreOSKFOo8AF4Pfpekc/edit?gid=400822622#gid=400822622"", ""GRADE 12!U""&amp;ROW(U21))"),0.0)</f>
        <v>0</v>
      </c>
      <c r="X24" s="61">
        <f>IFERROR(__xludf.DUMMYFUNCTION("IMPORTRANGE(""https://docs.google.com/spreadsheets/d/1CaLR8gtRCp0-wyyH0y5IvQnenreOSKFOo8AF4Pfpekc/edit?gid=400822622#gid=400822622"", ""GRADE 12!V""&amp;ROW(V21))"),0.0)</f>
        <v>0</v>
      </c>
    </row>
    <row r="25" ht="22.5" customHeight="1">
      <c r="A25" s="63" t="s">
        <v>178</v>
      </c>
      <c r="B25" s="64">
        <v>15.0</v>
      </c>
      <c r="C25" s="64" t="s">
        <v>207</v>
      </c>
      <c r="D25" s="65" t="s">
        <v>55</v>
      </c>
      <c r="E25" s="66" t="s">
        <v>208</v>
      </c>
      <c r="F25" s="66" t="s">
        <v>30</v>
      </c>
      <c r="G25" s="67">
        <v>25.0</v>
      </c>
      <c r="H25" s="67">
        <v>27.0</v>
      </c>
      <c r="I25" s="35">
        <f t="shared" si="1"/>
        <v>52</v>
      </c>
      <c r="J25" s="130">
        <f>IFERROR(__xludf.DUMMYFUNCTION("IMPORTRANGE(""https://docs.google.com/spreadsheets/d/1CaLR8gtRCp0-wyyH0y5IvQnenreOSKFOo8AF4Pfpekc/edit?gid=400822622#gid=400822622"", ""GRADE 12!H""&amp;ROW(H22))"),0.0)</f>
        <v>0</v>
      </c>
      <c r="K25" s="130">
        <f>IFERROR(__xludf.DUMMYFUNCTION("IMPORTRANGE(""https://docs.google.com/spreadsheets/d/1CaLR8gtRCp0-wyyH0y5IvQnenreOSKFOo8AF4Pfpekc/edit?gid=400822622#gid=400822622"", ""GRADE 12!I""&amp;ROW(I22))"),0.0)</f>
        <v>0</v>
      </c>
      <c r="L25" s="130">
        <f>IFERROR(__xludf.DUMMYFUNCTION("IMPORTRANGE(""https://docs.google.com/spreadsheets/d/1CaLR8gtRCp0-wyyH0y5IvQnenreOSKFOo8AF4Pfpekc/edit?gid=400822622#gid=400822622"", ""GRADE 12!J""&amp;ROW(J22))"),0.0)</f>
        <v>0</v>
      </c>
      <c r="M25" s="130">
        <f>IFERROR(__xludf.DUMMYFUNCTION("IMPORTRANGE(""https://docs.google.com/spreadsheets/d/1CaLR8gtRCp0-wyyH0y5IvQnenreOSKFOo8AF4Pfpekc/edit?gid=400822622#gid=400822622"", ""GRADE 12!K""&amp;ROW(K22))"),0.0)</f>
        <v>0</v>
      </c>
      <c r="N25" s="130">
        <f>IFERROR(__xludf.DUMMYFUNCTION("IMPORTRANGE(""https://docs.google.com/spreadsheets/d/1CaLR8gtRCp0-wyyH0y5IvQnenreOSKFOo8AF4Pfpekc/edit?gid=400822622#gid=400822622"", ""GRADE 12!L""&amp;ROW(L22))"),0.0)</f>
        <v>0</v>
      </c>
      <c r="O25" s="130">
        <f>IFERROR(__xludf.DUMMYFUNCTION("IMPORTRANGE(""https://docs.google.com/spreadsheets/d/1CaLR8gtRCp0-wyyH0y5IvQnenreOSKFOo8AF4Pfpekc/edit?gid=400822622#gid=400822622"", ""GRADE 12!M""&amp;ROW(M22))"),0.0)</f>
        <v>0</v>
      </c>
      <c r="P25" s="130" t="str">
        <f>IFERROR(__xludf.DUMMYFUNCTION("IMPORTRANGE(""https://docs.google.com/spreadsheets/d/1CaLR8gtRCp0-wyyH0y5IvQnenreOSKFOo8AF4Pfpekc/edit?gid=400822622#gid=400822622"", ""GRADE 12!N""&amp;ROW(N22))"),"")</f>
        <v/>
      </c>
      <c r="Q25" s="130" t="str">
        <f>IFERROR(__xludf.DUMMYFUNCTION("IMPORTRANGE(""https://docs.google.com/spreadsheets/d/1CaLR8gtRCp0-wyyH0y5IvQnenreOSKFOo8AF4Pfpekc/edit?gid=400822622#gid=400822622"", ""GRADE 12!O""&amp;ROW(O22))"),"")</f>
        <v/>
      </c>
      <c r="R25" s="130" t="str">
        <f>IFERROR(__xludf.DUMMYFUNCTION("IMPORTRANGE(""https://docs.google.com/spreadsheets/d/1CaLR8gtRCp0-wyyH0y5IvQnenreOSKFOo8AF4Pfpekc/edit?gid=400822622#gid=400822622"", ""GRADE 12!P""&amp;ROW(P22))"),"")</f>
        <v/>
      </c>
      <c r="S25" s="130">
        <f>IFERROR(__xludf.DUMMYFUNCTION("IMPORTRANGE(""https://docs.google.com/spreadsheets/d/1CaLR8gtRCp0-wyyH0y5IvQnenreOSKFOo8AF4Pfpekc/edit?gid=400822622#gid=400822622"", ""GRADE 12!Q""&amp;ROW(Q22))"),0.0)</f>
        <v>0</v>
      </c>
      <c r="T25" s="130">
        <f>IFERROR(__xludf.DUMMYFUNCTION("IMPORTRANGE(""https://docs.google.com/spreadsheets/d/1CaLR8gtRCp0-wyyH0y5IvQnenreOSKFOo8AF4Pfpekc/edit?gid=400822622#gid=400822622"", ""GRADE 12!R""&amp;ROW(R22))"),0.0)</f>
        <v>0</v>
      </c>
      <c r="U25" s="130" t="str">
        <f>IFERROR(__xludf.DUMMYFUNCTION("IMPORTRANGE(""https://docs.google.com/spreadsheets/d/1CaLR8gtRCp0-wyyH0y5IvQnenreOSKFOo8AF4Pfpekc/edit?gid=400822622#gid=400822622"", ""GRADE 12!S""&amp;ROW(S22))"),"")</f>
        <v/>
      </c>
      <c r="V25" s="131">
        <f>IFERROR(__xludf.DUMMYFUNCTION("IMPORTRANGE(""https://docs.google.com/spreadsheets/d/1CaLR8gtRCp0-wyyH0y5IvQnenreOSKFOo8AF4Pfpekc/edit?gid=400822622#gid=400822622"", ""GRADE 12!T""&amp;ROW(T22))"),8.0)</f>
        <v>8</v>
      </c>
      <c r="W25" s="132">
        <f>IFERROR(__xludf.DUMMYFUNCTION("IMPORTRANGE(""https://docs.google.com/spreadsheets/d/1CaLR8gtRCp0-wyyH0y5IvQnenreOSKFOo8AF4Pfpekc/edit?gid=400822622#gid=400822622"", ""GRADE 12!U""&amp;ROW(U22))"),0.0)</f>
        <v>0</v>
      </c>
      <c r="X25" s="61">
        <f>IFERROR(__xludf.DUMMYFUNCTION("IMPORTRANGE(""https://docs.google.com/spreadsheets/d/1CaLR8gtRCp0-wyyH0y5IvQnenreOSKFOo8AF4Pfpekc/edit?gid=400822622#gid=400822622"", ""GRADE 12!V""&amp;ROW(V22))"),0.0)</f>
        <v>0</v>
      </c>
    </row>
    <row r="26" ht="22.5" customHeight="1">
      <c r="A26" s="63" t="s">
        <v>178</v>
      </c>
      <c r="B26" s="64">
        <v>16.0</v>
      </c>
      <c r="C26" s="64" t="s">
        <v>209</v>
      </c>
      <c r="D26" s="65" t="s">
        <v>55</v>
      </c>
      <c r="E26" s="66" t="s">
        <v>210</v>
      </c>
      <c r="F26" s="66" t="s">
        <v>21</v>
      </c>
      <c r="G26" s="67">
        <v>24.0</v>
      </c>
      <c r="H26" s="67">
        <v>31.0</v>
      </c>
      <c r="I26" s="35">
        <f t="shared" si="1"/>
        <v>55</v>
      </c>
      <c r="J26" s="130">
        <f>IFERROR(__xludf.DUMMYFUNCTION("IMPORTRANGE(""https://docs.google.com/spreadsheets/d/1CaLR8gtRCp0-wyyH0y5IvQnenreOSKFOo8AF4Pfpekc/edit?gid=400822622#gid=400822622"", ""GRADE 12!H""&amp;ROW(H23))"),0.0)</f>
        <v>0</v>
      </c>
      <c r="K26" s="130">
        <f>IFERROR(__xludf.DUMMYFUNCTION("IMPORTRANGE(""https://docs.google.com/spreadsheets/d/1CaLR8gtRCp0-wyyH0y5IvQnenreOSKFOo8AF4Pfpekc/edit?gid=400822622#gid=400822622"", ""GRADE 12!I""&amp;ROW(I23))"),0.0)</f>
        <v>0</v>
      </c>
      <c r="L26" s="130">
        <f>IFERROR(__xludf.DUMMYFUNCTION("IMPORTRANGE(""https://docs.google.com/spreadsheets/d/1CaLR8gtRCp0-wyyH0y5IvQnenreOSKFOo8AF4Pfpekc/edit?gid=400822622#gid=400822622"", ""GRADE 12!J""&amp;ROW(J23))"),0.0)</f>
        <v>0</v>
      </c>
      <c r="M26" s="130">
        <f>IFERROR(__xludf.DUMMYFUNCTION("IMPORTRANGE(""https://docs.google.com/spreadsheets/d/1CaLR8gtRCp0-wyyH0y5IvQnenreOSKFOo8AF4Pfpekc/edit?gid=400822622#gid=400822622"", ""GRADE 12!K""&amp;ROW(K23))"),0.0)</f>
        <v>0</v>
      </c>
      <c r="N26" s="130">
        <f>IFERROR(__xludf.DUMMYFUNCTION("IMPORTRANGE(""https://docs.google.com/spreadsheets/d/1CaLR8gtRCp0-wyyH0y5IvQnenreOSKFOo8AF4Pfpekc/edit?gid=400822622#gid=400822622"", ""GRADE 12!L""&amp;ROW(L23))"),0.0)</f>
        <v>0</v>
      </c>
      <c r="O26" s="130">
        <f>IFERROR(__xludf.DUMMYFUNCTION("IMPORTRANGE(""https://docs.google.com/spreadsheets/d/1CaLR8gtRCp0-wyyH0y5IvQnenreOSKFOo8AF4Pfpekc/edit?gid=400822622#gid=400822622"", ""GRADE 12!M""&amp;ROW(M23))"),0.0)</f>
        <v>0</v>
      </c>
      <c r="P26" s="130" t="str">
        <f>IFERROR(__xludf.DUMMYFUNCTION("IMPORTRANGE(""https://docs.google.com/spreadsheets/d/1CaLR8gtRCp0-wyyH0y5IvQnenreOSKFOo8AF4Pfpekc/edit?gid=400822622#gid=400822622"", ""GRADE 12!N""&amp;ROW(N23))"),"")</f>
        <v/>
      </c>
      <c r="Q26" s="130" t="str">
        <f>IFERROR(__xludf.DUMMYFUNCTION("IMPORTRANGE(""https://docs.google.com/spreadsheets/d/1CaLR8gtRCp0-wyyH0y5IvQnenreOSKFOo8AF4Pfpekc/edit?gid=400822622#gid=400822622"", ""GRADE 12!O""&amp;ROW(O23))"),"")</f>
        <v/>
      </c>
      <c r="R26" s="130" t="str">
        <f>IFERROR(__xludf.DUMMYFUNCTION("IMPORTRANGE(""https://docs.google.com/spreadsheets/d/1CaLR8gtRCp0-wyyH0y5IvQnenreOSKFOo8AF4Pfpekc/edit?gid=400822622#gid=400822622"", ""GRADE 12!P""&amp;ROW(P23))"),"")</f>
        <v/>
      </c>
      <c r="S26" s="130">
        <f>IFERROR(__xludf.DUMMYFUNCTION("IMPORTRANGE(""https://docs.google.com/spreadsheets/d/1CaLR8gtRCp0-wyyH0y5IvQnenreOSKFOo8AF4Pfpekc/edit?gid=400822622#gid=400822622"", ""GRADE 12!Q""&amp;ROW(Q23))"),0.0)</f>
        <v>0</v>
      </c>
      <c r="T26" s="130">
        <f>IFERROR(__xludf.DUMMYFUNCTION("IMPORTRANGE(""https://docs.google.com/spreadsheets/d/1CaLR8gtRCp0-wyyH0y5IvQnenreOSKFOo8AF4Pfpekc/edit?gid=400822622#gid=400822622"", ""GRADE 12!R""&amp;ROW(R23))"),0.0)</f>
        <v>0</v>
      </c>
      <c r="U26" s="130" t="str">
        <f>IFERROR(__xludf.DUMMYFUNCTION("IMPORTRANGE(""https://docs.google.com/spreadsheets/d/1CaLR8gtRCp0-wyyH0y5IvQnenreOSKFOo8AF4Pfpekc/edit?gid=400822622#gid=400822622"", ""GRADE 12!S""&amp;ROW(S23))"),"")</f>
        <v/>
      </c>
      <c r="V26" s="131">
        <f>IFERROR(__xludf.DUMMYFUNCTION("IMPORTRANGE(""https://docs.google.com/spreadsheets/d/1CaLR8gtRCp0-wyyH0y5IvQnenreOSKFOo8AF4Pfpekc/edit?gid=400822622#gid=400822622"", ""GRADE 12!T""&amp;ROW(T23))"),8.0)</f>
        <v>8</v>
      </c>
      <c r="W26" s="132">
        <f>IFERROR(__xludf.DUMMYFUNCTION("IMPORTRANGE(""https://docs.google.com/spreadsheets/d/1CaLR8gtRCp0-wyyH0y5IvQnenreOSKFOo8AF4Pfpekc/edit?gid=400822622#gid=400822622"", ""GRADE 12!U""&amp;ROW(U23))"),0.0)</f>
        <v>0</v>
      </c>
      <c r="X26" s="61">
        <f>IFERROR(__xludf.DUMMYFUNCTION("IMPORTRANGE(""https://docs.google.com/spreadsheets/d/1CaLR8gtRCp0-wyyH0y5IvQnenreOSKFOo8AF4Pfpekc/edit?gid=400822622#gid=400822622"", ""GRADE 12!V""&amp;ROW(V23))"),0.0)</f>
        <v>0</v>
      </c>
    </row>
    <row r="27" ht="22.5" customHeight="1">
      <c r="A27" s="63" t="s">
        <v>178</v>
      </c>
      <c r="B27" s="64">
        <v>17.0</v>
      </c>
      <c r="C27" s="64" t="s">
        <v>211</v>
      </c>
      <c r="D27" s="65" t="s">
        <v>55</v>
      </c>
      <c r="E27" s="66" t="s">
        <v>212</v>
      </c>
      <c r="F27" s="66" t="s">
        <v>27</v>
      </c>
      <c r="G27" s="67">
        <v>25.0</v>
      </c>
      <c r="H27" s="67">
        <v>31.0</v>
      </c>
      <c r="I27" s="35">
        <f t="shared" si="1"/>
        <v>56</v>
      </c>
      <c r="J27" s="130">
        <f>IFERROR(__xludf.DUMMYFUNCTION("IMPORTRANGE(""https://docs.google.com/spreadsheets/d/1CaLR8gtRCp0-wyyH0y5IvQnenreOSKFOo8AF4Pfpekc/edit?gid=400822622#gid=400822622"", ""GRADE 12!H""&amp;ROW(H24))"),0.0)</f>
        <v>0</v>
      </c>
      <c r="K27" s="130">
        <f>IFERROR(__xludf.DUMMYFUNCTION("IMPORTRANGE(""https://docs.google.com/spreadsheets/d/1CaLR8gtRCp0-wyyH0y5IvQnenreOSKFOo8AF4Pfpekc/edit?gid=400822622#gid=400822622"", ""GRADE 12!I""&amp;ROW(I24))"),0.0)</f>
        <v>0</v>
      </c>
      <c r="L27" s="130">
        <f>IFERROR(__xludf.DUMMYFUNCTION("IMPORTRANGE(""https://docs.google.com/spreadsheets/d/1CaLR8gtRCp0-wyyH0y5IvQnenreOSKFOo8AF4Pfpekc/edit?gid=400822622#gid=400822622"", ""GRADE 12!J""&amp;ROW(J24))"),0.0)</f>
        <v>0</v>
      </c>
      <c r="M27" s="130">
        <f>IFERROR(__xludf.DUMMYFUNCTION("IMPORTRANGE(""https://docs.google.com/spreadsheets/d/1CaLR8gtRCp0-wyyH0y5IvQnenreOSKFOo8AF4Pfpekc/edit?gid=400822622#gid=400822622"", ""GRADE 12!K""&amp;ROW(K24))"),0.0)</f>
        <v>0</v>
      </c>
      <c r="N27" s="130">
        <f>IFERROR(__xludf.DUMMYFUNCTION("IMPORTRANGE(""https://docs.google.com/spreadsheets/d/1CaLR8gtRCp0-wyyH0y5IvQnenreOSKFOo8AF4Pfpekc/edit?gid=400822622#gid=400822622"", ""GRADE 12!L""&amp;ROW(L24))"),0.0)</f>
        <v>0</v>
      </c>
      <c r="O27" s="130">
        <f>IFERROR(__xludf.DUMMYFUNCTION("IMPORTRANGE(""https://docs.google.com/spreadsheets/d/1CaLR8gtRCp0-wyyH0y5IvQnenreOSKFOo8AF4Pfpekc/edit?gid=400822622#gid=400822622"", ""GRADE 12!M""&amp;ROW(M24))"),0.0)</f>
        <v>0</v>
      </c>
      <c r="P27" s="130" t="str">
        <f>IFERROR(__xludf.DUMMYFUNCTION("IMPORTRANGE(""https://docs.google.com/spreadsheets/d/1CaLR8gtRCp0-wyyH0y5IvQnenreOSKFOo8AF4Pfpekc/edit?gid=400822622#gid=400822622"", ""GRADE 12!N""&amp;ROW(N24))"),"")</f>
        <v/>
      </c>
      <c r="Q27" s="130" t="str">
        <f>IFERROR(__xludf.DUMMYFUNCTION("IMPORTRANGE(""https://docs.google.com/spreadsheets/d/1CaLR8gtRCp0-wyyH0y5IvQnenreOSKFOo8AF4Pfpekc/edit?gid=400822622#gid=400822622"", ""GRADE 12!O""&amp;ROW(O24))"),"")</f>
        <v/>
      </c>
      <c r="R27" s="130" t="str">
        <f>IFERROR(__xludf.DUMMYFUNCTION("IMPORTRANGE(""https://docs.google.com/spreadsheets/d/1CaLR8gtRCp0-wyyH0y5IvQnenreOSKFOo8AF4Pfpekc/edit?gid=400822622#gid=400822622"", ""GRADE 12!P""&amp;ROW(P24))"),"")</f>
        <v/>
      </c>
      <c r="S27" s="130">
        <f>IFERROR(__xludf.DUMMYFUNCTION("IMPORTRANGE(""https://docs.google.com/spreadsheets/d/1CaLR8gtRCp0-wyyH0y5IvQnenreOSKFOo8AF4Pfpekc/edit?gid=400822622#gid=400822622"", ""GRADE 12!Q""&amp;ROW(Q24))"),0.0)</f>
        <v>0</v>
      </c>
      <c r="T27" s="130">
        <f>IFERROR(__xludf.DUMMYFUNCTION("IMPORTRANGE(""https://docs.google.com/spreadsheets/d/1CaLR8gtRCp0-wyyH0y5IvQnenreOSKFOo8AF4Pfpekc/edit?gid=400822622#gid=400822622"", ""GRADE 12!R""&amp;ROW(R24))"),0.0)</f>
        <v>0</v>
      </c>
      <c r="U27" s="130" t="str">
        <f>IFERROR(__xludf.DUMMYFUNCTION("IMPORTRANGE(""https://docs.google.com/spreadsheets/d/1CaLR8gtRCp0-wyyH0y5IvQnenreOSKFOo8AF4Pfpekc/edit?gid=400822622#gid=400822622"", ""GRADE 12!S""&amp;ROW(S24))"),"")</f>
        <v/>
      </c>
      <c r="V27" s="131">
        <f>IFERROR(__xludf.DUMMYFUNCTION("IMPORTRANGE(""https://docs.google.com/spreadsheets/d/1CaLR8gtRCp0-wyyH0y5IvQnenreOSKFOo8AF4Pfpekc/edit?gid=400822622#gid=400822622"", ""GRADE 12!T""&amp;ROW(T24))"),8.0)</f>
        <v>8</v>
      </c>
      <c r="W27" s="132">
        <f>IFERROR(__xludf.DUMMYFUNCTION("IMPORTRANGE(""https://docs.google.com/spreadsheets/d/1CaLR8gtRCp0-wyyH0y5IvQnenreOSKFOo8AF4Pfpekc/edit?gid=400822622#gid=400822622"", ""GRADE 12!U""&amp;ROW(U24))"),0.0)</f>
        <v>0</v>
      </c>
      <c r="X27" s="61">
        <f>IFERROR(__xludf.DUMMYFUNCTION("IMPORTRANGE(""https://docs.google.com/spreadsheets/d/1CaLR8gtRCp0-wyyH0y5IvQnenreOSKFOo8AF4Pfpekc/edit?gid=400822622#gid=400822622"", ""GRADE 12!V""&amp;ROW(V24))"),0.0)</f>
        <v>0</v>
      </c>
    </row>
    <row r="28" ht="22.5" customHeight="1">
      <c r="A28" s="63" t="s">
        <v>178</v>
      </c>
      <c r="B28" s="64">
        <v>18.0</v>
      </c>
      <c r="C28" s="64" t="s">
        <v>213</v>
      </c>
      <c r="D28" s="65" t="s">
        <v>55</v>
      </c>
      <c r="E28" s="66" t="s">
        <v>214</v>
      </c>
      <c r="F28" s="66" t="s">
        <v>27</v>
      </c>
      <c r="G28" s="67">
        <v>26.0</v>
      </c>
      <c r="H28" s="67">
        <v>32.0</v>
      </c>
      <c r="I28" s="35">
        <f t="shared" si="1"/>
        <v>58</v>
      </c>
      <c r="J28" s="130">
        <f>IFERROR(__xludf.DUMMYFUNCTION("IMPORTRANGE(""https://docs.google.com/spreadsheets/d/1CaLR8gtRCp0-wyyH0y5IvQnenreOSKFOo8AF4Pfpekc/edit?gid=400822622#gid=400822622"", ""GRADE 12!H""&amp;ROW(H25))"),0.0)</f>
        <v>0</v>
      </c>
      <c r="K28" s="130">
        <f>IFERROR(__xludf.DUMMYFUNCTION("IMPORTRANGE(""https://docs.google.com/spreadsheets/d/1CaLR8gtRCp0-wyyH0y5IvQnenreOSKFOo8AF4Pfpekc/edit?gid=400822622#gid=400822622"", ""GRADE 12!I""&amp;ROW(I25))"),0.0)</f>
        <v>0</v>
      </c>
      <c r="L28" s="130">
        <f>IFERROR(__xludf.DUMMYFUNCTION("IMPORTRANGE(""https://docs.google.com/spreadsheets/d/1CaLR8gtRCp0-wyyH0y5IvQnenreOSKFOo8AF4Pfpekc/edit?gid=400822622#gid=400822622"", ""GRADE 12!J""&amp;ROW(J25))"),0.0)</f>
        <v>0</v>
      </c>
      <c r="M28" s="130">
        <f>IFERROR(__xludf.DUMMYFUNCTION("IMPORTRANGE(""https://docs.google.com/spreadsheets/d/1CaLR8gtRCp0-wyyH0y5IvQnenreOSKFOo8AF4Pfpekc/edit?gid=400822622#gid=400822622"", ""GRADE 12!K""&amp;ROW(K25))"),0.0)</f>
        <v>0</v>
      </c>
      <c r="N28" s="130">
        <f>IFERROR(__xludf.DUMMYFUNCTION("IMPORTRANGE(""https://docs.google.com/spreadsheets/d/1CaLR8gtRCp0-wyyH0y5IvQnenreOSKFOo8AF4Pfpekc/edit?gid=400822622#gid=400822622"", ""GRADE 12!L""&amp;ROW(L25))"),0.0)</f>
        <v>0</v>
      </c>
      <c r="O28" s="130">
        <f>IFERROR(__xludf.DUMMYFUNCTION("IMPORTRANGE(""https://docs.google.com/spreadsheets/d/1CaLR8gtRCp0-wyyH0y5IvQnenreOSKFOo8AF4Pfpekc/edit?gid=400822622#gid=400822622"", ""GRADE 12!M""&amp;ROW(M25))"),0.0)</f>
        <v>0</v>
      </c>
      <c r="P28" s="130" t="str">
        <f>IFERROR(__xludf.DUMMYFUNCTION("IMPORTRANGE(""https://docs.google.com/spreadsheets/d/1CaLR8gtRCp0-wyyH0y5IvQnenreOSKFOo8AF4Pfpekc/edit?gid=400822622#gid=400822622"", ""GRADE 12!N""&amp;ROW(N25))"),"")</f>
        <v/>
      </c>
      <c r="Q28" s="130" t="str">
        <f>IFERROR(__xludf.DUMMYFUNCTION("IMPORTRANGE(""https://docs.google.com/spreadsheets/d/1CaLR8gtRCp0-wyyH0y5IvQnenreOSKFOo8AF4Pfpekc/edit?gid=400822622#gid=400822622"", ""GRADE 12!O""&amp;ROW(O25))"),"")</f>
        <v/>
      </c>
      <c r="R28" s="130" t="str">
        <f>IFERROR(__xludf.DUMMYFUNCTION("IMPORTRANGE(""https://docs.google.com/spreadsheets/d/1CaLR8gtRCp0-wyyH0y5IvQnenreOSKFOo8AF4Pfpekc/edit?gid=400822622#gid=400822622"", ""GRADE 12!P""&amp;ROW(P25))"),"")</f>
        <v/>
      </c>
      <c r="S28" s="130">
        <f>IFERROR(__xludf.DUMMYFUNCTION("IMPORTRANGE(""https://docs.google.com/spreadsheets/d/1CaLR8gtRCp0-wyyH0y5IvQnenreOSKFOo8AF4Pfpekc/edit?gid=400822622#gid=400822622"", ""GRADE 12!Q""&amp;ROW(Q25))"),0.0)</f>
        <v>0</v>
      </c>
      <c r="T28" s="130">
        <f>IFERROR(__xludf.DUMMYFUNCTION("IMPORTRANGE(""https://docs.google.com/spreadsheets/d/1CaLR8gtRCp0-wyyH0y5IvQnenreOSKFOo8AF4Pfpekc/edit?gid=400822622#gid=400822622"", ""GRADE 12!R""&amp;ROW(R25))"),0.0)</f>
        <v>0</v>
      </c>
      <c r="U28" s="130" t="str">
        <f>IFERROR(__xludf.DUMMYFUNCTION("IMPORTRANGE(""https://docs.google.com/spreadsheets/d/1CaLR8gtRCp0-wyyH0y5IvQnenreOSKFOo8AF4Pfpekc/edit?gid=400822622#gid=400822622"", ""GRADE 12!S""&amp;ROW(S25))"),"")</f>
        <v/>
      </c>
      <c r="V28" s="131">
        <f>IFERROR(__xludf.DUMMYFUNCTION("IMPORTRANGE(""https://docs.google.com/spreadsheets/d/1CaLR8gtRCp0-wyyH0y5IvQnenreOSKFOo8AF4Pfpekc/edit?gid=400822622#gid=400822622"", ""GRADE 12!T""&amp;ROW(T25))"),8.0)</f>
        <v>8</v>
      </c>
      <c r="W28" s="132">
        <f>IFERROR(__xludf.DUMMYFUNCTION("IMPORTRANGE(""https://docs.google.com/spreadsheets/d/1CaLR8gtRCp0-wyyH0y5IvQnenreOSKFOo8AF4Pfpekc/edit?gid=400822622#gid=400822622"", ""GRADE 12!U""&amp;ROW(U25))"),0.0)</f>
        <v>0</v>
      </c>
      <c r="X28" s="61">
        <f>IFERROR(__xludf.DUMMYFUNCTION("IMPORTRANGE(""https://docs.google.com/spreadsheets/d/1CaLR8gtRCp0-wyyH0y5IvQnenreOSKFOo8AF4Pfpekc/edit?gid=400822622#gid=400822622"", ""GRADE 12!V""&amp;ROW(V25))"),0.0)</f>
        <v>0</v>
      </c>
    </row>
    <row r="29" ht="22.5" customHeight="1">
      <c r="A29" s="63" t="s">
        <v>178</v>
      </c>
      <c r="B29" s="64">
        <v>19.0</v>
      </c>
      <c r="C29" s="64" t="s">
        <v>215</v>
      </c>
      <c r="D29" s="65" t="s">
        <v>55</v>
      </c>
      <c r="E29" s="66" t="s">
        <v>216</v>
      </c>
      <c r="F29" s="66" t="s">
        <v>55</v>
      </c>
      <c r="G29" s="67">
        <v>26.0</v>
      </c>
      <c r="H29" s="67">
        <v>30.0</v>
      </c>
      <c r="I29" s="35">
        <f t="shared" si="1"/>
        <v>56</v>
      </c>
      <c r="J29" s="130">
        <f>IFERROR(__xludf.DUMMYFUNCTION("IMPORTRANGE(""https://docs.google.com/spreadsheets/d/1CaLR8gtRCp0-wyyH0y5IvQnenreOSKFOo8AF4Pfpekc/edit?gid=400822622#gid=400822622"", ""GRADE 12!H""&amp;ROW(H26))"),0.0)</f>
        <v>0</v>
      </c>
      <c r="K29" s="130">
        <f>IFERROR(__xludf.DUMMYFUNCTION("IMPORTRANGE(""https://docs.google.com/spreadsheets/d/1CaLR8gtRCp0-wyyH0y5IvQnenreOSKFOo8AF4Pfpekc/edit?gid=400822622#gid=400822622"", ""GRADE 12!I""&amp;ROW(I26))"),0.0)</f>
        <v>0</v>
      </c>
      <c r="L29" s="130">
        <f>IFERROR(__xludf.DUMMYFUNCTION("IMPORTRANGE(""https://docs.google.com/spreadsheets/d/1CaLR8gtRCp0-wyyH0y5IvQnenreOSKFOo8AF4Pfpekc/edit?gid=400822622#gid=400822622"", ""GRADE 12!J""&amp;ROW(J26))"),0.0)</f>
        <v>0</v>
      </c>
      <c r="M29" s="130">
        <f>IFERROR(__xludf.DUMMYFUNCTION("IMPORTRANGE(""https://docs.google.com/spreadsheets/d/1CaLR8gtRCp0-wyyH0y5IvQnenreOSKFOo8AF4Pfpekc/edit?gid=400822622#gid=400822622"", ""GRADE 12!K""&amp;ROW(K26))"),0.0)</f>
        <v>0</v>
      </c>
      <c r="N29" s="130">
        <f>IFERROR(__xludf.DUMMYFUNCTION("IMPORTRANGE(""https://docs.google.com/spreadsheets/d/1CaLR8gtRCp0-wyyH0y5IvQnenreOSKFOo8AF4Pfpekc/edit?gid=400822622#gid=400822622"", ""GRADE 12!L""&amp;ROW(L26))"),0.0)</f>
        <v>0</v>
      </c>
      <c r="O29" s="130">
        <f>IFERROR(__xludf.DUMMYFUNCTION("IMPORTRANGE(""https://docs.google.com/spreadsheets/d/1CaLR8gtRCp0-wyyH0y5IvQnenreOSKFOo8AF4Pfpekc/edit?gid=400822622#gid=400822622"", ""GRADE 12!M""&amp;ROW(M26))"),0.0)</f>
        <v>0</v>
      </c>
      <c r="P29" s="130" t="str">
        <f>IFERROR(__xludf.DUMMYFUNCTION("IMPORTRANGE(""https://docs.google.com/spreadsheets/d/1CaLR8gtRCp0-wyyH0y5IvQnenreOSKFOo8AF4Pfpekc/edit?gid=400822622#gid=400822622"", ""GRADE 12!N""&amp;ROW(N26))"),"")</f>
        <v/>
      </c>
      <c r="Q29" s="130" t="str">
        <f>IFERROR(__xludf.DUMMYFUNCTION("IMPORTRANGE(""https://docs.google.com/spreadsheets/d/1CaLR8gtRCp0-wyyH0y5IvQnenreOSKFOo8AF4Pfpekc/edit?gid=400822622#gid=400822622"", ""GRADE 12!O""&amp;ROW(O26))"),"")</f>
        <v/>
      </c>
      <c r="R29" s="130" t="str">
        <f>IFERROR(__xludf.DUMMYFUNCTION("IMPORTRANGE(""https://docs.google.com/spreadsheets/d/1CaLR8gtRCp0-wyyH0y5IvQnenreOSKFOo8AF4Pfpekc/edit?gid=400822622#gid=400822622"", ""GRADE 12!P""&amp;ROW(P26))"),"")</f>
        <v/>
      </c>
      <c r="S29" s="130">
        <f>IFERROR(__xludf.DUMMYFUNCTION("IMPORTRANGE(""https://docs.google.com/spreadsheets/d/1CaLR8gtRCp0-wyyH0y5IvQnenreOSKFOo8AF4Pfpekc/edit?gid=400822622#gid=400822622"", ""GRADE 12!Q""&amp;ROW(Q26))"),0.0)</f>
        <v>0</v>
      </c>
      <c r="T29" s="130">
        <f>IFERROR(__xludf.DUMMYFUNCTION("IMPORTRANGE(""https://docs.google.com/spreadsheets/d/1CaLR8gtRCp0-wyyH0y5IvQnenreOSKFOo8AF4Pfpekc/edit?gid=400822622#gid=400822622"", ""GRADE 12!R""&amp;ROW(R26))"),0.0)</f>
        <v>0</v>
      </c>
      <c r="U29" s="130" t="str">
        <f>IFERROR(__xludf.DUMMYFUNCTION("IMPORTRANGE(""https://docs.google.com/spreadsheets/d/1CaLR8gtRCp0-wyyH0y5IvQnenreOSKFOo8AF4Pfpekc/edit?gid=400822622#gid=400822622"", ""GRADE 12!S""&amp;ROW(S26))"),"")</f>
        <v/>
      </c>
      <c r="V29" s="131">
        <f>IFERROR(__xludf.DUMMYFUNCTION("IMPORTRANGE(""https://docs.google.com/spreadsheets/d/1CaLR8gtRCp0-wyyH0y5IvQnenreOSKFOo8AF4Pfpekc/edit?gid=400822622#gid=400822622"", ""GRADE 12!T""&amp;ROW(T26))"),8.0)</f>
        <v>8</v>
      </c>
      <c r="W29" s="132">
        <f>IFERROR(__xludf.DUMMYFUNCTION("IMPORTRANGE(""https://docs.google.com/spreadsheets/d/1CaLR8gtRCp0-wyyH0y5IvQnenreOSKFOo8AF4Pfpekc/edit?gid=400822622#gid=400822622"", ""GRADE 12!U""&amp;ROW(U26))"),0.0)</f>
        <v>0</v>
      </c>
      <c r="X29" s="61">
        <f>IFERROR(__xludf.DUMMYFUNCTION("IMPORTRANGE(""https://docs.google.com/spreadsheets/d/1CaLR8gtRCp0-wyyH0y5IvQnenreOSKFOo8AF4Pfpekc/edit?gid=400822622#gid=400822622"", ""GRADE 12!V""&amp;ROW(V26))"),0.0)</f>
        <v>0</v>
      </c>
    </row>
    <row r="30" ht="22.5" customHeight="1">
      <c r="A30" s="63" t="s">
        <v>178</v>
      </c>
      <c r="B30" s="64">
        <v>20.0</v>
      </c>
      <c r="C30" s="64" t="s">
        <v>217</v>
      </c>
      <c r="D30" s="65" t="s">
        <v>55</v>
      </c>
      <c r="E30" s="66" t="s">
        <v>218</v>
      </c>
      <c r="F30" s="66" t="s">
        <v>27</v>
      </c>
      <c r="G30" s="67">
        <v>23.0</v>
      </c>
      <c r="H30" s="67">
        <v>31.0</v>
      </c>
      <c r="I30" s="35">
        <f t="shared" si="1"/>
        <v>54</v>
      </c>
      <c r="J30" s="130">
        <f>IFERROR(__xludf.DUMMYFUNCTION("IMPORTRANGE(""https://docs.google.com/spreadsheets/d/1CaLR8gtRCp0-wyyH0y5IvQnenreOSKFOo8AF4Pfpekc/edit?gid=400822622#gid=400822622"", ""GRADE 12!H""&amp;ROW(H27))"),0.0)</f>
        <v>0</v>
      </c>
      <c r="K30" s="130">
        <f>IFERROR(__xludf.DUMMYFUNCTION("IMPORTRANGE(""https://docs.google.com/spreadsheets/d/1CaLR8gtRCp0-wyyH0y5IvQnenreOSKFOo8AF4Pfpekc/edit?gid=400822622#gid=400822622"", ""GRADE 12!I""&amp;ROW(I27))"),0.0)</f>
        <v>0</v>
      </c>
      <c r="L30" s="130">
        <f>IFERROR(__xludf.DUMMYFUNCTION("IMPORTRANGE(""https://docs.google.com/spreadsheets/d/1CaLR8gtRCp0-wyyH0y5IvQnenreOSKFOo8AF4Pfpekc/edit?gid=400822622#gid=400822622"", ""GRADE 12!J""&amp;ROW(J27))"),0.0)</f>
        <v>0</v>
      </c>
      <c r="M30" s="130">
        <f>IFERROR(__xludf.DUMMYFUNCTION("IMPORTRANGE(""https://docs.google.com/spreadsheets/d/1CaLR8gtRCp0-wyyH0y5IvQnenreOSKFOo8AF4Pfpekc/edit?gid=400822622#gid=400822622"", ""GRADE 12!K""&amp;ROW(K27))"),0.0)</f>
        <v>0</v>
      </c>
      <c r="N30" s="130">
        <f>IFERROR(__xludf.DUMMYFUNCTION("IMPORTRANGE(""https://docs.google.com/spreadsheets/d/1CaLR8gtRCp0-wyyH0y5IvQnenreOSKFOo8AF4Pfpekc/edit?gid=400822622#gid=400822622"", ""GRADE 12!L""&amp;ROW(L27))"),0.0)</f>
        <v>0</v>
      </c>
      <c r="O30" s="130">
        <f>IFERROR(__xludf.DUMMYFUNCTION("IMPORTRANGE(""https://docs.google.com/spreadsheets/d/1CaLR8gtRCp0-wyyH0y5IvQnenreOSKFOo8AF4Pfpekc/edit?gid=400822622#gid=400822622"", ""GRADE 12!M""&amp;ROW(M27))"),0.0)</f>
        <v>0</v>
      </c>
      <c r="P30" s="130" t="str">
        <f>IFERROR(__xludf.DUMMYFUNCTION("IMPORTRANGE(""https://docs.google.com/spreadsheets/d/1CaLR8gtRCp0-wyyH0y5IvQnenreOSKFOo8AF4Pfpekc/edit?gid=400822622#gid=400822622"", ""GRADE 12!N""&amp;ROW(N27))"),"")</f>
        <v/>
      </c>
      <c r="Q30" s="130" t="str">
        <f>IFERROR(__xludf.DUMMYFUNCTION("IMPORTRANGE(""https://docs.google.com/spreadsheets/d/1CaLR8gtRCp0-wyyH0y5IvQnenreOSKFOo8AF4Pfpekc/edit?gid=400822622#gid=400822622"", ""GRADE 12!O""&amp;ROW(O27))"),"")</f>
        <v/>
      </c>
      <c r="R30" s="130" t="str">
        <f>IFERROR(__xludf.DUMMYFUNCTION("IMPORTRANGE(""https://docs.google.com/spreadsheets/d/1CaLR8gtRCp0-wyyH0y5IvQnenreOSKFOo8AF4Pfpekc/edit?gid=400822622#gid=400822622"", ""GRADE 12!P""&amp;ROW(P27))"),"")</f>
        <v/>
      </c>
      <c r="S30" s="130">
        <f>IFERROR(__xludf.DUMMYFUNCTION("IMPORTRANGE(""https://docs.google.com/spreadsheets/d/1CaLR8gtRCp0-wyyH0y5IvQnenreOSKFOo8AF4Pfpekc/edit?gid=400822622#gid=400822622"", ""GRADE 12!Q""&amp;ROW(Q27))"),0.0)</f>
        <v>0</v>
      </c>
      <c r="T30" s="130">
        <f>IFERROR(__xludf.DUMMYFUNCTION("IMPORTRANGE(""https://docs.google.com/spreadsheets/d/1CaLR8gtRCp0-wyyH0y5IvQnenreOSKFOo8AF4Pfpekc/edit?gid=400822622#gid=400822622"", ""GRADE 12!R""&amp;ROW(R27))"),0.0)</f>
        <v>0</v>
      </c>
      <c r="U30" s="130" t="str">
        <f>IFERROR(__xludf.DUMMYFUNCTION("IMPORTRANGE(""https://docs.google.com/spreadsheets/d/1CaLR8gtRCp0-wyyH0y5IvQnenreOSKFOo8AF4Pfpekc/edit?gid=400822622#gid=400822622"", ""GRADE 12!S""&amp;ROW(S27))"),"")</f>
        <v/>
      </c>
      <c r="V30" s="131">
        <f>IFERROR(__xludf.DUMMYFUNCTION("IMPORTRANGE(""https://docs.google.com/spreadsheets/d/1CaLR8gtRCp0-wyyH0y5IvQnenreOSKFOo8AF4Pfpekc/edit?gid=400822622#gid=400822622"", ""GRADE 12!T""&amp;ROW(T27))"),8.0)</f>
        <v>8</v>
      </c>
      <c r="W30" s="132">
        <f>IFERROR(__xludf.DUMMYFUNCTION("IMPORTRANGE(""https://docs.google.com/spreadsheets/d/1CaLR8gtRCp0-wyyH0y5IvQnenreOSKFOo8AF4Pfpekc/edit?gid=400822622#gid=400822622"", ""GRADE 12!U""&amp;ROW(U27))"),0.0)</f>
        <v>0</v>
      </c>
      <c r="X30" s="61">
        <f>IFERROR(__xludf.DUMMYFUNCTION("IMPORTRANGE(""https://docs.google.com/spreadsheets/d/1CaLR8gtRCp0-wyyH0y5IvQnenreOSKFOo8AF4Pfpekc/edit?gid=400822622#gid=400822622"", ""GRADE 12!V""&amp;ROW(V27))"),0.0)</f>
        <v>0</v>
      </c>
    </row>
    <row r="31" ht="22.5" customHeight="1">
      <c r="A31" s="63" t="s">
        <v>178</v>
      </c>
      <c r="B31" s="64">
        <v>21.0</v>
      </c>
      <c r="C31" s="64" t="s">
        <v>219</v>
      </c>
      <c r="D31" s="65" t="s">
        <v>55</v>
      </c>
      <c r="E31" s="66" t="s">
        <v>220</v>
      </c>
      <c r="F31" s="66" t="s">
        <v>55</v>
      </c>
      <c r="G31" s="67">
        <v>22.0</v>
      </c>
      <c r="H31" s="67">
        <v>30.0</v>
      </c>
      <c r="I31" s="35">
        <f t="shared" si="1"/>
        <v>52</v>
      </c>
      <c r="J31" s="130">
        <f>IFERROR(__xludf.DUMMYFUNCTION("IMPORTRANGE(""https://docs.google.com/spreadsheets/d/1CaLR8gtRCp0-wyyH0y5IvQnenreOSKFOo8AF4Pfpekc/edit?gid=400822622#gid=400822622"", ""GRADE 12!H""&amp;ROW(H28))"),0.0)</f>
        <v>0</v>
      </c>
      <c r="K31" s="130">
        <f>IFERROR(__xludf.DUMMYFUNCTION("IMPORTRANGE(""https://docs.google.com/spreadsheets/d/1CaLR8gtRCp0-wyyH0y5IvQnenreOSKFOo8AF4Pfpekc/edit?gid=400822622#gid=400822622"", ""GRADE 12!I""&amp;ROW(I28))"),0.0)</f>
        <v>0</v>
      </c>
      <c r="L31" s="130">
        <f>IFERROR(__xludf.DUMMYFUNCTION("IMPORTRANGE(""https://docs.google.com/spreadsheets/d/1CaLR8gtRCp0-wyyH0y5IvQnenreOSKFOo8AF4Pfpekc/edit?gid=400822622#gid=400822622"", ""GRADE 12!J""&amp;ROW(J28))"),0.0)</f>
        <v>0</v>
      </c>
      <c r="M31" s="130">
        <f>IFERROR(__xludf.DUMMYFUNCTION("IMPORTRANGE(""https://docs.google.com/spreadsheets/d/1CaLR8gtRCp0-wyyH0y5IvQnenreOSKFOo8AF4Pfpekc/edit?gid=400822622#gid=400822622"", ""GRADE 12!K""&amp;ROW(K28))"),0.0)</f>
        <v>0</v>
      </c>
      <c r="N31" s="130">
        <f>IFERROR(__xludf.DUMMYFUNCTION("IMPORTRANGE(""https://docs.google.com/spreadsheets/d/1CaLR8gtRCp0-wyyH0y5IvQnenreOSKFOo8AF4Pfpekc/edit?gid=400822622#gid=400822622"", ""GRADE 12!L""&amp;ROW(L28))"),0.0)</f>
        <v>0</v>
      </c>
      <c r="O31" s="130">
        <f>IFERROR(__xludf.DUMMYFUNCTION("IMPORTRANGE(""https://docs.google.com/spreadsheets/d/1CaLR8gtRCp0-wyyH0y5IvQnenreOSKFOo8AF4Pfpekc/edit?gid=400822622#gid=400822622"", ""GRADE 12!M""&amp;ROW(M28))"),0.0)</f>
        <v>0</v>
      </c>
      <c r="P31" s="130" t="str">
        <f>IFERROR(__xludf.DUMMYFUNCTION("IMPORTRANGE(""https://docs.google.com/spreadsheets/d/1CaLR8gtRCp0-wyyH0y5IvQnenreOSKFOo8AF4Pfpekc/edit?gid=400822622#gid=400822622"", ""GRADE 12!N""&amp;ROW(N28))"),"")</f>
        <v/>
      </c>
      <c r="Q31" s="130" t="str">
        <f>IFERROR(__xludf.DUMMYFUNCTION("IMPORTRANGE(""https://docs.google.com/spreadsheets/d/1CaLR8gtRCp0-wyyH0y5IvQnenreOSKFOo8AF4Pfpekc/edit?gid=400822622#gid=400822622"", ""GRADE 12!O""&amp;ROW(O28))"),"")</f>
        <v/>
      </c>
      <c r="R31" s="130" t="str">
        <f>IFERROR(__xludf.DUMMYFUNCTION("IMPORTRANGE(""https://docs.google.com/spreadsheets/d/1CaLR8gtRCp0-wyyH0y5IvQnenreOSKFOo8AF4Pfpekc/edit?gid=400822622#gid=400822622"", ""GRADE 12!P""&amp;ROW(P28))"),"")</f>
        <v/>
      </c>
      <c r="S31" s="130">
        <f>IFERROR(__xludf.DUMMYFUNCTION("IMPORTRANGE(""https://docs.google.com/spreadsheets/d/1CaLR8gtRCp0-wyyH0y5IvQnenreOSKFOo8AF4Pfpekc/edit?gid=400822622#gid=400822622"", ""GRADE 12!Q""&amp;ROW(Q28))"),0.0)</f>
        <v>0</v>
      </c>
      <c r="T31" s="130">
        <f>IFERROR(__xludf.DUMMYFUNCTION("IMPORTRANGE(""https://docs.google.com/spreadsheets/d/1CaLR8gtRCp0-wyyH0y5IvQnenreOSKFOo8AF4Pfpekc/edit?gid=400822622#gid=400822622"", ""GRADE 12!R""&amp;ROW(R28))"),0.0)</f>
        <v>0</v>
      </c>
      <c r="U31" s="130" t="str">
        <f>IFERROR(__xludf.DUMMYFUNCTION("IMPORTRANGE(""https://docs.google.com/spreadsheets/d/1CaLR8gtRCp0-wyyH0y5IvQnenreOSKFOo8AF4Pfpekc/edit?gid=400822622#gid=400822622"", ""GRADE 12!S""&amp;ROW(S28))"),"")</f>
        <v/>
      </c>
      <c r="V31" s="131">
        <f>IFERROR(__xludf.DUMMYFUNCTION("IMPORTRANGE(""https://docs.google.com/spreadsheets/d/1CaLR8gtRCp0-wyyH0y5IvQnenreOSKFOo8AF4Pfpekc/edit?gid=400822622#gid=400822622"", ""GRADE 12!T""&amp;ROW(T28))"),8.0)</f>
        <v>8</v>
      </c>
      <c r="W31" s="132">
        <f>IFERROR(__xludf.DUMMYFUNCTION("IMPORTRANGE(""https://docs.google.com/spreadsheets/d/1CaLR8gtRCp0-wyyH0y5IvQnenreOSKFOo8AF4Pfpekc/edit?gid=400822622#gid=400822622"", ""GRADE 12!U""&amp;ROW(U28))"),0.0)</f>
        <v>0</v>
      </c>
      <c r="X31" s="61">
        <f>IFERROR(__xludf.DUMMYFUNCTION("IMPORTRANGE(""https://docs.google.com/spreadsheets/d/1CaLR8gtRCp0-wyyH0y5IvQnenreOSKFOo8AF4Pfpekc/edit?gid=400822622#gid=400822622"", ""GRADE 12!V""&amp;ROW(V28))"),0.0)</f>
        <v>0</v>
      </c>
    </row>
    <row r="32" ht="22.5" customHeight="1">
      <c r="A32" s="63" t="s">
        <v>178</v>
      </c>
      <c r="B32" s="64">
        <v>22.0</v>
      </c>
      <c r="C32" s="64" t="s">
        <v>221</v>
      </c>
      <c r="D32" s="65" t="s">
        <v>55</v>
      </c>
      <c r="E32" s="66" t="s">
        <v>222</v>
      </c>
      <c r="F32" s="66" t="s">
        <v>27</v>
      </c>
      <c r="G32" s="67">
        <v>23.0</v>
      </c>
      <c r="H32" s="67">
        <v>29.0</v>
      </c>
      <c r="I32" s="35">
        <f t="shared" si="1"/>
        <v>52</v>
      </c>
      <c r="J32" s="130">
        <f>IFERROR(__xludf.DUMMYFUNCTION("IMPORTRANGE(""https://docs.google.com/spreadsheets/d/1CaLR8gtRCp0-wyyH0y5IvQnenreOSKFOo8AF4Pfpekc/edit?gid=400822622#gid=400822622"", ""GRADE 12!H""&amp;ROW(H29))"),0.0)</f>
        <v>0</v>
      </c>
      <c r="K32" s="130">
        <f>IFERROR(__xludf.DUMMYFUNCTION("IMPORTRANGE(""https://docs.google.com/spreadsheets/d/1CaLR8gtRCp0-wyyH0y5IvQnenreOSKFOo8AF4Pfpekc/edit?gid=400822622#gid=400822622"", ""GRADE 12!I""&amp;ROW(I29))"),0.0)</f>
        <v>0</v>
      </c>
      <c r="L32" s="130">
        <f>IFERROR(__xludf.DUMMYFUNCTION("IMPORTRANGE(""https://docs.google.com/spreadsheets/d/1CaLR8gtRCp0-wyyH0y5IvQnenreOSKFOo8AF4Pfpekc/edit?gid=400822622#gid=400822622"", ""GRADE 12!J""&amp;ROW(J29))"),0.0)</f>
        <v>0</v>
      </c>
      <c r="M32" s="130">
        <f>IFERROR(__xludf.DUMMYFUNCTION("IMPORTRANGE(""https://docs.google.com/spreadsheets/d/1CaLR8gtRCp0-wyyH0y5IvQnenreOSKFOo8AF4Pfpekc/edit?gid=400822622#gid=400822622"", ""GRADE 12!K""&amp;ROW(K29))"),0.0)</f>
        <v>0</v>
      </c>
      <c r="N32" s="130">
        <f>IFERROR(__xludf.DUMMYFUNCTION("IMPORTRANGE(""https://docs.google.com/spreadsheets/d/1CaLR8gtRCp0-wyyH0y5IvQnenreOSKFOo8AF4Pfpekc/edit?gid=400822622#gid=400822622"", ""GRADE 12!L""&amp;ROW(L29))"),0.0)</f>
        <v>0</v>
      </c>
      <c r="O32" s="130">
        <f>IFERROR(__xludf.DUMMYFUNCTION("IMPORTRANGE(""https://docs.google.com/spreadsheets/d/1CaLR8gtRCp0-wyyH0y5IvQnenreOSKFOo8AF4Pfpekc/edit?gid=400822622#gid=400822622"", ""GRADE 12!M""&amp;ROW(M29))"),0.0)</f>
        <v>0</v>
      </c>
      <c r="P32" s="130" t="str">
        <f>IFERROR(__xludf.DUMMYFUNCTION("IMPORTRANGE(""https://docs.google.com/spreadsheets/d/1CaLR8gtRCp0-wyyH0y5IvQnenreOSKFOo8AF4Pfpekc/edit?gid=400822622#gid=400822622"", ""GRADE 12!N""&amp;ROW(N29))"),"")</f>
        <v/>
      </c>
      <c r="Q32" s="130" t="str">
        <f>IFERROR(__xludf.DUMMYFUNCTION("IMPORTRANGE(""https://docs.google.com/spreadsheets/d/1CaLR8gtRCp0-wyyH0y5IvQnenreOSKFOo8AF4Pfpekc/edit?gid=400822622#gid=400822622"", ""GRADE 12!O""&amp;ROW(O29))"),"")</f>
        <v/>
      </c>
      <c r="R32" s="130" t="str">
        <f>IFERROR(__xludf.DUMMYFUNCTION("IMPORTRANGE(""https://docs.google.com/spreadsheets/d/1CaLR8gtRCp0-wyyH0y5IvQnenreOSKFOo8AF4Pfpekc/edit?gid=400822622#gid=400822622"", ""GRADE 12!P""&amp;ROW(P29))"),"")</f>
        <v/>
      </c>
      <c r="S32" s="130">
        <f>IFERROR(__xludf.DUMMYFUNCTION("IMPORTRANGE(""https://docs.google.com/spreadsheets/d/1CaLR8gtRCp0-wyyH0y5IvQnenreOSKFOo8AF4Pfpekc/edit?gid=400822622#gid=400822622"", ""GRADE 12!Q""&amp;ROW(Q29))"),0.0)</f>
        <v>0</v>
      </c>
      <c r="T32" s="130">
        <f>IFERROR(__xludf.DUMMYFUNCTION("IMPORTRANGE(""https://docs.google.com/spreadsheets/d/1CaLR8gtRCp0-wyyH0y5IvQnenreOSKFOo8AF4Pfpekc/edit?gid=400822622#gid=400822622"", ""GRADE 12!R""&amp;ROW(R29))"),0.0)</f>
        <v>0</v>
      </c>
      <c r="U32" s="130" t="str">
        <f>IFERROR(__xludf.DUMMYFUNCTION("IMPORTRANGE(""https://docs.google.com/spreadsheets/d/1CaLR8gtRCp0-wyyH0y5IvQnenreOSKFOo8AF4Pfpekc/edit?gid=400822622#gid=400822622"", ""GRADE 12!S""&amp;ROW(S29))"),"")</f>
        <v/>
      </c>
      <c r="V32" s="131">
        <f>IFERROR(__xludf.DUMMYFUNCTION("IMPORTRANGE(""https://docs.google.com/spreadsheets/d/1CaLR8gtRCp0-wyyH0y5IvQnenreOSKFOo8AF4Pfpekc/edit?gid=400822622#gid=400822622"", ""GRADE 12!T""&amp;ROW(T29))"),8.0)</f>
        <v>8</v>
      </c>
      <c r="W32" s="132">
        <f>IFERROR(__xludf.DUMMYFUNCTION("IMPORTRANGE(""https://docs.google.com/spreadsheets/d/1CaLR8gtRCp0-wyyH0y5IvQnenreOSKFOo8AF4Pfpekc/edit?gid=400822622#gid=400822622"", ""GRADE 12!U""&amp;ROW(U29))"),0.0)</f>
        <v>0</v>
      </c>
      <c r="X32" s="61">
        <f>IFERROR(__xludf.DUMMYFUNCTION("IMPORTRANGE(""https://docs.google.com/spreadsheets/d/1CaLR8gtRCp0-wyyH0y5IvQnenreOSKFOo8AF4Pfpekc/edit?gid=400822622#gid=400822622"", ""GRADE 12!V""&amp;ROW(V29))"),0.0)</f>
        <v>0</v>
      </c>
    </row>
    <row r="33" ht="22.5" customHeight="1">
      <c r="A33" s="63" t="s">
        <v>178</v>
      </c>
      <c r="B33" s="64">
        <v>23.0</v>
      </c>
      <c r="C33" s="64" t="s">
        <v>223</v>
      </c>
      <c r="D33" s="65" t="s">
        <v>55</v>
      </c>
      <c r="E33" s="66" t="s">
        <v>224</v>
      </c>
      <c r="F33" s="66" t="s">
        <v>55</v>
      </c>
      <c r="G33" s="67">
        <v>21.0</v>
      </c>
      <c r="H33" s="67">
        <v>28.0</v>
      </c>
      <c r="I33" s="35">
        <f t="shared" si="1"/>
        <v>49</v>
      </c>
      <c r="J33" s="130">
        <f>IFERROR(__xludf.DUMMYFUNCTION("IMPORTRANGE(""https://docs.google.com/spreadsheets/d/1CaLR8gtRCp0-wyyH0y5IvQnenreOSKFOo8AF4Pfpekc/edit?gid=400822622#gid=400822622"", ""GRADE 12!H""&amp;ROW(H30))"),0.0)</f>
        <v>0</v>
      </c>
      <c r="K33" s="130">
        <f>IFERROR(__xludf.DUMMYFUNCTION("IMPORTRANGE(""https://docs.google.com/spreadsheets/d/1CaLR8gtRCp0-wyyH0y5IvQnenreOSKFOo8AF4Pfpekc/edit?gid=400822622#gid=400822622"", ""GRADE 12!I""&amp;ROW(I30))"),0.0)</f>
        <v>0</v>
      </c>
      <c r="L33" s="130">
        <f>IFERROR(__xludf.DUMMYFUNCTION("IMPORTRANGE(""https://docs.google.com/spreadsheets/d/1CaLR8gtRCp0-wyyH0y5IvQnenreOSKFOo8AF4Pfpekc/edit?gid=400822622#gid=400822622"", ""GRADE 12!J""&amp;ROW(J30))"),0.0)</f>
        <v>0</v>
      </c>
      <c r="M33" s="130">
        <f>IFERROR(__xludf.DUMMYFUNCTION("IMPORTRANGE(""https://docs.google.com/spreadsheets/d/1CaLR8gtRCp0-wyyH0y5IvQnenreOSKFOo8AF4Pfpekc/edit?gid=400822622#gid=400822622"", ""GRADE 12!K""&amp;ROW(K30))"),0.0)</f>
        <v>0</v>
      </c>
      <c r="N33" s="130">
        <f>IFERROR(__xludf.DUMMYFUNCTION("IMPORTRANGE(""https://docs.google.com/spreadsheets/d/1CaLR8gtRCp0-wyyH0y5IvQnenreOSKFOo8AF4Pfpekc/edit?gid=400822622#gid=400822622"", ""GRADE 12!L""&amp;ROW(L30))"),0.0)</f>
        <v>0</v>
      </c>
      <c r="O33" s="130">
        <f>IFERROR(__xludf.DUMMYFUNCTION("IMPORTRANGE(""https://docs.google.com/spreadsheets/d/1CaLR8gtRCp0-wyyH0y5IvQnenreOSKFOo8AF4Pfpekc/edit?gid=400822622#gid=400822622"", ""GRADE 12!M""&amp;ROW(M30))"),0.0)</f>
        <v>0</v>
      </c>
      <c r="P33" s="130" t="str">
        <f>IFERROR(__xludf.DUMMYFUNCTION("IMPORTRANGE(""https://docs.google.com/spreadsheets/d/1CaLR8gtRCp0-wyyH0y5IvQnenreOSKFOo8AF4Pfpekc/edit?gid=400822622#gid=400822622"", ""GRADE 12!N""&amp;ROW(N30))"),"")</f>
        <v/>
      </c>
      <c r="Q33" s="130" t="str">
        <f>IFERROR(__xludf.DUMMYFUNCTION("IMPORTRANGE(""https://docs.google.com/spreadsheets/d/1CaLR8gtRCp0-wyyH0y5IvQnenreOSKFOo8AF4Pfpekc/edit?gid=400822622#gid=400822622"", ""GRADE 12!O""&amp;ROW(O30))"),"")</f>
        <v/>
      </c>
      <c r="R33" s="130" t="str">
        <f>IFERROR(__xludf.DUMMYFUNCTION("IMPORTRANGE(""https://docs.google.com/spreadsheets/d/1CaLR8gtRCp0-wyyH0y5IvQnenreOSKFOo8AF4Pfpekc/edit?gid=400822622#gid=400822622"", ""GRADE 12!P""&amp;ROW(P30))"),"")</f>
        <v/>
      </c>
      <c r="S33" s="130">
        <f>IFERROR(__xludf.DUMMYFUNCTION("IMPORTRANGE(""https://docs.google.com/spreadsheets/d/1CaLR8gtRCp0-wyyH0y5IvQnenreOSKFOo8AF4Pfpekc/edit?gid=400822622#gid=400822622"", ""GRADE 12!Q""&amp;ROW(Q30))"),0.0)</f>
        <v>0</v>
      </c>
      <c r="T33" s="130">
        <f>IFERROR(__xludf.DUMMYFUNCTION("IMPORTRANGE(""https://docs.google.com/spreadsheets/d/1CaLR8gtRCp0-wyyH0y5IvQnenreOSKFOo8AF4Pfpekc/edit?gid=400822622#gid=400822622"", ""GRADE 12!R""&amp;ROW(R30))"),0.0)</f>
        <v>0</v>
      </c>
      <c r="U33" s="130" t="str">
        <f>IFERROR(__xludf.DUMMYFUNCTION("IMPORTRANGE(""https://docs.google.com/spreadsheets/d/1CaLR8gtRCp0-wyyH0y5IvQnenreOSKFOo8AF4Pfpekc/edit?gid=400822622#gid=400822622"", ""GRADE 12!S""&amp;ROW(S30))"),"")</f>
        <v/>
      </c>
      <c r="V33" s="131">
        <f>IFERROR(__xludf.DUMMYFUNCTION("IMPORTRANGE(""https://docs.google.com/spreadsheets/d/1CaLR8gtRCp0-wyyH0y5IvQnenreOSKFOo8AF4Pfpekc/edit?gid=400822622#gid=400822622"", ""GRADE 12!T""&amp;ROW(T30))"),8.0)</f>
        <v>8</v>
      </c>
      <c r="W33" s="132">
        <f>IFERROR(__xludf.DUMMYFUNCTION("IMPORTRANGE(""https://docs.google.com/spreadsheets/d/1CaLR8gtRCp0-wyyH0y5IvQnenreOSKFOo8AF4Pfpekc/edit?gid=400822622#gid=400822622"", ""GRADE 12!U""&amp;ROW(U30))"),0.0)</f>
        <v>0</v>
      </c>
      <c r="X33" s="61">
        <f>IFERROR(__xludf.DUMMYFUNCTION("IMPORTRANGE(""https://docs.google.com/spreadsheets/d/1CaLR8gtRCp0-wyyH0y5IvQnenreOSKFOo8AF4Pfpekc/edit?gid=400822622#gid=400822622"", ""GRADE 12!V""&amp;ROW(V30))"),0.0)</f>
        <v>0</v>
      </c>
    </row>
    <row r="34" ht="22.5" customHeight="1">
      <c r="A34" s="63" t="s">
        <v>178</v>
      </c>
      <c r="B34" s="64">
        <v>24.0</v>
      </c>
      <c r="C34" s="64" t="s">
        <v>225</v>
      </c>
      <c r="D34" s="65" t="s">
        <v>55</v>
      </c>
      <c r="E34" s="66" t="s">
        <v>226</v>
      </c>
      <c r="F34" s="66" t="s">
        <v>55</v>
      </c>
      <c r="G34" s="67">
        <v>23.0</v>
      </c>
      <c r="H34" s="67">
        <v>29.0</v>
      </c>
      <c r="I34" s="35">
        <f t="shared" si="1"/>
        <v>52</v>
      </c>
      <c r="J34" s="130">
        <f>IFERROR(__xludf.DUMMYFUNCTION("IMPORTRANGE(""https://docs.google.com/spreadsheets/d/1CaLR8gtRCp0-wyyH0y5IvQnenreOSKFOo8AF4Pfpekc/edit?gid=400822622#gid=400822622"", ""GRADE 12!H""&amp;ROW(H31))"),0.0)</f>
        <v>0</v>
      </c>
      <c r="K34" s="130">
        <f>IFERROR(__xludf.DUMMYFUNCTION("IMPORTRANGE(""https://docs.google.com/spreadsheets/d/1CaLR8gtRCp0-wyyH0y5IvQnenreOSKFOo8AF4Pfpekc/edit?gid=400822622#gid=400822622"", ""GRADE 12!I""&amp;ROW(I31))"),0.0)</f>
        <v>0</v>
      </c>
      <c r="L34" s="130">
        <f>IFERROR(__xludf.DUMMYFUNCTION("IMPORTRANGE(""https://docs.google.com/spreadsheets/d/1CaLR8gtRCp0-wyyH0y5IvQnenreOSKFOo8AF4Pfpekc/edit?gid=400822622#gid=400822622"", ""GRADE 12!J""&amp;ROW(J31))"),0.0)</f>
        <v>0</v>
      </c>
      <c r="M34" s="130">
        <f>IFERROR(__xludf.DUMMYFUNCTION("IMPORTRANGE(""https://docs.google.com/spreadsheets/d/1CaLR8gtRCp0-wyyH0y5IvQnenreOSKFOo8AF4Pfpekc/edit?gid=400822622#gid=400822622"", ""GRADE 12!K""&amp;ROW(K31))"),0.0)</f>
        <v>0</v>
      </c>
      <c r="N34" s="130">
        <f>IFERROR(__xludf.DUMMYFUNCTION("IMPORTRANGE(""https://docs.google.com/spreadsheets/d/1CaLR8gtRCp0-wyyH0y5IvQnenreOSKFOo8AF4Pfpekc/edit?gid=400822622#gid=400822622"", ""GRADE 12!L""&amp;ROW(L31))"),0.0)</f>
        <v>0</v>
      </c>
      <c r="O34" s="130">
        <f>IFERROR(__xludf.DUMMYFUNCTION("IMPORTRANGE(""https://docs.google.com/spreadsheets/d/1CaLR8gtRCp0-wyyH0y5IvQnenreOSKFOo8AF4Pfpekc/edit?gid=400822622#gid=400822622"", ""GRADE 12!M""&amp;ROW(M31))"),0.0)</f>
        <v>0</v>
      </c>
      <c r="P34" s="130" t="str">
        <f>IFERROR(__xludf.DUMMYFUNCTION("IMPORTRANGE(""https://docs.google.com/spreadsheets/d/1CaLR8gtRCp0-wyyH0y5IvQnenreOSKFOo8AF4Pfpekc/edit?gid=400822622#gid=400822622"", ""GRADE 12!N""&amp;ROW(N31))"),"")</f>
        <v/>
      </c>
      <c r="Q34" s="130" t="str">
        <f>IFERROR(__xludf.DUMMYFUNCTION("IMPORTRANGE(""https://docs.google.com/spreadsheets/d/1CaLR8gtRCp0-wyyH0y5IvQnenreOSKFOo8AF4Pfpekc/edit?gid=400822622#gid=400822622"", ""GRADE 12!O""&amp;ROW(O31))"),"")</f>
        <v/>
      </c>
      <c r="R34" s="130" t="str">
        <f>IFERROR(__xludf.DUMMYFUNCTION("IMPORTRANGE(""https://docs.google.com/spreadsheets/d/1CaLR8gtRCp0-wyyH0y5IvQnenreOSKFOo8AF4Pfpekc/edit?gid=400822622#gid=400822622"", ""GRADE 12!P""&amp;ROW(P31))"),"")</f>
        <v/>
      </c>
      <c r="S34" s="130">
        <f>IFERROR(__xludf.DUMMYFUNCTION("IMPORTRANGE(""https://docs.google.com/spreadsheets/d/1CaLR8gtRCp0-wyyH0y5IvQnenreOSKFOo8AF4Pfpekc/edit?gid=400822622#gid=400822622"", ""GRADE 12!Q""&amp;ROW(Q31))"),0.0)</f>
        <v>0</v>
      </c>
      <c r="T34" s="130">
        <f>IFERROR(__xludf.DUMMYFUNCTION("IMPORTRANGE(""https://docs.google.com/spreadsheets/d/1CaLR8gtRCp0-wyyH0y5IvQnenreOSKFOo8AF4Pfpekc/edit?gid=400822622#gid=400822622"", ""GRADE 12!R""&amp;ROW(R31))"),0.0)</f>
        <v>0</v>
      </c>
      <c r="U34" s="130" t="str">
        <f>IFERROR(__xludf.DUMMYFUNCTION("IMPORTRANGE(""https://docs.google.com/spreadsheets/d/1CaLR8gtRCp0-wyyH0y5IvQnenreOSKFOo8AF4Pfpekc/edit?gid=400822622#gid=400822622"", ""GRADE 12!S""&amp;ROW(S31))"),"")</f>
        <v/>
      </c>
      <c r="V34" s="131">
        <f>IFERROR(__xludf.DUMMYFUNCTION("IMPORTRANGE(""https://docs.google.com/spreadsheets/d/1CaLR8gtRCp0-wyyH0y5IvQnenreOSKFOo8AF4Pfpekc/edit?gid=400822622#gid=400822622"", ""GRADE 12!T""&amp;ROW(T31))"),8.0)</f>
        <v>8</v>
      </c>
      <c r="W34" s="132">
        <f>IFERROR(__xludf.DUMMYFUNCTION("IMPORTRANGE(""https://docs.google.com/spreadsheets/d/1CaLR8gtRCp0-wyyH0y5IvQnenreOSKFOo8AF4Pfpekc/edit?gid=400822622#gid=400822622"", ""GRADE 12!U""&amp;ROW(U31))"),0.0)</f>
        <v>0</v>
      </c>
      <c r="X34" s="61">
        <f>IFERROR(__xludf.DUMMYFUNCTION("IMPORTRANGE(""https://docs.google.com/spreadsheets/d/1CaLR8gtRCp0-wyyH0y5IvQnenreOSKFOo8AF4Pfpekc/edit?gid=400822622#gid=400822622"", ""GRADE 12!V""&amp;ROW(V31))"),0.0)</f>
        <v>0</v>
      </c>
    </row>
    <row r="35" ht="22.5" customHeight="1">
      <c r="A35" s="63" t="s">
        <v>178</v>
      </c>
      <c r="B35" s="64">
        <v>25.0</v>
      </c>
      <c r="C35" s="64" t="s">
        <v>227</v>
      </c>
      <c r="D35" s="65" t="s">
        <v>55</v>
      </c>
      <c r="E35" s="66" t="s">
        <v>228</v>
      </c>
      <c r="F35" s="66" t="s">
        <v>27</v>
      </c>
      <c r="G35" s="67">
        <v>23.0</v>
      </c>
      <c r="H35" s="67">
        <v>30.0</v>
      </c>
      <c r="I35" s="35">
        <f t="shared" si="1"/>
        <v>53</v>
      </c>
      <c r="J35" s="130" t="str">
        <f>IFERROR(__xludf.DUMMYFUNCTION("IMPORTRANGE(""https://docs.google.com/spreadsheets/d/1CaLR8gtRCp0-wyyH0y5IvQnenreOSKFOo8AF4Pfpekc/edit?gid=400822622#gid=400822622"", ""GRADE 12!H""&amp;ROW(H32))"),"")</f>
        <v/>
      </c>
      <c r="K35" s="130" t="str">
        <f>IFERROR(__xludf.DUMMYFUNCTION("IMPORTRANGE(""https://docs.google.com/spreadsheets/d/1CaLR8gtRCp0-wyyH0y5IvQnenreOSKFOo8AF4Pfpekc/edit?gid=400822622#gid=400822622"", ""GRADE 12!I""&amp;ROW(I32))"),"")</f>
        <v/>
      </c>
      <c r="L35" s="130" t="str">
        <f>IFERROR(__xludf.DUMMYFUNCTION("IMPORTRANGE(""https://docs.google.com/spreadsheets/d/1CaLR8gtRCp0-wyyH0y5IvQnenreOSKFOo8AF4Pfpekc/edit?gid=400822622#gid=400822622"", ""GRADE 12!J""&amp;ROW(J32))"),"")</f>
        <v/>
      </c>
      <c r="M35" s="130">
        <f>IFERROR(__xludf.DUMMYFUNCTION("IMPORTRANGE(""https://docs.google.com/spreadsheets/d/1CaLR8gtRCp0-wyyH0y5IvQnenreOSKFOo8AF4Pfpekc/edit?gid=400822622#gid=400822622"", ""GRADE 12!K""&amp;ROW(K32))"),0.0)</f>
        <v>0</v>
      </c>
      <c r="N35" s="130">
        <f>IFERROR(__xludf.DUMMYFUNCTION("IMPORTRANGE(""https://docs.google.com/spreadsheets/d/1CaLR8gtRCp0-wyyH0y5IvQnenreOSKFOo8AF4Pfpekc/edit?gid=400822622#gid=400822622"", ""GRADE 12!L""&amp;ROW(L32))"),0.0)</f>
        <v>0</v>
      </c>
      <c r="O35" s="130" t="str">
        <f>IFERROR(__xludf.DUMMYFUNCTION("IMPORTRANGE(""https://docs.google.com/spreadsheets/d/1CaLR8gtRCp0-wyyH0y5IvQnenreOSKFOo8AF4Pfpekc/edit?gid=400822622#gid=400822622"", ""GRADE 12!M""&amp;ROW(M32))"),"")</f>
        <v/>
      </c>
      <c r="P35" s="130">
        <f>IFERROR(__xludf.DUMMYFUNCTION("IMPORTRANGE(""https://docs.google.com/spreadsheets/d/1CaLR8gtRCp0-wyyH0y5IvQnenreOSKFOo8AF4Pfpekc/edit?gid=400822622#gid=400822622"", ""GRADE 12!N""&amp;ROW(N32))"),0.0)</f>
        <v>0</v>
      </c>
      <c r="Q35" s="130" t="str">
        <f>IFERROR(__xludf.DUMMYFUNCTION("IMPORTRANGE(""https://docs.google.com/spreadsheets/d/1CaLR8gtRCp0-wyyH0y5IvQnenreOSKFOo8AF4Pfpekc/edit?gid=400822622#gid=400822622"", ""GRADE 12!O""&amp;ROW(O32))"),"")</f>
        <v/>
      </c>
      <c r="R35" s="130">
        <f>IFERROR(__xludf.DUMMYFUNCTION("IMPORTRANGE(""https://docs.google.com/spreadsheets/d/1CaLR8gtRCp0-wyyH0y5IvQnenreOSKFOo8AF4Pfpekc/edit?gid=400822622#gid=400822622"", ""GRADE 12!P""&amp;ROW(P32))"),0.0)</f>
        <v>0</v>
      </c>
      <c r="S35" s="130">
        <f>IFERROR(__xludf.DUMMYFUNCTION("IMPORTRANGE(""https://docs.google.com/spreadsheets/d/1CaLR8gtRCp0-wyyH0y5IvQnenreOSKFOo8AF4Pfpekc/edit?gid=400822622#gid=400822622"", ""GRADE 12!Q""&amp;ROW(Q32))"),0.0)</f>
        <v>0</v>
      </c>
      <c r="T35" s="130">
        <f>IFERROR(__xludf.DUMMYFUNCTION("IMPORTRANGE(""https://docs.google.com/spreadsheets/d/1CaLR8gtRCp0-wyyH0y5IvQnenreOSKFOo8AF4Pfpekc/edit?gid=400822622#gid=400822622"", ""GRADE 12!R""&amp;ROW(R32))"),0.0)</f>
        <v>0</v>
      </c>
      <c r="U35" s="130">
        <f>IFERROR(__xludf.DUMMYFUNCTION("IMPORTRANGE(""https://docs.google.com/spreadsheets/d/1CaLR8gtRCp0-wyyH0y5IvQnenreOSKFOo8AF4Pfpekc/edit?gid=400822622#gid=400822622"", ""GRADE 12!S""&amp;ROW(S32))"),0.0)</f>
        <v>0</v>
      </c>
      <c r="V35" s="131">
        <f>IFERROR(__xludf.DUMMYFUNCTION("IMPORTRANGE(""https://docs.google.com/spreadsheets/d/1CaLR8gtRCp0-wyyH0y5IvQnenreOSKFOo8AF4Pfpekc/edit?gid=400822622#gid=400822622"", ""GRADE 12!T""&amp;ROW(T32))"),7.0)</f>
        <v>7</v>
      </c>
      <c r="W35" s="132">
        <f>IFERROR(__xludf.DUMMYFUNCTION("IMPORTRANGE(""https://docs.google.com/spreadsheets/d/1CaLR8gtRCp0-wyyH0y5IvQnenreOSKFOo8AF4Pfpekc/edit?gid=400822622#gid=400822622"", ""GRADE 12!U""&amp;ROW(U32))"),0.0)</f>
        <v>0</v>
      </c>
      <c r="X35" s="61">
        <f>IFERROR(__xludf.DUMMYFUNCTION("IMPORTRANGE(""https://docs.google.com/spreadsheets/d/1CaLR8gtRCp0-wyyH0y5IvQnenreOSKFOo8AF4Pfpekc/edit?gid=400822622#gid=400822622"", ""GRADE 12!V""&amp;ROW(V32))"),0.0)</f>
        <v>0</v>
      </c>
    </row>
    <row r="36" ht="22.5" customHeight="1">
      <c r="A36" s="63" t="s">
        <v>178</v>
      </c>
      <c r="B36" s="64">
        <v>26.0</v>
      </c>
      <c r="C36" s="64" t="s">
        <v>229</v>
      </c>
      <c r="D36" s="65" t="s">
        <v>55</v>
      </c>
      <c r="E36" s="66" t="s">
        <v>230</v>
      </c>
      <c r="F36" s="66" t="s">
        <v>27</v>
      </c>
      <c r="G36" s="67">
        <v>24.0</v>
      </c>
      <c r="H36" s="67">
        <v>28.0</v>
      </c>
      <c r="I36" s="35">
        <f t="shared" si="1"/>
        <v>52</v>
      </c>
      <c r="J36" s="130" t="str">
        <f>IFERROR(__xludf.DUMMYFUNCTION("IMPORTRANGE(""https://docs.google.com/spreadsheets/d/1CaLR8gtRCp0-wyyH0y5IvQnenreOSKFOo8AF4Pfpekc/edit?gid=400822622#gid=400822622"", ""GRADE 12!H""&amp;ROW(H33))"),"")</f>
        <v/>
      </c>
      <c r="K36" s="130" t="str">
        <f>IFERROR(__xludf.DUMMYFUNCTION("IMPORTRANGE(""https://docs.google.com/spreadsheets/d/1CaLR8gtRCp0-wyyH0y5IvQnenreOSKFOo8AF4Pfpekc/edit?gid=400822622#gid=400822622"", ""GRADE 12!I""&amp;ROW(I33))"),"")</f>
        <v/>
      </c>
      <c r="L36" s="130" t="str">
        <f>IFERROR(__xludf.DUMMYFUNCTION("IMPORTRANGE(""https://docs.google.com/spreadsheets/d/1CaLR8gtRCp0-wyyH0y5IvQnenreOSKFOo8AF4Pfpekc/edit?gid=400822622#gid=400822622"", ""GRADE 12!J""&amp;ROW(J33))"),"")</f>
        <v/>
      </c>
      <c r="M36" s="130">
        <f>IFERROR(__xludf.DUMMYFUNCTION("IMPORTRANGE(""https://docs.google.com/spreadsheets/d/1CaLR8gtRCp0-wyyH0y5IvQnenreOSKFOo8AF4Pfpekc/edit?gid=400822622#gid=400822622"", ""GRADE 12!K""&amp;ROW(K33))"),0.0)</f>
        <v>0</v>
      </c>
      <c r="N36" s="130">
        <f>IFERROR(__xludf.DUMMYFUNCTION("IMPORTRANGE(""https://docs.google.com/spreadsheets/d/1CaLR8gtRCp0-wyyH0y5IvQnenreOSKFOo8AF4Pfpekc/edit?gid=400822622#gid=400822622"", ""GRADE 12!L""&amp;ROW(L33))"),0.0)</f>
        <v>0</v>
      </c>
      <c r="O36" s="130" t="str">
        <f>IFERROR(__xludf.DUMMYFUNCTION("IMPORTRANGE(""https://docs.google.com/spreadsheets/d/1CaLR8gtRCp0-wyyH0y5IvQnenreOSKFOo8AF4Pfpekc/edit?gid=400822622#gid=400822622"", ""GRADE 12!M""&amp;ROW(M33))"),"")</f>
        <v/>
      </c>
      <c r="P36" s="130">
        <f>IFERROR(__xludf.DUMMYFUNCTION("IMPORTRANGE(""https://docs.google.com/spreadsheets/d/1CaLR8gtRCp0-wyyH0y5IvQnenreOSKFOo8AF4Pfpekc/edit?gid=400822622#gid=400822622"", ""GRADE 12!N""&amp;ROW(N33))"),0.0)</f>
        <v>0</v>
      </c>
      <c r="Q36" s="130" t="str">
        <f>IFERROR(__xludf.DUMMYFUNCTION("IMPORTRANGE(""https://docs.google.com/spreadsheets/d/1CaLR8gtRCp0-wyyH0y5IvQnenreOSKFOo8AF4Pfpekc/edit?gid=400822622#gid=400822622"", ""GRADE 12!O""&amp;ROW(O33))"),"")</f>
        <v/>
      </c>
      <c r="R36" s="130">
        <f>IFERROR(__xludf.DUMMYFUNCTION("IMPORTRANGE(""https://docs.google.com/spreadsheets/d/1CaLR8gtRCp0-wyyH0y5IvQnenreOSKFOo8AF4Pfpekc/edit?gid=400822622#gid=400822622"", ""GRADE 12!P""&amp;ROW(P33))"),0.0)</f>
        <v>0</v>
      </c>
      <c r="S36" s="130">
        <f>IFERROR(__xludf.DUMMYFUNCTION("IMPORTRANGE(""https://docs.google.com/spreadsheets/d/1CaLR8gtRCp0-wyyH0y5IvQnenreOSKFOo8AF4Pfpekc/edit?gid=400822622#gid=400822622"", ""GRADE 12!Q""&amp;ROW(Q33))"),0.0)</f>
        <v>0</v>
      </c>
      <c r="T36" s="130">
        <f>IFERROR(__xludf.DUMMYFUNCTION("IMPORTRANGE(""https://docs.google.com/spreadsheets/d/1CaLR8gtRCp0-wyyH0y5IvQnenreOSKFOo8AF4Pfpekc/edit?gid=400822622#gid=400822622"", ""GRADE 12!R""&amp;ROW(R33))"),0.0)</f>
        <v>0</v>
      </c>
      <c r="U36" s="130">
        <f>IFERROR(__xludf.DUMMYFUNCTION("IMPORTRANGE(""https://docs.google.com/spreadsheets/d/1CaLR8gtRCp0-wyyH0y5IvQnenreOSKFOo8AF4Pfpekc/edit?gid=400822622#gid=400822622"", ""GRADE 12!S""&amp;ROW(S33))"),0.0)</f>
        <v>0</v>
      </c>
      <c r="V36" s="131">
        <f>IFERROR(__xludf.DUMMYFUNCTION("IMPORTRANGE(""https://docs.google.com/spreadsheets/d/1CaLR8gtRCp0-wyyH0y5IvQnenreOSKFOo8AF4Pfpekc/edit?gid=400822622#gid=400822622"", ""GRADE 12!T""&amp;ROW(T33))"),7.0)</f>
        <v>7</v>
      </c>
      <c r="W36" s="132">
        <f>IFERROR(__xludf.DUMMYFUNCTION("IMPORTRANGE(""https://docs.google.com/spreadsheets/d/1CaLR8gtRCp0-wyyH0y5IvQnenreOSKFOo8AF4Pfpekc/edit?gid=400822622#gid=400822622"", ""GRADE 12!U""&amp;ROW(U33))"),0.0)</f>
        <v>0</v>
      </c>
      <c r="X36" s="61">
        <f>IFERROR(__xludf.DUMMYFUNCTION("IMPORTRANGE(""https://docs.google.com/spreadsheets/d/1CaLR8gtRCp0-wyyH0y5IvQnenreOSKFOo8AF4Pfpekc/edit?gid=400822622#gid=400822622"", ""GRADE 12!V""&amp;ROW(V33))"),0.0)</f>
        <v>0</v>
      </c>
    </row>
    <row r="37" ht="22.5" customHeight="1">
      <c r="A37" s="63" t="s">
        <v>178</v>
      </c>
      <c r="B37" s="64">
        <v>27.0</v>
      </c>
      <c r="C37" s="64" t="s">
        <v>231</v>
      </c>
      <c r="D37" s="65" t="s">
        <v>55</v>
      </c>
      <c r="E37" s="66" t="s">
        <v>232</v>
      </c>
      <c r="F37" s="66" t="s">
        <v>55</v>
      </c>
      <c r="G37" s="67">
        <v>23.0</v>
      </c>
      <c r="H37" s="67">
        <v>30.0</v>
      </c>
      <c r="I37" s="35">
        <f t="shared" si="1"/>
        <v>53</v>
      </c>
      <c r="J37" s="130" t="str">
        <f>IFERROR(__xludf.DUMMYFUNCTION("IMPORTRANGE(""https://docs.google.com/spreadsheets/d/1CaLR8gtRCp0-wyyH0y5IvQnenreOSKFOo8AF4Pfpekc/edit?gid=400822622#gid=400822622"", ""GRADE 12!H""&amp;ROW(H34))"),"")</f>
        <v/>
      </c>
      <c r="K37" s="130" t="str">
        <f>IFERROR(__xludf.DUMMYFUNCTION("IMPORTRANGE(""https://docs.google.com/spreadsheets/d/1CaLR8gtRCp0-wyyH0y5IvQnenreOSKFOo8AF4Pfpekc/edit?gid=400822622#gid=400822622"", ""GRADE 12!I""&amp;ROW(I34))"),"")</f>
        <v/>
      </c>
      <c r="L37" s="130" t="str">
        <f>IFERROR(__xludf.DUMMYFUNCTION("IMPORTRANGE(""https://docs.google.com/spreadsheets/d/1CaLR8gtRCp0-wyyH0y5IvQnenreOSKFOo8AF4Pfpekc/edit?gid=400822622#gid=400822622"", ""GRADE 12!J""&amp;ROW(J34))"),"")</f>
        <v/>
      </c>
      <c r="M37" s="130">
        <f>IFERROR(__xludf.DUMMYFUNCTION("IMPORTRANGE(""https://docs.google.com/spreadsheets/d/1CaLR8gtRCp0-wyyH0y5IvQnenreOSKFOo8AF4Pfpekc/edit?gid=400822622#gid=400822622"", ""GRADE 12!K""&amp;ROW(K34))"),0.0)</f>
        <v>0</v>
      </c>
      <c r="N37" s="130">
        <f>IFERROR(__xludf.DUMMYFUNCTION("IMPORTRANGE(""https://docs.google.com/spreadsheets/d/1CaLR8gtRCp0-wyyH0y5IvQnenreOSKFOo8AF4Pfpekc/edit?gid=400822622#gid=400822622"", ""GRADE 12!L""&amp;ROW(L34))"),0.0)</f>
        <v>0</v>
      </c>
      <c r="O37" s="130" t="str">
        <f>IFERROR(__xludf.DUMMYFUNCTION("IMPORTRANGE(""https://docs.google.com/spreadsheets/d/1CaLR8gtRCp0-wyyH0y5IvQnenreOSKFOo8AF4Pfpekc/edit?gid=400822622#gid=400822622"", ""GRADE 12!M""&amp;ROW(M34))"),"")</f>
        <v/>
      </c>
      <c r="P37" s="130">
        <f>IFERROR(__xludf.DUMMYFUNCTION("IMPORTRANGE(""https://docs.google.com/spreadsheets/d/1CaLR8gtRCp0-wyyH0y5IvQnenreOSKFOo8AF4Pfpekc/edit?gid=400822622#gid=400822622"", ""GRADE 12!N""&amp;ROW(N34))"),0.0)</f>
        <v>0</v>
      </c>
      <c r="Q37" s="130" t="str">
        <f>IFERROR(__xludf.DUMMYFUNCTION("IMPORTRANGE(""https://docs.google.com/spreadsheets/d/1CaLR8gtRCp0-wyyH0y5IvQnenreOSKFOo8AF4Pfpekc/edit?gid=400822622#gid=400822622"", ""GRADE 12!O""&amp;ROW(O34))"),"")</f>
        <v/>
      </c>
      <c r="R37" s="130">
        <f>IFERROR(__xludf.DUMMYFUNCTION("IMPORTRANGE(""https://docs.google.com/spreadsheets/d/1CaLR8gtRCp0-wyyH0y5IvQnenreOSKFOo8AF4Pfpekc/edit?gid=400822622#gid=400822622"", ""GRADE 12!P""&amp;ROW(P34))"),0.0)</f>
        <v>0</v>
      </c>
      <c r="S37" s="130">
        <f>IFERROR(__xludf.DUMMYFUNCTION("IMPORTRANGE(""https://docs.google.com/spreadsheets/d/1CaLR8gtRCp0-wyyH0y5IvQnenreOSKFOo8AF4Pfpekc/edit?gid=400822622#gid=400822622"", ""GRADE 12!Q""&amp;ROW(Q34))"),0.0)</f>
        <v>0</v>
      </c>
      <c r="T37" s="130">
        <f>IFERROR(__xludf.DUMMYFUNCTION("IMPORTRANGE(""https://docs.google.com/spreadsheets/d/1CaLR8gtRCp0-wyyH0y5IvQnenreOSKFOo8AF4Pfpekc/edit?gid=400822622#gid=400822622"", ""GRADE 12!R""&amp;ROW(R34))"),0.0)</f>
        <v>0</v>
      </c>
      <c r="U37" s="130">
        <f>IFERROR(__xludf.DUMMYFUNCTION("IMPORTRANGE(""https://docs.google.com/spreadsheets/d/1CaLR8gtRCp0-wyyH0y5IvQnenreOSKFOo8AF4Pfpekc/edit?gid=400822622#gid=400822622"", ""GRADE 12!S""&amp;ROW(S34))"),0.0)</f>
        <v>0</v>
      </c>
      <c r="V37" s="131">
        <f>IFERROR(__xludf.DUMMYFUNCTION("IMPORTRANGE(""https://docs.google.com/spreadsheets/d/1CaLR8gtRCp0-wyyH0y5IvQnenreOSKFOo8AF4Pfpekc/edit?gid=400822622#gid=400822622"", ""GRADE 12!T""&amp;ROW(T34))"),7.0)</f>
        <v>7</v>
      </c>
      <c r="W37" s="132">
        <f>IFERROR(__xludf.DUMMYFUNCTION("IMPORTRANGE(""https://docs.google.com/spreadsheets/d/1CaLR8gtRCp0-wyyH0y5IvQnenreOSKFOo8AF4Pfpekc/edit?gid=400822622#gid=400822622"", ""GRADE 12!U""&amp;ROW(U34))"),0.0)</f>
        <v>0</v>
      </c>
      <c r="X37" s="61">
        <f>IFERROR(__xludf.DUMMYFUNCTION("IMPORTRANGE(""https://docs.google.com/spreadsheets/d/1CaLR8gtRCp0-wyyH0y5IvQnenreOSKFOo8AF4Pfpekc/edit?gid=400822622#gid=400822622"", ""GRADE 12!V""&amp;ROW(V34))"),0.0)</f>
        <v>0</v>
      </c>
    </row>
    <row r="38" ht="22.5" customHeight="1">
      <c r="A38" s="63" t="s">
        <v>178</v>
      </c>
      <c r="B38" s="64">
        <v>28.0</v>
      </c>
      <c r="C38" s="64" t="s">
        <v>233</v>
      </c>
      <c r="D38" s="65" t="s">
        <v>55</v>
      </c>
      <c r="E38" s="66" t="s">
        <v>234</v>
      </c>
      <c r="F38" s="66" t="s">
        <v>55</v>
      </c>
      <c r="G38" s="67">
        <v>24.0</v>
      </c>
      <c r="H38" s="67">
        <v>31.0</v>
      </c>
      <c r="I38" s="35">
        <f t="shared" si="1"/>
        <v>55</v>
      </c>
      <c r="J38" s="130" t="str">
        <f>IFERROR(__xludf.DUMMYFUNCTION("IMPORTRANGE(""https://docs.google.com/spreadsheets/d/1CaLR8gtRCp0-wyyH0y5IvQnenreOSKFOo8AF4Pfpekc/edit?gid=400822622#gid=400822622"", ""GRADE 12!H""&amp;ROW(H35))"),"")</f>
        <v/>
      </c>
      <c r="K38" s="130" t="str">
        <f>IFERROR(__xludf.DUMMYFUNCTION("IMPORTRANGE(""https://docs.google.com/spreadsheets/d/1CaLR8gtRCp0-wyyH0y5IvQnenreOSKFOo8AF4Pfpekc/edit?gid=400822622#gid=400822622"", ""GRADE 12!I""&amp;ROW(I35))"),"")</f>
        <v/>
      </c>
      <c r="L38" s="130" t="str">
        <f>IFERROR(__xludf.DUMMYFUNCTION("IMPORTRANGE(""https://docs.google.com/spreadsheets/d/1CaLR8gtRCp0-wyyH0y5IvQnenreOSKFOo8AF4Pfpekc/edit?gid=400822622#gid=400822622"", ""GRADE 12!J""&amp;ROW(J35))"),"")</f>
        <v/>
      </c>
      <c r="M38" s="130">
        <f>IFERROR(__xludf.DUMMYFUNCTION("IMPORTRANGE(""https://docs.google.com/spreadsheets/d/1CaLR8gtRCp0-wyyH0y5IvQnenreOSKFOo8AF4Pfpekc/edit?gid=400822622#gid=400822622"", ""GRADE 12!K""&amp;ROW(K35))"),0.0)</f>
        <v>0</v>
      </c>
      <c r="N38" s="130">
        <f>IFERROR(__xludf.DUMMYFUNCTION("IMPORTRANGE(""https://docs.google.com/spreadsheets/d/1CaLR8gtRCp0-wyyH0y5IvQnenreOSKFOo8AF4Pfpekc/edit?gid=400822622#gid=400822622"", ""GRADE 12!L""&amp;ROW(L35))"),0.0)</f>
        <v>0</v>
      </c>
      <c r="O38" s="130" t="str">
        <f>IFERROR(__xludf.DUMMYFUNCTION("IMPORTRANGE(""https://docs.google.com/spreadsheets/d/1CaLR8gtRCp0-wyyH0y5IvQnenreOSKFOo8AF4Pfpekc/edit?gid=400822622#gid=400822622"", ""GRADE 12!M""&amp;ROW(M35))"),"")</f>
        <v/>
      </c>
      <c r="P38" s="130">
        <f>IFERROR(__xludf.DUMMYFUNCTION("IMPORTRANGE(""https://docs.google.com/spreadsheets/d/1CaLR8gtRCp0-wyyH0y5IvQnenreOSKFOo8AF4Pfpekc/edit?gid=400822622#gid=400822622"", ""GRADE 12!N""&amp;ROW(N35))"),0.0)</f>
        <v>0</v>
      </c>
      <c r="Q38" s="130" t="str">
        <f>IFERROR(__xludf.DUMMYFUNCTION("IMPORTRANGE(""https://docs.google.com/spreadsheets/d/1CaLR8gtRCp0-wyyH0y5IvQnenreOSKFOo8AF4Pfpekc/edit?gid=400822622#gid=400822622"", ""GRADE 12!O""&amp;ROW(O35))"),"")</f>
        <v/>
      </c>
      <c r="R38" s="130">
        <f>IFERROR(__xludf.DUMMYFUNCTION("IMPORTRANGE(""https://docs.google.com/spreadsheets/d/1CaLR8gtRCp0-wyyH0y5IvQnenreOSKFOo8AF4Pfpekc/edit?gid=400822622#gid=400822622"", ""GRADE 12!P""&amp;ROW(P35))"),0.0)</f>
        <v>0</v>
      </c>
      <c r="S38" s="130">
        <f>IFERROR(__xludf.DUMMYFUNCTION("IMPORTRANGE(""https://docs.google.com/spreadsheets/d/1CaLR8gtRCp0-wyyH0y5IvQnenreOSKFOo8AF4Pfpekc/edit?gid=400822622#gid=400822622"", ""GRADE 12!Q""&amp;ROW(Q35))"),0.0)</f>
        <v>0</v>
      </c>
      <c r="T38" s="130">
        <f>IFERROR(__xludf.DUMMYFUNCTION("IMPORTRANGE(""https://docs.google.com/spreadsheets/d/1CaLR8gtRCp0-wyyH0y5IvQnenreOSKFOo8AF4Pfpekc/edit?gid=400822622#gid=400822622"", ""GRADE 12!R""&amp;ROW(R35))"),0.0)</f>
        <v>0</v>
      </c>
      <c r="U38" s="130">
        <f>IFERROR(__xludf.DUMMYFUNCTION("IMPORTRANGE(""https://docs.google.com/spreadsheets/d/1CaLR8gtRCp0-wyyH0y5IvQnenreOSKFOo8AF4Pfpekc/edit?gid=400822622#gid=400822622"", ""GRADE 12!S""&amp;ROW(S35))"),0.0)</f>
        <v>0</v>
      </c>
      <c r="V38" s="131">
        <f>IFERROR(__xludf.DUMMYFUNCTION("IMPORTRANGE(""https://docs.google.com/spreadsheets/d/1CaLR8gtRCp0-wyyH0y5IvQnenreOSKFOo8AF4Pfpekc/edit?gid=400822622#gid=400822622"", ""GRADE 12!T""&amp;ROW(T35))"),7.0)</f>
        <v>7</v>
      </c>
      <c r="W38" s="132">
        <f>IFERROR(__xludf.DUMMYFUNCTION("IMPORTRANGE(""https://docs.google.com/spreadsheets/d/1CaLR8gtRCp0-wyyH0y5IvQnenreOSKFOo8AF4Pfpekc/edit?gid=400822622#gid=400822622"", ""GRADE 12!U""&amp;ROW(U35))"),0.0)</f>
        <v>0</v>
      </c>
      <c r="X38" s="61">
        <f>IFERROR(__xludf.DUMMYFUNCTION("IMPORTRANGE(""https://docs.google.com/spreadsheets/d/1CaLR8gtRCp0-wyyH0y5IvQnenreOSKFOo8AF4Pfpekc/edit?gid=400822622#gid=400822622"", ""GRADE 12!V""&amp;ROW(V35))"),0.0)</f>
        <v>0</v>
      </c>
    </row>
    <row r="39" ht="22.5" customHeight="1">
      <c r="A39" s="63" t="s">
        <v>178</v>
      </c>
      <c r="B39" s="64">
        <v>29.0</v>
      </c>
      <c r="C39" s="64" t="s">
        <v>235</v>
      </c>
      <c r="D39" s="65" t="s">
        <v>55</v>
      </c>
      <c r="E39" s="66" t="s">
        <v>236</v>
      </c>
      <c r="F39" s="66" t="s">
        <v>21</v>
      </c>
      <c r="G39" s="67">
        <v>24.0</v>
      </c>
      <c r="H39" s="67">
        <v>30.0</v>
      </c>
      <c r="I39" s="35">
        <f t="shared" si="1"/>
        <v>54</v>
      </c>
      <c r="J39" s="130" t="str">
        <f>IFERROR(__xludf.DUMMYFUNCTION("IMPORTRANGE(""https://docs.google.com/spreadsheets/d/1CaLR8gtRCp0-wyyH0y5IvQnenreOSKFOo8AF4Pfpekc/edit?gid=400822622#gid=400822622"", ""GRADE 12!H""&amp;ROW(H36))"),"")</f>
        <v/>
      </c>
      <c r="K39" s="130" t="str">
        <f>IFERROR(__xludf.DUMMYFUNCTION("IMPORTRANGE(""https://docs.google.com/spreadsheets/d/1CaLR8gtRCp0-wyyH0y5IvQnenreOSKFOo8AF4Pfpekc/edit?gid=400822622#gid=400822622"", ""GRADE 12!I""&amp;ROW(I36))"),"")</f>
        <v/>
      </c>
      <c r="L39" s="130" t="str">
        <f>IFERROR(__xludf.DUMMYFUNCTION("IMPORTRANGE(""https://docs.google.com/spreadsheets/d/1CaLR8gtRCp0-wyyH0y5IvQnenreOSKFOo8AF4Pfpekc/edit?gid=400822622#gid=400822622"", ""GRADE 12!J""&amp;ROW(J36))"),"")</f>
        <v/>
      </c>
      <c r="M39" s="130">
        <f>IFERROR(__xludf.DUMMYFUNCTION("IMPORTRANGE(""https://docs.google.com/spreadsheets/d/1CaLR8gtRCp0-wyyH0y5IvQnenreOSKFOo8AF4Pfpekc/edit?gid=400822622#gid=400822622"", ""GRADE 12!K""&amp;ROW(K36))"),0.0)</f>
        <v>0</v>
      </c>
      <c r="N39" s="130">
        <f>IFERROR(__xludf.DUMMYFUNCTION("IMPORTRANGE(""https://docs.google.com/spreadsheets/d/1CaLR8gtRCp0-wyyH0y5IvQnenreOSKFOo8AF4Pfpekc/edit?gid=400822622#gid=400822622"", ""GRADE 12!L""&amp;ROW(L36))"),0.0)</f>
        <v>0</v>
      </c>
      <c r="O39" s="130" t="str">
        <f>IFERROR(__xludf.DUMMYFUNCTION("IMPORTRANGE(""https://docs.google.com/spreadsheets/d/1CaLR8gtRCp0-wyyH0y5IvQnenreOSKFOo8AF4Pfpekc/edit?gid=400822622#gid=400822622"", ""GRADE 12!M""&amp;ROW(M36))"),"")</f>
        <v/>
      </c>
      <c r="P39" s="130">
        <f>IFERROR(__xludf.DUMMYFUNCTION("IMPORTRANGE(""https://docs.google.com/spreadsheets/d/1CaLR8gtRCp0-wyyH0y5IvQnenreOSKFOo8AF4Pfpekc/edit?gid=400822622#gid=400822622"", ""GRADE 12!N""&amp;ROW(N36))"),0.0)</f>
        <v>0</v>
      </c>
      <c r="Q39" s="130" t="str">
        <f>IFERROR(__xludf.DUMMYFUNCTION("IMPORTRANGE(""https://docs.google.com/spreadsheets/d/1CaLR8gtRCp0-wyyH0y5IvQnenreOSKFOo8AF4Pfpekc/edit?gid=400822622#gid=400822622"", ""GRADE 12!O""&amp;ROW(O36))"),"")</f>
        <v/>
      </c>
      <c r="R39" s="130">
        <f>IFERROR(__xludf.DUMMYFUNCTION("IMPORTRANGE(""https://docs.google.com/spreadsheets/d/1CaLR8gtRCp0-wyyH0y5IvQnenreOSKFOo8AF4Pfpekc/edit?gid=400822622#gid=400822622"", ""GRADE 12!P""&amp;ROW(P36))"),0.0)</f>
        <v>0</v>
      </c>
      <c r="S39" s="130">
        <f>IFERROR(__xludf.DUMMYFUNCTION("IMPORTRANGE(""https://docs.google.com/spreadsheets/d/1CaLR8gtRCp0-wyyH0y5IvQnenreOSKFOo8AF4Pfpekc/edit?gid=400822622#gid=400822622"", ""GRADE 12!Q""&amp;ROW(Q36))"),0.0)</f>
        <v>0</v>
      </c>
      <c r="T39" s="130">
        <f>IFERROR(__xludf.DUMMYFUNCTION("IMPORTRANGE(""https://docs.google.com/spreadsheets/d/1CaLR8gtRCp0-wyyH0y5IvQnenreOSKFOo8AF4Pfpekc/edit?gid=400822622#gid=400822622"", ""GRADE 12!R""&amp;ROW(R36))"),0.0)</f>
        <v>0</v>
      </c>
      <c r="U39" s="130">
        <f>IFERROR(__xludf.DUMMYFUNCTION("IMPORTRANGE(""https://docs.google.com/spreadsheets/d/1CaLR8gtRCp0-wyyH0y5IvQnenreOSKFOo8AF4Pfpekc/edit?gid=400822622#gid=400822622"", ""GRADE 12!S""&amp;ROW(S36))"),0.0)</f>
        <v>0</v>
      </c>
      <c r="V39" s="131">
        <f>IFERROR(__xludf.DUMMYFUNCTION("IMPORTRANGE(""https://docs.google.com/spreadsheets/d/1CaLR8gtRCp0-wyyH0y5IvQnenreOSKFOo8AF4Pfpekc/edit?gid=400822622#gid=400822622"", ""GRADE 12!T""&amp;ROW(T36))"),7.0)</f>
        <v>7</v>
      </c>
      <c r="W39" s="132">
        <f>IFERROR(__xludf.DUMMYFUNCTION("IMPORTRANGE(""https://docs.google.com/spreadsheets/d/1CaLR8gtRCp0-wyyH0y5IvQnenreOSKFOo8AF4Pfpekc/edit?gid=400822622#gid=400822622"", ""GRADE 12!U""&amp;ROW(U36))"),0.0)</f>
        <v>0</v>
      </c>
      <c r="X39" s="61">
        <f>IFERROR(__xludf.DUMMYFUNCTION("IMPORTRANGE(""https://docs.google.com/spreadsheets/d/1CaLR8gtRCp0-wyyH0y5IvQnenreOSKFOo8AF4Pfpekc/edit?gid=400822622#gid=400822622"", ""GRADE 12!V""&amp;ROW(V36))"),0.0)</f>
        <v>0</v>
      </c>
    </row>
    <row r="40" ht="22.5" customHeight="1">
      <c r="A40" s="63" t="s">
        <v>178</v>
      </c>
      <c r="B40" s="64">
        <v>30.0</v>
      </c>
      <c r="C40" s="64" t="s">
        <v>237</v>
      </c>
      <c r="D40" s="65" t="s">
        <v>55</v>
      </c>
      <c r="E40" s="66" t="s">
        <v>238</v>
      </c>
      <c r="F40" s="66" t="s">
        <v>27</v>
      </c>
      <c r="G40" s="67">
        <v>21.0</v>
      </c>
      <c r="H40" s="67">
        <v>32.0</v>
      </c>
      <c r="I40" s="35">
        <f t="shared" si="1"/>
        <v>53</v>
      </c>
      <c r="J40" s="130" t="str">
        <f>IFERROR(__xludf.DUMMYFUNCTION("IMPORTRANGE(""https://docs.google.com/spreadsheets/d/1CaLR8gtRCp0-wyyH0y5IvQnenreOSKFOo8AF4Pfpekc/edit?gid=400822622#gid=400822622"", ""GRADE 12!H""&amp;ROW(H37))"),"")</f>
        <v/>
      </c>
      <c r="K40" s="130" t="str">
        <f>IFERROR(__xludf.DUMMYFUNCTION("IMPORTRANGE(""https://docs.google.com/spreadsheets/d/1CaLR8gtRCp0-wyyH0y5IvQnenreOSKFOo8AF4Pfpekc/edit?gid=400822622#gid=400822622"", ""GRADE 12!I""&amp;ROW(I37))"),"")</f>
        <v/>
      </c>
      <c r="L40" s="130" t="str">
        <f>IFERROR(__xludf.DUMMYFUNCTION("IMPORTRANGE(""https://docs.google.com/spreadsheets/d/1CaLR8gtRCp0-wyyH0y5IvQnenreOSKFOo8AF4Pfpekc/edit?gid=400822622#gid=400822622"", ""GRADE 12!J""&amp;ROW(J37))"),"")</f>
        <v/>
      </c>
      <c r="M40" s="130">
        <f>IFERROR(__xludf.DUMMYFUNCTION("IMPORTRANGE(""https://docs.google.com/spreadsheets/d/1CaLR8gtRCp0-wyyH0y5IvQnenreOSKFOo8AF4Pfpekc/edit?gid=400822622#gid=400822622"", ""GRADE 12!K""&amp;ROW(K37))"),0.0)</f>
        <v>0</v>
      </c>
      <c r="N40" s="130">
        <f>IFERROR(__xludf.DUMMYFUNCTION("IMPORTRANGE(""https://docs.google.com/spreadsheets/d/1CaLR8gtRCp0-wyyH0y5IvQnenreOSKFOo8AF4Pfpekc/edit?gid=400822622#gid=400822622"", ""GRADE 12!L""&amp;ROW(L37))"),0.0)</f>
        <v>0</v>
      </c>
      <c r="O40" s="130" t="str">
        <f>IFERROR(__xludf.DUMMYFUNCTION("IMPORTRANGE(""https://docs.google.com/spreadsheets/d/1CaLR8gtRCp0-wyyH0y5IvQnenreOSKFOo8AF4Pfpekc/edit?gid=400822622#gid=400822622"", ""GRADE 12!M""&amp;ROW(M37))"),"")</f>
        <v/>
      </c>
      <c r="P40" s="130">
        <f>IFERROR(__xludf.DUMMYFUNCTION("IMPORTRANGE(""https://docs.google.com/spreadsheets/d/1CaLR8gtRCp0-wyyH0y5IvQnenreOSKFOo8AF4Pfpekc/edit?gid=400822622#gid=400822622"", ""GRADE 12!N""&amp;ROW(N37))"),0.0)</f>
        <v>0</v>
      </c>
      <c r="Q40" s="130" t="str">
        <f>IFERROR(__xludf.DUMMYFUNCTION("IMPORTRANGE(""https://docs.google.com/spreadsheets/d/1CaLR8gtRCp0-wyyH0y5IvQnenreOSKFOo8AF4Pfpekc/edit?gid=400822622#gid=400822622"", ""GRADE 12!O""&amp;ROW(O37))"),"")</f>
        <v/>
      </c>
      <c r="R40" s="130">
        <f>IFERROR(__xludf.DUMMYFUNCTION("IMPORTRANGE(""https://docs.google.com/spreadsheets/d/1CaLR8gtRCp0-wyyH0y5IvQnenreOSKFOo8AF4Pfpekc/edit?gid=400822622#gid=400822622"", ""GRADE 12!P""&amp;ROW(P37))"),0.0)</f>
        <v>0</v>
      </c>
      <c r="S40" s="130">
        <f>IFERROR(__xludf.DUMMYFUNCTION("IMPORTRANGE(""https://docs.google.com/spreadsheets/d/1CaLR8gtRCp0-wyyH0y5IvQnenreOSKFOo8AF4Pfpekc/edit?gid=400822622#gid=400822622"", ""GRADE 12!Q""&amp;ROW(Q37))"),0.0)</f>
        <v>0</v>
      </c>
      <c r="T40" s="130">
        <f>IFERROR(__xludf.DUMMYFUNCTION("IMPORTRANGE(""https://docs.google.com/spreadsheets/d/1CaLR8gtRCp0-wyyH0y5IvQnenreOSKFOo8AF4Pfpekc/edit?gid=400822622#gid=400822622"", ""GRADE 12!R""&amp;ROW(R37))"),0.0)</f>
        <v>0</v>
      </c>
      <c r="U40" s="130">
        <f>IFERROR(__xludf.DUMMYFUNCTION("IMPORTRANGE(""https://docs.google.com/spreadsheets/d/1CaLR8gtRCp0-wyyH0y5IvQnenreOSKFOo8AF4Pfpekc/edit?gid=400822622#gid=400822622"", ""GRADE 12!S""&amp;ROW(S37))"),0.0)</f>
        <v>0</v>
      </c>
      <c r="V40" s="131">
        <f>IFERROR(__xludf.DUMMYFUNCTION("IMPORTRANGE(""https://docs.google.com/spreadsheets/d/1CaLR8gtRCp0-wyyH0y5IvQnenreOSKFOo8AF4Pfpekc/edit?gid=400822622#gid=400822622"", ""GRADE 12!T""&amp;ROW(T37))"),7.0)</f>
        <v>7</v>
      </c>
      <c r="W40" s="132">
        <f>IFERROR(__xludf.DUMMYFUNCTION("IMPORTRANGE(""https://docs.google.com/spreadsheets/d/1CaLR8gtRCp0-wyyH0y5IvQnenreOSKFOo8AF4Pfpekc/edit?gid=400822622#gid=400822622"", ""GRADE 12!U""&amp;ROW(U37))"),0.0)</f>
        <v>0</v>
      </c>
      <c r="X40" s="61">
        <f>IFERROR(__xludf.DUMMYFUNCTION("IMPORTRANGE(""https://docs.google.com/spreadsheets/d/1CaLR8gtRCp0-wyyH0y5IvQnenreOSKFOo8AF4Pfpekc/edit?gid=400822622#gid=400822622"", ""GRADE 12!V""&amp;ROW(V37))"),0.0)</f>
        <v>0</v>
      </c>
    </row>
    <row r="41" ht="22.5" customHeight="1">
      <c r="A41" s="63" t="s">
        <v>178</v>
      </c>
      <c r="B41" s="64">
        <v>31.0</v>
      </c>
      <c r="C41" s="64" t="s">
        <v>239</v>
      </c>
      <c r="D41" s="65" t="s">
        <v>88</v>
      </c>
      <c r="E41" s="66" t="s">
        <v>240</v>
      </c>
      <c r="F41" s="66" t="s">
        <v>43</v>
      </c>
      <c r="G41" s="67">
        <v>23.0</v>
      </c>
      <c r="H41" s="67">
        <v>23.0</v>
      </c>
      <c r="I41" s="35">
        <f t="shared" si="1"/>
        <v>46</v>
      </c>
      <c r="J41" s="130">
        <f>IFERROR(__xludf.DUMMYFUNCTION("IMPORTRANGE(""https://docs.google.com/spreadsheets/d/1CaLR8gtRCp0-wyyH0y5IvQnenreOSKFOo8AF4Pfpekc/edit?gid=400822622#gid=400822622"", ""GRADE 12!H""&amp;ROW(H38))"),0.0)</f>
        <v>0</v>
      </c>
      <c r="K41" s="130">
        <f>IFERROR(__xludf.DUMMYFUNCTION("IMPORTRANGE(""https://docs.google.com/spreadsheets/d/1CaLR8gtRCp0-wyyH0y5IvQnenreOSKFOo8AF4Pfpekc/edit?gid=400822622#gid=400822622"", ""GRADE 12!I""&amp;ROW(I38))"),0.0)</f>
        <v>0</v>
      </c>
      <c r="L41" s="130">
        <f>IFERROR(__xludf.DUMMYFUNCTION("IMPORTRANGE(""https://docs.google.com/spreadsheets/d/1CaLR8gtRCp0-wyyH0y5IvQnenreOSKFOo8AF4Pfpekc/edit?gid=400822622#gid=400822622"", ""GRADE 12!J""&amp;ROW(J38))"),0.0)</f>
        <v>0</v>
      </c>
      <c r="M41" s="130">
        <f>IFERROR(__xludf.DUMMYFUNCTION("IMPORTRANGE(""https://docs.google.com/spreadsheets/d/1CaLR8gtRCp0-wyyH0y5IvQnenreOSKFOo8AF4Pfpekc/edit?gid=400822622#gid=400822622"", ""GRADE 12!K""&amp;ROW(K38))"),0.0)</f>
        <v>0</v>
      </c>
      <c r="N41" s="130">
        <f>IFERROR(__xludf.DUMMYFUNCTION("IMPORTRANGE(""https://docs.google.com/spreadsheets/d/1CaLR8gtRCp0-wyyH0y5IvQnenreOSKFOo8AF4Pfpekc/edit?gid=400822622#gid=400822622"", ""GRADE 12!L""&amp;ROW(L38))"),0.0)</f>
        <v>0</v>
      </c>
      <c r="O41" s="130">
        <f>IFERROR(__xludf.DUMMYFUNCTION("IMPORTRANGE(""https://docs.google.com/spreadsheets/d/1CaLR8gtRCp0-wyyH0y5IvQnenreOSKFOo8AF4Pfpekc/edit?gid=400822622#gid=400822622"", ""GRADE 12!M""&amp;ROW(M38))"),0.0)</f>
        <v>0</v>
      </c>
      <c r="P41" s="130" t="str">
        <f>IFERROR(__xludf.DUMMYFUNCTION("IMPORTRANGE(""https://docs.google.com/spreadsheets/d/1CaLR8gtRCp0-wyyH0y5IvQnenreOSKFOo8AF4Pfpekc/edit?gid=400822622#gid=400822622"", ""GRADE 12!N""&amp;ROW(N38))"),"")</f>
        <v/>
      </c>
      <c r="Q41" s="130" t="str">
        <f>IFERROR(__xludf.DUMMYFUNCTION("IMPORTRANGE(""https://docs.google.com/spreadsheets/d/1CaLR8gtRCp0-wyyH0y5IvQnenreOSKFOo8AF4Pfpekc/edit?gid=400822622#gid=400822622"", ""GRADE 12!O""&amp;ROW(O38))"),"")</f>
        <v/>
      </c>
      <c r="R41" s="130" t="str">
        <f>IFERROR(__xludf.DUMMYFUNCTION("IMPORTRANGE(""https://docs.google.com/spreadsheets/d/1CaLR8gtRCp0-wyyH0y5IvQnenreOSKFOo8AF4Pfpekc/edit?gid=400822622#gid=400822622"", ""GRADE 12!P""&amp;ROW(P38))"),"")</f>
        <v/>
      </c>
      <c r="S41" s="130">
        <f>IFERROR(__xludf.DUMMYFUNCTION("IMPORTRANGE(""https://docs.google.com/spreadsheets/d/1CaLR8gtRCp0-wyyH0y5IvQnenreOSKFOo8AF4Pfpekc/edit?gid=400822622#gid=400822622"", ""GRADE 12!Q""&amp;ROW(Q38))"),0.0)</f>
        <v>0</v>
      </c>
      <c r="T41" s="130">
        <f>IFERROR(__xludf.DUMMYFUNCTION("IMPORTRANGE(""https://docs.google.com/spreadsheets/d/1CaLR8gtRCp0-wyyH0y5IvQnenreOSKFOo8AF4Pfpekc/edit?gid=400822622#gid=400822622"", ""GRADE 12!R""&amp;ROW(R38))"),0.0)</f>
        <v>0</v>
      </c>
      <c r="U41" s="130" t="str">
        <f>IFERROR(__xludf.DUMMYFUNCTION("IMPORTRANGE(""https://docs.google.com/spreadsheets/d/1CaLR8gtRCp0-wyyH0y5IvQnenreOSKFOo8AF4Pfpekc/edit?gid=400822622#gid=400822622"", ""GRADE 12!S""&amp;ROW(S38))"),"")</f>
        <v/>
      </c>
      <c r="V41" s="131">
        <f>IFERROR(__xludf.DUMMYFUNCTION("IMPORTRANGE(""https://docs.google.com/spreadsheets/d/1CaLR8gtRCp0-wyyH0y5IvQnenreOSKFOo8AF4Pfpekc/edit?gid=400822622#gid=400822622"", ""GRADE 12!T""&amp;ROW(T38))"),8.0)</f>
        <v>8</v>
      </c>
      <c r="W41" s="132">
        <f>IFERROR(__xludf.DUMMYFUNCTION("IMPORTRANGE(""https://docs.google.com/spreadsheets/d/1CaLR8gtRCp0-wyyH0y5IvQnenreOSKFOo8AF4Pfpekc/edit?gid=400822622#gid=400822622"", ""GRADE 12!U""&amp;ROW(U38))"),0.0)</f>
        <v>0</v>
      </c>
      <c r="X41" s="61">
        <f>IFERROR(__xludf.DUMMYFUNCTION("IMPORTRANGE(""https://docs.google.com/spreadsheets/d/1CaLR8gtRCp0-wyyH0y5IvQnenreOSKFOo8AF4Pfpekc/edit?gid=400822622#gid=400822622"", ""GRADE 12!V""&amp;ROW(V38))"),0.0)</f>
        <v>0</v>
      </c>
    </row>
    <row r="42" ht="22.5" customHeight="1">
      <c r="A42" s="63" t="s">
        <v>178</v>
      </c>
      <c r="B42" s="64">
        <v>32.0</v>
      </c>
      <c r="C42" s="64" t="s">
        <v>241</v>
      </c>
      <c r="D42" s="65" t="s">
        <v>88</v>
      </c>
      <c r="E42" s="66" t="s">
        <v>242</v>
      </c>
      <c r="F42" s="66" t="s">
        <v>30</v>
      </c>
      <c r="G42" s="67">
        <v>25.0</v>
      </c>
      <c r="H42" s="67">
        <v>23.0</v>
      </c>
      <c r="I42" s="35">
        <f t="shared" si="1"/>
        <v>48</v>
      </c>
      <c r="J42" s="130">
        <f>IFERROR(__xludf.DUMMYFUNCTION("IMPORTRANGE(""https://docs.google.com/spreadsheets/d/1CaLR8gtRCp0-wyyH0y5IvQnenreOSKFOo8AF4Pfpekc/edit?gid=400822622#gid=400822622"", ""GRADE 12!H""&amp;ROW(H39))"),0.0)</f>
        <v>0</v>
      </c>
      <c r="K42" s="130">
        <f>IFERROR(__xludf.DUMMYFUNCTION("IMPORTRANGE(""https://docs.google.com/spreadsheets/d/1CaLR8gtRCp0-wyyH0y5IvQnenreOSKFOo8AF4Pfpekc/edit?gid=400822622#gid=400822622"", ""GRADE 12!I""&amp;ROW(I39))"),0.0)</f>
        <v>0</v>
      </c>
      <c r="L42" s="130">
        <f>IFERROR(__xludf.DUMMYFUNCTION("IMPORTRANGE(""https://docs.google.com/spreadsheets/d/1CaLR8gtRCp0-wyyH0y5IvQnenreOSKFOo8AF4Pfpekc/edit?gid=400822622#gid=400822622"", ""GRADE 12!J""&amp;ROW(J39))"),0.0)</f>
        <v>0</v>
      </c>
      <c r="M42" s="130">
        <f>IFERROR(__xludf.DUMMYFUNCTION("IMPORTRANGE(""https://docs.google.com/spreadsheets/d/1CaLR8gtRCp0-wyyH0y5IvQnenreOSKFOo8AF4Pfpekc/edit?gid=400822622#gid=400822622"", ""GRADE 12!K""&amp;ROW(K39))"),0.0)</f>
        <v>0</v>
      </c>
      <c r="N42" s="130">
        <f>IFERROR(__xludf.DUMMYFUNCTION("IMPORTRANGE(""https://docs.google.com/spreadsheets/d/1CaLR8gtRCp0-wyyH0y5IvQnenreOSKFOo8AF4Pfpekc/edit?gid=400822622#gid=400822622"", ""GRADE 12!L""&amp;ROW(L39))"),0.0)</f>
        <v>0</v>
      </c>
      <c r="O42" s="130">
        <f>IFERROR(__xludf.DUMMYFUNCTION("IMPORTRANGE(""https://docs.google.com/spreadsheets/d/1CaLR8gtRCp0-wyyH0y5IvQnenreOSKFOo8AF4Pfpekc/edit?gid=400822622#gid=400822622"", ""GRADE 12!M""&amp;ROW(M39))"),0.0)</f>
        <v>0</v>
      </c>
      <c r="P42" s="130" t="str">
        <f>IFERROR(__xludf.DUMMYFUNCTION("IMPORTRANGE(""https://docs.google.com/spreadsheets/d/1CaLR8gtRCp0-wyyH0y5IvQnenreOSKFOo8AF4Pfpekc/edit?gid=400822622#gid=400822622"", ""GRADE 12!N""&amp;ROW(N39))"),"")</f>
        <v/>
      </c>
      <c r="Q42" s="130" t="str">
        <f>IFERROR(__xludf.DUMMYFUNCTION("IMPORTRANGE(""https://docs.google.com/spreadsheets/d/1CaLR8gtRCp0-wyyH0y5IvQnenreOSKFOo8AF4Pfpekc/edit?gid=400822622#gid=400822622"", ""GRADE 12!O""&amp;ROW(O39))"),"")</f>
        <v/>
      </c>
      <c r="R42" s="130" t="str">
        <f>IFERROR(__xludf.DUMMYFUNCTION("IMPORTRANGE(""https://docs.google.com/spreadsheets/d/1CaLR8gtRCp0-wyyH0y5IvQnenreOSKFOo8AF4Pfpekc/edit?gid=400822622#gid=400822622"", ""GRADE 12!P""&amp;ROW(P39))"),"")</f>
        <v/>
      </c>
      <c r="S42" s="130">
        <f>IFERROR(__xludf.DUMMYFUNCTION("IMPORTRANGE(""https://docs.google.com/spreadsheets/d/1CaLR8gtRCp0-wyyH0y5IvQnenreOSKFOo8AF4Pfpekc/edit?gid=400822622#gid=400822622"", ""GRADE 12!Q""&amp;ROW(Q39))"),0.0)</f>
        <v>0</v>
      </c>
      <c r="T42" s="130">
        <f>IFERROR(__xludf.DUMMYFUNCTION("IMPORTRANGE(""https://docs.google.com/spreadsheets/d/1CaLR8gtRCp0-wyyH0y5IvQnenreOSKFOo8AF4Pfpekc/edit?gid=400822622#gid=400822622"", ""GRADE 12!R""&amp;ROW(R39))"),0.0)</f>
        <v>0</v>
      </c>
      <c r="U42" s="130" t="str">
        <f>IFERROR(__xludf.DUMMYFUNCTION("IMPORTRANGE(""https://docs.google.com/spreadsheets/d/1CaLR8gtRCp0-wyyH0y5IvQnenreOSKFOo8AF4Pfpekc/edit?gid=400822622#gid=400822622"", ""GRADE 12!S""&amp;ROW(S39))"),"")</f>
        <v/>
      </c>
      <c r="V42" s="131">
        <f>IFERROR(__xludf.DUMMYFUNCTION("IMPORTRANGE(""https://docs.google.com/spreadsheets/d/1CaLR8gtRCp0-wyyH0y5IvQnenreOSKFOo8AF4Pfpekc/edit?gid=400822622#gid=400822622"", ""GRADE 12!T""&amp;ROW(T39))"),8.0)</f>
        <v>8</v>
      </c>
      <c r="W42" s="132">
        <f>IFERROR(__xludf.DUMMYFUNCTION("IMPORTRANGE(""https://docs.google.com/spreadsheets/d/1CaLR8gtRCp0-wyyH0y5IvQnenreOSKFOo8AF4Pfpekc/edit?gid=400822622#gid=400822622"", ""GRADE 12!U""&amp;ROW(U39))"),0.0)</f>
        <v>0</v>
      </c>
      <c r="X42" s="61">
        <f>IFERROR(__xludf.DUMMYFUNCTION("IMPORTRANGE(""https://docs.google.com/spreadsheets/d/1CaLR8gtRCp0-wyyH0y5IvQnenreOSKFOo8AF4Pfpekc/edit?gid=400822622#gid=400822622"", ""GRADE 12!V""&amp;ROW(V39))"),0.0)</f>
        <v>0</v>
      </c>
    </row>
    <row r="43" ht="22.5" customHeight="1">
      <c r="A43" s="63" t="s">
        <v>178</v>
      </c>
      <c r="B43" s="64">
        <v>33.0</v>
      </c>
      <c r="C43" s="64" t="s">
        <v>243</v>
      </c>
      <c r="D43" s="65" t="s">
        <v>88</v>
      </c>
      <c r="E43" s="66" t="s">
        <v>244</v>
      </c>
      <c r="F43" s="66" t="s">
        <v>21</v>
      </c>
      <c r="G43" s="67">
        <v>22.0</v>
      </c>
      <c r="H43" s="67">
        <v>23.0</v>
      </c>
      <c r="I43" s="35">
        <f t="shared" si="1"/>
        <v>45</v>
      </c>
      <c r="J43" s="130">
        <f>IFERROR(__xludf.DUMMYFUNCTION("IMPORTRANGE(""https://docs.google.com/spreadsheets/d/1CaLR8gtRCp0-wyyH0y5IvQnenreOSKFOo8AF4Pfpekc/edit?gid=400822622#gid=400822622"", ""GRADE 12!H""&amp;ROW(H40))"),0.0)</f>
        <v>0</v>
      </c>
      <c r="K43" s="130">
        <f>IFERROR(__xludf.DUMMYFUNCTION("IMPORTRANGE(""https://docs.google.com/spreadsheets/d/1CaLR8gtRCp0-wyyH0y5IvQnenreOSKFOo8AF4Pfpekc/edit?gid=400822622#gid=400822622"", ""GRADE 12!I""&amp;ROW(I40))"),0.0)</f>
        <v>0</v>
      </c>
      <c r="L43" s="130">
        <f>IFERROR(__xludf.DUMMYFUNCTION("IMPORTRANGE(""https://docs.google.com/spreadsheets/d/1CaLR8gtRCp0-wyyH0y5IvQnenreOSKFOo8AF4Pfpekc/edit?gid=400822622#gid=400822622"", ""GRADE 12!J""&amp;ROW(J40))"),0.0)</f>
        <v>0</v>
      </c>
      <c r="M43" s="130">
        <f>IFERROR(__xludf.DUMMYFUNCTION("IMPORTRANGE(""https://docs.google.com/spreadsheets/d/1CaLR8gtRCp0-wyyH0y5IvQnenreOSKFOo8AF4Pfpekc/edit?gid=400822622#gid=400822622"", ""GRADE 12!K""&amp;ROW(K40))"),0.0)</f>
        <v>0</v>
      </c>
      <c r="N43" s="130">
        <f>IFERROR(__xludf.DUMMYFUNCTION("IMPORTRANGE(""https://docs.google.com/spreadsheets/d/1CaLR8gtRCp0-wyyH0y5IvQnenreOSKFOo8AF4Pfpekc/edit?gid=400822622#gid=400822622"", ""GRADE 12!L""&amp;ROW(L40))"),0.0)</f>
        <v>0</v>
      </c>
      <c r="O43" s="130">
        <f>IFERROR(__xludf.DUMMYFUNCTION("IMPORTRANGE(""https://docs.google.com/spreadsheets/d/1CaLR8gtRCp0-wyyH0y5IvQnenreOSKFOo8AF4Pfpekc/edit?gid=400822622#gid=400822622"", ""GRADE 12!M""&amp;ROW(M40))"),0.0)</f>
        <v>0</v>
      </c>
      <c r="P43" s="130" t="str">
        <f>IFERROR(__xludf.DUMMYFUNCTION("IMPORTRANGE(""https://docs.google.com/spreadsheets/d/1CaLR8gtRCp0-wyyH0y5IvQnenreOSKFOo8AF4Pfpekc/edit?gid=400822622#gid=400822622"", ""GRADE 12!N""&amp;ROW(N40))"),"")</f>
        <v/>
      </c>
      <c r="Q43" s="130" t="str">
        <f>IFERROR(__xludf.DUMMYFUNCTION("IMPORTRANGE(""https://docs.google.com/spreadsheets/d/1CaLR8gtRCp0-wyyH0y5IvQnenreOSKFOo8AF4Pfpekc/edit?gid=400822622#gid=400822622"", ""GRADE 12!O""&amp;ROW(O40))"),"")</f>
        <v/>
      </c>
      <c r="R43" s="130" t="str">
        <f>IFERROR(__xludf.DUMMYFUNCTION("IMPORTRANGE(""https://docs.google.com/spreadsheets/d/1CaLR8gtRCp0-wyyH0y5IvQnenreOSKFOo8AF4Pfpekc/edit?gid=400822622#gid=400822622"", ""GRADE 12!P""&amp;ROW(P40))"),"")</f>
        <v/>
      </c>
      <c r="S43" s="130">
        <f>IFERROR(__xludf.DUMMYFUNCTION("IMPORTRANGE(""https://docs.google.com/spreadsheets/d/1CaLR8gtRCp0-wyyH0y5IvQnenreOSKFOo8AF4Pfpekc/edit?gid=400822622#gid=400822622"", ""GRADE 12!Q""&amp;ROW(Q40))"),0.0)</f>
        <v>0</v>
      </c>
      <c r="T43" s="130">
        <f>IFERROR(__xludf.DUMMYFUNCTION("IMPORTRANGE(""https://docs.google.com/spreadsheets/d/1CaLR8gtRCp0-wyyH0y5IvQnenreOSKFOo8AF4Pfpekc/edit?gid=400822622#gid=400822622"", ""GRADE 12!R""&amp;ROW(R40))"),0.0)</f>
        <v>0</v>
      </c>
      <c r="U43" s="130" t="str">
        <f>IFERROR(__xludf.DUMMYFUNCTION("IMPORTRANGE(""https://docs.google.com/spreadsheets/d/1CaLR8gtRCp0-wyyH0y5IvQnenreOSKFOo8AF4Pfpekc/edit?gid=400822622#gid=400822622"", ""GRADE 12!S""&amp;ROW(S40))"),"")</f>
        <v/>
      </c>
      <c r="V43" s="131">
        <f>IFERROR(__xludf.DUMMYFUNCTION("IMPORTRANGE(""https://docs.google.com/spreadsheets/d/1CaLR8gtRCp0-wyyH0y5IvQnenreOSKFOo8AF4Pfpekc/edit?gid=400822622#gid=400822622"", ""GRADE 12!T""&amp;ROW(T40))"),8.0)</f>
        <v>8</v>
      </c>
      <c r="W43" s="132">
        <f>IFERROR(__xludf.DUMMYFUNCTION("IMPORTRANGE(""https://docs.google.com/spreadsheets/d/1CaLR8gtRCp0-wyyH0y5IvQnenreOSKFOo8AF4Pfpekc/edit?gid=400822622#gid=400822622"", ""GRADE 12!U""&amp;ROW(U40))"),0.0)</f>
        <v>0</v>
      </c>
      <c r="X43" s="61">
        <f>IFERROR(__xludf.DUMMYFUNCTION("IMPORTRANGE(""https://docs.google.com/spreadsheets/d/1CaLR8gtRCp0-wyyH0y5IvQnenreOSKFOo8AF4Pfpekc/edit?gid=400822622#gid=400822622"", ""GRADE 12!V""&amp;ROW(V40))"),0.0)</f>
        <v>0</v>
      </c>
    </row>
    <row r="44" ht="22.5" customHeight="1">
      <c r="A44" s="63" t="s">
        <v>178</v>
      </c>
      <c r="B44" s="64">
        <v>34.0</v>
      </c>
      <c r="C44" s="64" t="s">
        <v>245</v>
      </c>
      <c r="D44" s="65" t="s">
        <v>88</v>
      </c>
      <c r="E44" s="66" t="s">
        <v>246</v>
      </c>
      <c r="F44" s="66" t="s">
        <v>27</v>
      </c>
      <c r="G44" s="67">
        <v>22.0</v>
      </c>
      <c r="H44" s="67">
        <v>22.0</v>
      </c>
      <c r="I44" s="35">
        <f t="shared" si="1"/>
        <v>44</v>
      </c>
      <c r="J44" s="130">
        <f>IFERROR(__xludf.DUMMYFUNCTION("IMPORTRANGE(""https://docs.google.com/spreadsheets/d/1CaLR8gtRCp0-wyyH0y5IvQnenreOSKFOo8AF4Pfpekc/edit?gid=400822622#gid=400822622"", ""GRADE 12!H""&amp;ROW(H41))"),0.0)</f>
        <v>0</v>
      </c>
      <c r="K44" s="130">
        <f>IFERROR(__xludf.DUMMYFUNCTION("IMPORTRANGE(""https://docs.google.com/spreadsheets/d/1CaLR8gtRCp0-wyyH0y5IvQnenreOSKFOo8AF4Pfpekc/edit?gid=400822622#gid=400822622"", ""GRADE 12!I""&amp;ROW(I41))"),0.0)</f>
        <v>0</v>
      </c>
      <c r="L44" s="130">
        <f>IFERROR(__xludf.DUMMYFUNCTION("IMPORTRANGE(""https://docs.google.com/spreadsheets/d/1CaLR8gtRCp0-wyyH0y5IvQnenreOSKFOo8AF4Pfpekc/edit?gid=400822622#gid=400822622"", ""GRADE 12!J""&amp;ROW(J41))"),0.0)</f>
        <v>0</v>
      </c>
      <c r="M44" s="130">
        <f>IFERROR(__xludf.DUMMYFUNCTION("IMPORTRANGE(""https://docs.google.com/spreadsheets/d/1CaLR8gtRCp0-wyyH0y5IvQnenreOSKFOo8AF4Pfpekc/edit?gid=400822622#gid=400822622"", ""GRADE 12!K""&amp;ROW(K41))"),0.0)</f>
        <v>0</v>
      </c>
      <c r="N44" s="130">
        <f>IFERROR(__xludf.DUMMYFUNCTION("IMPORTRANGE(""https://docs.google.com/spreadsheets/d/1CaLR8gtRCp0-wyyH0y5IvQnenreOSKFOo8AF4Pfpekc/edit?gid=400822622#gid=400822622"", ""GRADE 12!L""&amp;ROW(L41))"),0.0)</f>
        <v>0</v>
      </c>
      <c r="O44" s="130">
        <f>IFERROR(__xludf.DUMMYFUNCTION("IMPORTRANGE(""https://docs.google.com/spreadsheets/d/1CaLR8gtRCp0-wyyH0y5IvQnenreOSKFOo8AF4Pfpekc/edit?gid=400822622#gid=400822622"", ""GRADE 12!M""&amp;ROW(M41))"),0.0)</f>
        <v>0</v>
      </c>
      <c r="P44" s="130" t="str">
        <f>IFERROR(__xludf.DUMMYFUNCTION("IMPORTRANGE(""https://docs.google.com/spreadsheets/d/1CaLR8gtRCp0-wyyH0y5IvQnenreOSKFOo8AF4Pfpekc/edit?gid=400822622#gid=400822622"", ""GRADE 12!N""&amp;ROW(N41))"),"")</f>
        <v/>
      </c>
      <c r="Q44" s="130" t="str">
        <f>IFERROR(__xludf.DUMMYFUNCTION("IMPORTRANGE(""https://docs.google.com/spreadsheets/d/1CaLR8gtRCp0-wyyH0y5IvQnenreOSKFOo8AF4Pfpekc/edit?gid=400822622#gid=400822622"", ""GRADE 12!O""&amp;ROW(O41))"),"")</f>
        <v/>
      </c>
      <c r="R44" s="130" t="str">
        <f>IFERROR(__xludf.DUMMYFUNCTION("IMPORTRANGE(""https://docs.google.com/spreadsheets/d/1CaLR8gtRCp0-wyyH0y5IvQnenreOSKFOo8AF4Pfpekc/edit?gid=400822622#gid=400822622"", ""GRADE 12!P""&amp;ROW(P41))"),"")</f>
        <v/>
      </c>
      <c r="S44" s="130">
        <f>IFERROR(__xludf.DUMMYFUNCTION("IMPORTRANGE(""https://docs.google.com/spreadsheets/d/1CaLR8gtRCp0-wyyH0y5IvQnenreOSKFOo8AF4Pfpekc/edit?gid=400822622#gid=400822622"", ""GRADE 12!Q""&amp;ROW(Q41))"),0.0)</f>
        <v>0</v>
      </c>
      <c r="T44" s="130">
        <f>IFERROR(__xludf.DUMMYFUNCTION("IMPORTRANGE(""https://docs.google.com/spreadsheets/d/1CaLR8gtRCp0-wyyH0y5IvQnenreOSKFOo8AF4Pfpekc/edit?gid=400822622#gid=400822622"", ""GRADE 12!R""&amp;ROW(R41))"),0.0)</f>
        <v>0</v>
      </c>
      <c r="U44" s="130" t="str">
        <f>IFERROR(__xludf.DUMMYFUNCTION("IMPORTRANGE(""https://docs.google.com/spreadsheets/d/1CaLR8gtRCp0-wyyH0y5IvQnenreOSKFOo8AF4Pfpekc/edit?gid=400822622#gid=400822622"", ""GRADE 12!S""&amp;ROW(S41))"),"")</f>
        <v/>
      </c>
      <c r="V44" s="131">
        <f>IFERROR(__xludf.DUMMYFUNCTION("IMPORTRANGE(""https://docs.google.com/spreadsheets/d/1CaLR8gtRCp0-wyyH0y5IvQnenreOSKFOo8AF4Pfpekc/edit?gid=400822622#gid=400822622"", ""GRADE 12!T""&amp;ROW(T41))"),8.0)</f>
        <v>8</v>
      </c>
      <c r="W44" s="132">
        <f>IFERROR(__xludf.DUMMYFUNCTION("IMPORTRANGE(""https://docs.google.com/spreadsheets/d/1CaLR8gtRCp0-wyyH0y5IvQnenreOSKFOo8AF4Pfpekc/edit?gid=400822622#gid=400822622"", ""GRADE 12!U""&amp;ROW(U41))"),0.0)</f>
        <v>0</v>
      </c>
      <c r="X44" s="61">
        <f>IFERROR(__xludf.DUMMYFUNCTION("IMPORTRANGE(""https://docs.google.com/spreadsheets/d/1CaLR8gtRCp0-wyyH0y5IvQnenreOSKFOo8AF4Pfpekc/edit?gid=400822622#gid=400822622"", ""GRADE 12!V""&amp;ROW(V41))"),0.0)</f>
        <v>0</v>
      </c>
    </row>
    <row r="45" ht="22.5" customHeight="1">
      <c r="A45" s="63" t="s">
        <v>178</v>
      </c>
      <c r="B45" s="64">
        <v>35.0</v>
      </c>
      <c r="C45" s="64" t="s">
        <v>247</v>
      </c>
      <c r="D45" s="65" t="s">
        <v>88</v>
      </c>
      <c r="E45" s="66" t="s">
        <v>248</v>
      </c>
      <c r="F45" s="66" t="s">
        <v>55</v>
      </c>
      <c r="G45" s="67">
        <v>21.0</v>
      </c>
      <c r="H45" s="67">
        <v>23.0</v>
      </c>
      <c r="I45" s="35">
        <f t="shared" si="1"/>
        <v>44</v>
      </c>
      <c r="J45" s="130">
        <f>IFERROR(__xludf.DUMMYFUNCTION("IMPORTRANGE(""https://docs.google.com/spreadsheets/d/1CaLR8gtRCp0-wyyH0y5IvQnenreOSKFOo8AF4Pfpekc/edit?gid=400822622#gid=400822622"", ""GRADE 12!H""&amp;ROW(H42))"),0.0)</f>
        <v>0</v>
      </c>
      <c r="K45" s="130">
        <f>IFERROR(__xludf.DUMMYFUNCTION("IMPORTRANGE(""https://docs.google.com/spreadsheets/d/1CaLR8gtRCp0-wyyH0y5IvQnenreOSKFOo8AF4Pfpekc/edit?gid=400822622#gid=400822622"", ""GRADE 12!I""&amp;ROW(I42))"),0.0)</f>
        <v>0</v>
      </c>
      <c r="L45" s="130">
        <f>IFERROR(__xludf.DUMMYFUNCTION("IMPORTRANGE(""https://docs.google.com/spreadsheets/d/1CaLR8gtRCp0-wyyH0y5IvQnenreOSKFOo8AF4Pfpekc/edit?gid=400822622#gid=400822622"", ""GRADE 12!J""&amp;ROW(J42))"),0.0)</f>
        <v>0</v>
      </c>
      <c r="M45" s="130">
        <f>IFERROR(__xludf.DUMMYFUNCTION("IMPORTRANGE(""https://docs.google.com/spreadsheets/d/1CaLR8gtRCp0-wyyH0y5IvQnenreOSKFOo8AF4Pfpekc/edit?gid=400822622#gid=400822622"", ""GRADE 12!K""&amp;ROW(K42))"),0.0)</f>
        <v>0</v>
      </c>
      <c r="N45" s="130">
        <f>IFERROR(__xludf.DUMMYFUNCTION("IMPORTRANGE(""https://docs.google.com/spreadsheets/d/1CaLR8gtRCp0-wyyH0y5IvQnenreOSKFOo8AF4Pfpekc/edit?gid=400822622#gid=400822622"", ""GRADE 12!L""&amp;ROW(L42))"),0.0)</f>
        <v>0</v>
      </c>
      <c r="O45" s="130">
        <f>IFERROR(__xludf.DUMMYFUNCTION("IMPORTRANGE(""https://docs.google.com/spreadsheets/d/1CaLR8gtRCp0-wyyH0y5IvQnenreOSKFOo8AF4Pfpekc/edit?gid=400822622#gid=400822622"", ""GRADE 12!M""&amp;ROW(M42))"),0.0)</f>
        <v>0</v>
      </c>
      <c r="P45" s="130" t="str">
        <f>IFERROR(__xludf.DUMMYFUNCTION("IMPORTRANGE(""https://docs.google.com/spreadsheets/d/1CaLR8gtRCp0-wyyH0y5IvQnenreOSKFOo8AF4Pfpekc/edit?gid=400822622#gid=400822622"", ""GRADE 12!N""&amp;ROW(N42))"),"")</f>
        <v/>
      </c>
      <c r="Q45" s="130" t="str">
        <f>IFERROR(__xludf.DUMMYFUNCTION("IMPORTRANGE(""https://docs.google.com/spreadsheets/d/1CaLR8gtRCp0-wyyH0y5IvQnenreOSKFOo8AF4Pfpekc/edit?gid=400822622#gid=400822622"", ""GRADE 12!O""&amp;ROW(O42))"),"")</f>
        <v/>
      </c>
      <c r="R45" s="130" t="str">
        <f>IFERROR(__xludf.DUMMYFUNCTION("IMPORTRANGE(""https://docs.google.com/spreadsheets/d/1CaLR8gtRCp0-wyyH0y5IvQnenreOSKFOo8AF4Pfpekc/edit?gid=400822622#gid=400822622"", ""GRADE 12!P""&amp;ROW(P42))"),"")</f>
        <v/>
      </c>
      <c r="S45" s="130">
        <f>IFERROR(__xludf.DUMMYFUNCTION("IMPORTRANGE(""https://docs.google.com/spreadsheets/d/1CaLR8gtRCp0-wyyH0y5IvQnenreOSKFOo8AF4Pfpekc/edit?gid=400822622#gid=400822622"", ""GRADE 12!Q""&amp;ROW(Q42))"),0.0)</f>
        <v>0</v>
      </c>
      <c r="T45" s="130">
        <f>IFERROR(__xludf.DUMMYFUNCTION("IMPORTRANGE(""https://docs.google.com/spreadsheets/d/1CaLR8gtRCp0-wyyH0y5IvQnenreOSKFOo8AF4Pfpekc/edit?gid=400822622#gid=400822622"", ""GRADE 12!R""&amp;ROW(R42))"),0.0)</f>
        <v>0</v>
      </c>
      <c r="U45" s="130" t="str">
        <f>IFERROR(__xludf.DUMMYFUNCTION("IMPORTRANGE(""https://docs.google.com/spreadsheets/d/1CaLR8gtRCp0-wyyH0y5IvQnenreOSKFOo8AF4Pfpekc/edit?gid=400822622#gid=400822622"", ""GRADE 12!S""&amp;ROW(S42))"),"")</f>
        <v/>
      </c>
      <c r="V45" s="131">
        <f>IFERROR(__xludf.DUMMYFUNCTION("IMPORTRANGE(""https://docs.google.com/spreadsheets/d/1CaLR8gtRCp0-wyyH0y5IvQnenreOSKFOo8AF4Pfpekc/edit?gid=400822622#gid=400822622"", ""GRADE 12!T""&amp;ROW(T42))"),8.0)</f>
        <v>8</v>
      </c>
      <c r="W45" s="132">
        <f>IFERROR(__xludf.DUMMYFUNCTION("IMPORTRANGE(""https://docs.google.com/spreadsheets/d/1CaLR8gtRCp0-wyyH0y5IvQnenreOSKFOo8AF4Pfpekc/edit?gid=400822622#gid=400822622"", ""GRADE 12!U""&amp;ROW(U42))"),0.0)</f>
        <v>0</v>
      </c>
      <c r="X45" s="61">
        <f>IFERROR(__xludf.DUMMYFUNCTION("IMPORTRANGE(""https://docs.google.com/spreadsheets/d/1CaLR8gtRCp0-wyyH0y5IvQnenreOSKFOo8AF4Pfpekc/edit?gid=400822622#gid=400822622"", ""GRADE 12!V""&amp;ROW(V42))"),0.0)</f>
        <v>0</v>
      </c>
    </row>
    <row r="46" ht="22.5" customHeight="1">
      <c r="A46" s="63" t="s">
        <v>178</v>
      </c>
      <c r="B46" s="64">
        <v>36.0</v>
      </c>
      <c r="C46" s="64" t="s">
        <v>249</v>
      </c>
      <c r="D46" s="65" t="s">
        <v>88</v>
      </c>
      <c r="E46" s="66" t="s">
        <v>250</v>
      </c>
      <c r="F46" s="66" t="s">
        <v>43</v>
      </c>
      <c r="G46" s="67">
        <v>20.0</v>
      </c>
      <c r="H46" s="67">
        <v>24.0</v>
      </c>
      <c r="I46" s="35">
        <f t="shared" si="1"/>
        <v>44</v>
      </c>
      <c r="J46" s="130">
        <f>IFERROR(__xludf.DUMMYFUNCTION("IMPORTRANGE(""https://docs.google.com/spreadsheets/d/1CaLR8gtRCp0-wyyH0y5IvQnenreOSKFOo8AF4Pfpekc/edit?gid=400822622#gid=400822622"", ""GRADE 12!H""&amp;ROW(H43))"),0.0)</f>
        <v>0</v>
      </c>
      <c r="K46" s="130">
        <f>IFERROR(__xludf.DUMMYFUNCTION("IMPORTRANGE(""https://docs.google.com/spreadsheets/d/1CaLR8gtRCp0-wyyH0y5IvQnenreOSKFOo8AF4Pfpekc/edit?gid=400822622#gid=400822622"", ""GRADE 12!I""&amp;ROW(I43))"),0.0)</f>
        <v>0</v>
      </c>
      <c r="L46" s="130">
        <f>IFERROR(__xludf.DUMMYFUNCTION("IMPORTRANGE(""https://docs.google.com/spreadsheets/d/1CaLR8gtRCp0-wyyH0y5IvQnenreOSKFOo8AF4Pfpekc/edit?gid=400822622#gid=400822622"", ""GRADE 12!J""&amp;ROW(J43))"),0.0)</f>
        <v>0</v>
      </c>
      <c r="M46" s="130">
        <f>IFERROR(__xludf.DUMMYFUNCTION("IMPORTRANGE(""https://docs.google.com/spreadsheets/d/1CaLR8gtRCp0-wyyH0y5IvQnenreOSKFOo8AF4Pfpekc/edit?gid=400822622#gid=400822622"", ""GRADE 12!K""&amp;ROW(K43))"),0.0)</f>
        <v>0</v>
      </c>
      <c r="N46" s="130">
        <f>IFERROR(__xludf.DUMMYFUNCTION("IMPORTRANGE(""https://docs.google.com/spreadsheets/d/1CaLR8gtRCp0-wyyH0y5IvQnenreOSKFOo8AF4Pfpekc/edit?gid=400822622#gid=400822622"", ""GRADE 12!L""&amp;ROW(L43))"),0.0)</f>
        <v>0</v>
      </c>
      <c r="O46" s="130">
        <f>IFERROR(__xludf.DUMMYFUNCTION("IMPORTRANGE(""https://docs.google.com/spreadsheets/d/1CaLR8gtRCp0-wyyH0y5IvQnenreOSKFOo8AF4Pfpekc/edit?gid=400822622#gid=400822622"", ""GRADE 12!M""&amp;ROW(M43))"),0.0)</f>
        <v>0</v>
      </c>
      <c r="P46" s="130" t="str">
        <f>IFERROR(__xludf.DUMMYFUNCTION("IMPORTRANGE(""https://docs.google.com/spreadsheets/d/1CaLR8gtRCp0-wyyH0y5IvQnenreOSKFOo8AF4Pfpekc/edit?gid=400822622#gid=400822622"", ""GRADE 12!N""&amp;ROW(N43))"),"")</f>
        <v/>
      </c>
      <c r="Q46" s="130" t="str">
        <f>IFERROR(__xludf.DUMMYFUNCTION("IMPORTRANGE(""https://docs.google.com/spreadsheets/d/1CaLR8gtRCp0-wyyH0y5IvQnenreOSKFOo8AF4Pfpekc/edit?gid=400822622#gid=400822622"", ""GRADE 12!O""&amp;ROW(O43))"),"")</f>
        <v/>
      </c>
      <c r="R46" s="130" t="str">
        <f>IFERROR(__xludf.DUMMYFUNCTION("IMPORTRANGE(""https://docs.google.com/spreadsheets/d/1CaLR8gtRCp0-wyyH0y5IvQnenreOSKFOo8AF4Pfpekc/edit?gid=400822622#gid=400822622"", ""GRADE 12!P""&amp;ROW(P43))"),"")</f>
        <v/>
      </c>
      <c r="S46" s="130">
        <f>IFERROR(__xludf.DUMMYFUNCTION("IMPORTRANGE(""https://docs.google.com/spreadsheets/d/1CaLR8gtRCp0-wyyH0y5IvQnenreOSKFOo8AF4Pfpekc/edit?gid=400822622#gid=400822622"", ""GRADE 12!Q""&amp;ROW(Q43))"),0.0)</f>
        <v>0</v>
      </c>
      <c r="T46" s="130">
        <f>IFERROR(__xludf.DUMMYFUNCTION("IMPORTRANGE(""https://docs.google.com/spreadsheets/d/1CaLR8gtRCp0-wyyH0y5IvQnenreOSKFOo8AF4Pfpekc/edit?gid=400822622#gid=400822622"", ""GRADE 12!R""&amp;ROW(R43))"),0.0)</f>
        <v>0</v>
      </c>
      <c r="U46" s="130" t="str">
        <f>IFERROR(__xludf.DUMMYFUNCTION("IMPORTRANGE(""https://docs.google.com/spreadsheets/d/1CaLR8gtRCp0-wyyH0y5IvQnenreOSKFOo8AF4Pfpekc/edit?gid=400822622#gid=400822622"", ""GRADE 12!S""&amp;ROW(S43))"),"")</f>
        <v/>
      </c>
      <c r="V46" s="131">
        <f>IFERROR(__xludf.DUMMYFUNCTION("IMPORTRANGE(""https://docs.google.com/spreadsheets/d/1CaLR8gtRCp0-wyyH0y5IvQnenreOSKFOo8AF4Pfpekc/edit?gid=400822622#gid=400822622"", ""GRADE 12!T""&amp;ROW(T43))"),8.0)</f>
        <v>8</v>
      </c>
      <c r="W46" s="132">
        <f>IFERROR(__xludf.DUMMYFUNCTION("IMPORTRANGE(""https://docs.google.com/spreadsheets/d/1CaLR8gtRCp0-wyyH0y5IvQnenreOSKFOo8AF4Pfpekc/edit?gid=400822622#gid=400822622"", ""GRADE 12!U""&amp;ROW(U43))"),0.0)</f>
        <v>0</v>
      </c>
      <c r="X46" s="61">
        <f>IFERROR(__xludf.DUMMYFUNCTION("IMPORTRANGE(""https://docs.google.com/spreadsheets/d/1CaLR8gtRCp0-wyyH0y5IvQnenreOSKFOo8AF4Pfpekc/edit?gid=400822622#gid=400822622"", ""GRADE 12!V""&amp;ROW(V43))"),0.0)</f>
        <v>0</v>
      </c>
    </row>
    <row r="47" ht="22.5" customHeight="1">
      <c r="A47" s="63" t="s">
        <v>178</v>
      </c>
      <c r="B47" s="64">
        <v>37.0</v>
      </c>
      <c r="C47" s="64" t="s">
        <v>251</v>
      </c>
      <c r="D47" s="65" t="s">
        <v>88</v>
      </c>
      <c r="E47" s="66" t="s">
        <v>252</v>
      </c>
      <c r="F47" s="66" t="s">
        <v>43</v>
      </c>
      <c r="G47" s="67">
        <v>21.0</v>
      </c>
      <c r="H47" s="67">
        <v>23.0</v>
      </c>
      <c r="I47" s="35">
        <f t="shared" si="1"/>
        <v>44</v>
      </c>
      <c r="J47" s="130">
        <f>IFERROR(__xludf.DUMMYFUNCTION("IMPORTRANGE(""https://docs.google.com/spreadsheets/d/1CaLR8gtRCp0-wyyH0y5IvQnenreOSKFOo8AF4Pfpekc/edit?gid=400822622#gid=400822622"", ""GRADE 12!H""&amp;ROW(H44))"),0.0)</f>
        <v>0</v>
      </c>
      <c r="K47" s="130">
        <f>IFERROR(__xludf.DUMMYFUNCTION("IMPORTRANGE(""https://docs.google.com/spreadsheets/d/1CaLR8gtRCp0-wyyH0y5IvQnenreOSKFOo8AF4Pfpekc/edit?gid=400822622#gid=400822622"", ""GRADE 12!I""&amp;ROW(I44))"),0.0)</f>
        <v>0</v>
      </c>
      <c r="L47" s="130">
        <f>IFERROR(__xludf.DUMMYFUNCTION("IMPORTRANGE(""https://docs.google.com/spreadsheets/d/1CaLR8gtRCp0-wyyH0y5IvQnenreOSKFOo8AF4Pfpekc/edit?gid=400822622#gid=400822622"", ""GRADE 12!J""&amp;ROW(J44))"),0.0)</f>
        <v>0</v>
      </c>
      <c r="M47" s="130">
        <f>IFERROR(__xludf.DUMMYFUNCTION("IMPORTRANGE(""https://docs.google.com/spreadsheets/d/1CaLR8gtRCp0-wyyH0y5IvQnenreOSKFOo8AF4Pfpekc/edit?gid=400822622#gid=400822622"", ""GRADE 12!K""&amp;ROW(K44))"),0.0)</f>
        <v>0</v>
      </c>
      <c r="N47" s="130">
        <f>IFERROR(__xludf.DUMMYFUNCTION("IMPORTRANGE(""https://docs.google.com/spreadsheets/d/1CaLR8gtRCp0-wyyH0y5IvQnenreOSKFOo8AF4Pfpekc/edit?gid=400822622#gid=400822622"", ""GRADE 12!L""&amp;ROW(L44))"),0.0)</f>
        <v>0</v>
      </c>
      <c r="O47" s="130">
        <f>IFERROR(__xludf.DUMMYFUNCTION("IMPORTRANGE(""https://docs.google.com/spreadsheets/d/1CaLR8gtRCp0-wyyH0y5IvQnenreOSKFOo8AF4Pfpekc/edit?gid=400822622#gid=400822622"", ""GRADE 12!M""&amp;ROW(M44))"),0.0)</f>
        <v>0</v>
      </c>
      <c r="P47" s="130" t="str">
        <f>IFERROR(__xludf.DUMMYFUNCTION("IMPORTRANGE(""https://docs.google.com/spreadsheets/d/1CaLR8gtRCp0-wyyH0y5IvQnenreOSKFOo8AF4Pfpekc/edit?gid=400822622#gid=400822622"", ""GRADE 12!N""&amp;ROW(N44))"),"")</f>
        <v/>
      </c>
      <c r="Q47" s="130" t="str">
        <f>IFERROR(__xludf.DUMMYFUNCTION("IMPORTRANGE(""https://docs.google.com/spreadsheets/d/1CaLR8gtRCp0-wyyH0y5IvQnenreOSKFOo8AF4Pfpekc/edit?gid=400822622#gid=400822622"", ""GRADE 12!O""&amp;ROW(O44))"),"")</f>
        <v/>
      </c>
      <c r="R47" s="130" t="str">
        <f>IFERROR(__xludf.DUMMYFUNCTION("IMPORTRANGE(""https://docs.google.com/spreadsheets/d/1CaLR8gtRCp0-wyyH0y5IvQnenreOSKFOo8AF4Pfpekc/edit?gid=400822622#gid=400822622"", ""GRADE 12!P""&amp;ROW(P44))"),"")</f>
        <v/>
      </c>
      <c r="S47" s="130">
        <f>IFERROR(__xludf.DUMMYFUNCTION("IMPORTRANGE(""https://docs.google.com/spreadsheets/d/1CaLR8gtRCp0-wyyH0y5IvQnenreOSKFOo8AF4Pfpekc/edit?gid=400822622#gid=400822622"", ""GRADE 12!Q""&amp;ROW(Q44))"),0.0)</f>
        <v>0</v>
      </c>
      <c r="T47" s="130">
        <f>IFERROR(__xludf.DUMMYFUNCTION("IMPORTRANGE(""https://docs.google.com/spreadsheets/d/1CaLR8gtRCp0-wyyH0y5IvQnenreOSKFOo8AF4Pfpekc/edit?gid=400822622#gid=400822622"", ""GRADE 12!R""&amp;ROW(R44))"),0.0)</f>
        <v>0</v>
      </c>
      <c r="U47" s="130" t="str">
        <f>IFERROR(__xludf.DUMMYFUNCTION("IMPORTRANGE(""https://docs.google.com/spreadsheets/d/1CaLR8gtRCp0-wyyH0y5IvQnenreOSKFOo8AF4Pfpekc/edit?gid=400822622#gid=400822622"", ""GRADE 12!S""&amp;ROW(S44))"),"")</f>
        <v/>
      </c>
      <c r="V47" s="131">
        <f>IFERROR(__xludf.DUMMYFUNCTION("IMPORTRANGE(""https://docs.google.com/spreadsheets/d/1CaLR8gtRCp0-wyyH0y5IvQnenreOSKFOo8AF4Pfpekc/edit?gid=400822622#gid=400822622"", ""GRADE 12!T""&amp;ROW(T44))"),8.0)</f>
        <v>8</v>
      </c>
      <c r="W47" s="132">
        <f>IFERROR(__xludf.DUMMYFUNCTION("IMPORTRANGE(""https://docs.google.com/spreadsheets/d/1CaLR8gtRCp0-wyyH0y5IvQnenreOSKFOo8AF4Pfpekc/edit?gid=400822622#gid=400822622"", ""GRADE 12!U""&amp;ROW(U44))"),0.0)</f>
        <v>0</v>
      </c>
      <c r="X47" s="61">
        <f>IFERROR(__xludf.DUMMYFUNCTION("IMPORTRANGE(""https://docs.google.com/spreadsheets/d/1CaLR8gtRCp0-wyyH0y5IvQnenreOSKFOo8AF4Pfpekc/edit?gid=400822622#gid=400822622"", ""GRADE 12!V""&amp;ROW(V44))"),0.0)</f>
        <v>0</v>
      </c>
    </row>
    <row r="48" ht="22.5" customHeight="1">
      <c r="A48" s="63" t="s">
        <v>178</v>
      </c>
      <c r="B48" s="64">
        <v>38.0</v>
      </c>
      <c r="C48" s="64" t="s">
        <v>253</v>
      </c>
      <c r="D48" s="65" t="s">
        <v>88</v>
      </c>
      <c r="E48" s="66" t="s">
        <v>254</v>
      </c>
      <c r="F48" s="66" t="s">
        <v>27</v>
      </c>
      <c r="G48" s="67">
        <v>23.0</v>
      </c>
      <c r="H48" s="67">
        <v>22.0</v>
      </c>
      <c r="I48" s="35">
        <f t="shared" si="1"/>
        <v>45</v>
      </c>
      <c r="J48" s="130">
        <f>IFERROR(__xludf.DUMMYFUNCTION("IMPORTRANGE(""https://docs.google.com/spreadsheets/d/1CaLR8gtRCp0-wyyH0y5IvQnenreOSKFOo8AF4Pfpekc/edit?gid=400822622#gid=400822622"", ""GRADE 12!H""&amp;ROW(H45))"),0.0)</f>
        <v>0</v>
      </c>
      <c r="K48" s="130">
        <f>IFERROR(__xludf.DUMMYFUNCTION("IMPORTRANGE(""https://docs.google.com/spreadsheets/d/1CaLR8gtRCp0-wyyH0y5IvQnenreOSKFOo8AF4Pfpekc/edit?gid=400822622#gid=400822622"", ""GRADE 12!I""&amp;ROW(I45))"),0.0)</f>
        <v>0</v>
      </c>
      <c r="L48" s="130">
        <f>IFERROR(__xludf.DUMMYFUNCTION("IMPORTRANGE(""https://docs.google.com/spreadsheets/d/1CaLR8gtRCp0-wyyH0y5IvQnenreOSKFOo8AF4Pfpekc/edit?gid=400822622#gid=400822622"", ""GRADE 12!J""&amp;ROW(J45))"),0.0)</f>
        <v>0</v>
      </c>
      <c r="M48" s="130">
        <f>IFERROR(__xludf.DUMMYFUNCTION("IMPORTRANGE(""https://docs.google.com/spreadsheets/d/1CaLR8gtRCp0-wyyH0y5IvQnenreOSKFOo8AF4Pfpekc/edit?gid=400822622#gid=400822622"", ""GRADE 12!K""&amp;ROW(K45))"),0.0)</f>
        <v>0</v>
      </c>
      <c r="N48" s="130">
        <f>IFERROR(__xludf.DUMMYFUNCTION("IMPORTRANGE(""https://docs.google.com/spreadsheets/d/1CaLR8gtRCp0-wyyH0y5IvQnenreOSKFOo8AF4Pfpekc/edit?gid=400822622#gid=400822622"", ""GRADE 12!L""&amp;ROW(L45))"),0.0)</f>
        <v>0</v>
      </c>
      <c r="O48" s="130">
        <f>IFERROR(__xludf.DUMMYFUNCTION("IMPORTRANGE(""https://docs.google.com/spreadsheets/d/1CaLR8gtRCp0-wyyH0y5IvQnenreOSKFOo8AF4Pfpekc/edit?gid=400822622#gid=400822622"", ""GRADE 12!M""&amp;ROW(M45))"),0.0)</f>
        <v>0</v>
      </c>
      <c r="P48" s="130" t="str">
        <f>IFERROR(__xludf.DUMMYFUNCTION("IMPORTRANGE(""https://docs.google.com/spreadsheets/d/1CaLR8gtRCp0-wyyH0y5IvQnenreOSKFOo8AF4Pfpekc/edit?gid=400822622#gid=400822622"", ""GRADE 12!N""&amp;ROW(N45))"),"")</f>
        <v/>
      </c>
      <c r="Q48" s="130" t="str">
        <f>IFERROR(__xludf.DUMMYFUNCTION("IMPORTRANGE(""https://docs.google.com/spreadsheets/d/1CaLR8gtRCp0-wyyH0y5IvQnenreOSKFOo8AF4Pfpekc/edit?gid=400822622#gid=400822622"", ""GRADE 12!O""&amp;ROW(O45))"),"")</f>
        <v/>
      </c>
      <c r="R48" s="130" t="str">
        <f>IFERROR(__xludf.DUMMYFUNCTION("IMPORTRANGE(""https://docs.google.com/spreadsheets/d/1CaLR8gtRCp0-wyyH0y5IvQnenreOSKFOo8AF4Pfpekc/edit?gid=400822622#gid=400822622"", ""GRADE 12!P""&amp;ROW(P45))"),"")</f>
        <v/>
      </c>
      <c r="S48" s="130">
        <f>IFERROR(__xludf.DUMMYFUNCTION("IMPORTRANGE(""https://docs.google.com/spreadsheets/d/1CaLR8gtRCp0-wyyH0y5IvQnenreOSKFOo8AF4Pfpekc/edit?gid=400822622#gid=400822622"", ""GRADE 12!Q""&amp;ROW(Q45))"),0.0)</f>
        <v>0</v>
      </c>
      <c r="T48" s="130">
        <f>IFERROR(__xludf.DUMMYFUNCTION("IMPORTRANGE(""https://docs.google.com/spreadsheets/d/1CaLR8gtRCp0-wyyH0y5IvQnenreOSKFOo8AF4Pfpekc/edit?gid=400822622#gid=400822622"", ""GRADE 12!R""&amp;ROW(R45))"),0.0)</f>
        <v>0</v>
      </c>
      <c r="U48" s="130" t="str">
        <f>IFERROR(__xludf.DUMMYFUNCTION("IMPORTRANGE(""https://docs.google.com/spreadsheets/d/1CaLR8gtRCp0-wyyH0y5IvQnenreOSKFOo8AF4Pfpekc/edit?gid=400822622#gid=400822622"", ""GRADE 12!S""&amp;ROW(S45))"),"")</f>
        <v/>
      </c>
      <c r="V48" s="131">
        <f>IFERROR(__xludf.DUMMYFUNCTION("IMPORTRANGE(""https://docs.google.com/spreadsheets/d/1CaLR8gtRCp0-wyyH0y5IvQnenreOSKFOo8AF4Pfpekc/edit?gid=400822622#gid=400822622"", ""GRADE 12!T""&amp;ROW(T45))"),8.0)</f>
        <v>8</v>
      </c>
      <c r="W48" s="132">
        <f>IFERROR(__xludf.DUMMYFUNCTION("IMPORTRANGE(""https://docs.google.com/spreadsheets/d/1CaLR8gtRCp0-wyyH0y5IvQnenreOSKFOo8AF4Pfpekc/edit?gid=400822622#gid=400822622"", ""GRADE 12!U""&amp;ROW(U45))"),0.0)</f>
        <v>0</v>
      </c>
      <c r="X48" s="61">
        <f>IFERROR(__xludf.DUMMYFUNCTION("IMPORTRANGE(""https://docs.google.com/spreadsheets/d/1CaLR8gtRCp0-wyyH0y5IvQnenreOSKFOo8AF4Pfpekc/edit?gid=400822622#gid=400822622"", ""GRADE 12!V""&amp;ROW(V45))"),0.0)</f>
        <v>0</v>
      </c>
    </row>
    <row r="49" ht="22.5" customHeight="1">
      <c r="A49" s="63" t="s">
        <v>178</v>
      </c>
      <c r="B49" s="64">
        <v>39.0</v>
      </c>
      <c r="C49" s="64" t="s">
        <v>255</v>
      </c>
      <c r="D49" s="65" t="s">
        <v>88</v>
      </c>
      <c r="E49" s="66" t="s">
        <v>256</v>
      </c>
      <c r="F49" s="66" t="s">
        <v>21</v>
      </c>
      <c r="G49" s="67">
        <v>23.0</v>
      </c>
      <c r="H49" s="67">
        <v>22.0</v>
      </c>
      <c r="I49" s="35">
        <f t="shared" si="1"/>
        <v>45</v>
      </c>
      <c r="J49" s="130">
        <f>IFERROR(__xludf.DUMMYFUNCTION("IMPORTRANGE(""https://docs.google.com/spreadsheets/d/1CaLR8gtRCp0-wyyH0y5IvQnenreOSKFOo8AF4Pfpekc/edit?gid=400822622#gid=400822622"", ""GRADE 12!H""&amp;ROW(H46))"),0.0)</f>
        <v>0</v>
      </c>
      <c r="K49" s="130">
        <f>IFERROR(__xludf.DUMMYFUNCTION("IMPORTRANGE(""https://docs.google.com/spreadsheets/d/1CaLR8gtRCp0-wyyH0y5IvQnenreOSKFOo8AF4Pfpekc/edit?gid=400822622#gid=400822622"", ""GRADE 12!I""&amp;ROW(I46))"),0.0)</f>
        <v>0</v>
      </c>
      <c r="L49" s="130">
        <f>IFERROR(__xludf.DUMMYFUNCTION("IMPORTRANGE(""https://docs.google.com/spreadsheets/d/1CaLR8gtRCp0-wyyH0y5IvQnenreOSKFOo8AF4Pfpekc/edit?gid=400822622#gid=400822622"", ""GRADE 12!J""&amp;ROW(J46))"),0.0)</f>
        <v>0</v>
      </c>
      <c r="M49" s="130">
        <f>IFERROR(__xludf.DUMMYFUNCTION("IMPORTRANGE(""https://docs.google.com/spreadsheets/d/1CaLR8gtRCp0-wyyH0y5IvQnenreOSKFOo8AF4Pfpekc/edit?gid=400822622#gid=400822622"", ""GRADE 12!K""&amp;ROW(K46))"),0.0)</f>
        <v>0</v>
      </c>
      <c r="N49" s="130">
        <f>IFERROR(__xludf.DUMMYFUNCTION("IMPORTRANGE(""https://docs.google.com/spreadsheets/d/1CaLR8gtRCp0-wyyH0y5IvQnenreOSKFOo8AF4Pfpekc/edit?gid=400822622#gid=400822622"", ""GRADE 12!L""&amp;ROW(L46))"),0.0)</f>
        <v>0</v>
      </c>
      <c r="O49" s="130">
        <f>IFERROR(__xludf.DUMMYFUNCTION("IMPORTRANGE(""https://docs.google.com/spreadsheets/d/1CaLR8gtRCp0-wyyH0y5IvQnenreOSKFOo8AF4Pfpekc/edit?gid=400822622#gid=400822622"", ""GRADE 12!M""&amp;ROW(M46))"),0.0)</f>
        <v>0</v>
      </c>
      <c r="P49" s="130" t="str">
        <f>IFERROR(__xludf.DUMMYFUNCTION("IMPORTRANGE(""https://docs.google.com/spreadsheets/d/1CaLR8gtRCp0-wyyH0y5IvQnenreOSKFOo8AF4Pfpekc/edit?gid=400822622#gid=400822622"", ""GRADE 12!N""&amp;ROW(N46))"),"")</f>
        <v/>
      </c>
      <c r="Q49" s="130" t="str">
        <f>IFERROR(__xludf.DUMMYFUNCTION("IMPORTRANGE(""https://docs.google.com/spreadsheets/d/1CaLR8gtRCp0-wyyH0y5IvQnenreOSKFOo8AF4Pfpekc/edit?gid=400822622#gid=400822622"", ""GRADE 12!O""&amp;ROW(O46))"),"")</f>
        <v/>
      </c>
      <c r="R49" s="130" t="str">
        <f>IFERROR(__xludf.DUMMYFUNCTION("IMPORTRANGE(""https://docs.google.com/spreadsheets/d/1CaLR8gtRCp0-wyyH0y5IvQnenreOSKFOo8AF4Pfpekc/edit?gid=400822622#gid=400822622"", ""GRADE 12!P""&amp;ROW(P46))"),"")</f>
        <v/>
      </c>
      <c r="S49" s="130">
        <f>IFERROR(__xludf.DUMMYFUNCTION("IMPORTRANGE(""https://docs.google.com/spreadsheets/d/1CaLR8gtRCp0-wyyH0y5IvQnenreOSKFOo8AF4Pfpekc/edit?gid=400822622#gid=400822622"", ""GRADE 12!Q""&amp;ROW(Q46))"),0.0)</f>
        <v>0</v>
      </c>
      <c r="T49" s="130">
        <f>IFERROR(__xludf.DUMMYFUNCTION("IMPORTRANGE(""https://docs.google.com/spreadsheets/d/1CaLR8gtRCp0-wyyH0y5IvQnenreOSKFOo8AF4Pfpekc/edit?gid=400822622#gid=400822622"", ""GRADE 12!R""&amp;ROW(R46))"),0.0)</f>
        <v>0</v>
      </c>
      <c r="U49" s="130" t="str">
        <f>IFERROR(__xludf.DUMMYFUNCTION("IMPORTRANGE(""https://docs.google.com/spreadsheets/d/1CaLR8gtRCp0-wyyH0y5IvQnenreOSKFOo8AF4Pfpekc/edit?gid=400822622#gid=400822622"", ""GRADE 12!S""&amp;ROW(S46))"),"")</f>
        <v/>
      </c>
      <c r="V49" s="131">
        <f>IFERROR(__xludf.DUMMYFUNCTION("IMPORTRANGE(""https://docs.google.com/spreadsheets/d/1CaLR8gtRCp0-wyyH0y5IvQnenreOSKFOo8AF4Pfpekc/edit?gid=400822622#gid=400822622"", ""GRADE 12!T""&amp;ROW(T46))"),8.0)</f>
        <v>8</v>
      </c>
      <c r="W49" s="132">
        <f>IFERROR(__xludf.DUMMYFUNCTION("IMPORTRANGE(""https://docs.google.com/spreadsheets/d/1CaLR8gtRCp0-wyyH0y5IvQnenreOSKFOo8AF4Pfpekc/edit?gid=400822622#gid=400822622"", ""GRADE 12!U""&amp;ROW(U46))"),0.0)</f>
        <v>0</v>
      </c>
      <c r="X49" s="61">
        <f>IFERROR(__xludf.DUMMYFUNCTION("IMPORTRANGE(""https://docs.google.com/spreadsheets/d/1CaLR8gtRCp0-wyyH0y5IvQnenreOSKFOo8AF4Pfpekc/edit?gid=400822622#gid=400822622"", ""GRADE 12!V""&amp;ROW(V46))"),0.0)</f>
        <v>0</v>
      </c>
    </row>
    <row r="50" ht="22.5" customHeight="1">
      <c r="A50" s="63" t="s">
        <v>178</v>
      </c>
      <c r="B50" s="64">
        <v>40.0</v>
      </c>
      <c r="C50" s="64" t="s">
        <v>257</v>
      </c>
      <c r="D50" s="65" t="s">
        <v>88</v>
      </c>
      <c r="E50" s="66" t="s">
        <v>258</v>
      </c>
      <c r="F50" s="66" t="s">
        <v>55</v>
      </c>
      <c r="G50" s="67">
        <v>23.0</v>
      </c>
      <c r="H50" s="67">
        <v>22.0</v>
      </c>
      <c r="I50" s="35">
        <f t="shared" si="1"/>
        <v>45</v>
      </c>
      <c r="J50" s="130">
        <f>IFERROR(__xludf.DUMMYFUNCTION("IMPORTRANGE(""https://docs.google.com/spreadsheets/d/1CaLR8gtRCp0-wyyH0y5IvQnenreOSKFOo8AF4Pfpekc/edit?gid=400822622#gid=400822622"", ""GRADE 12!H""&amp;ROW(H47))"),0.0)</f>
        <v>0</v>
      </c>
      <c r="K50" s="130">
        <f>IFERROR(__xludf.DUMMYFUNCTION("IMPORTRANGE(""https://docs.google.com/spreadsheets/d/1CaLR8gtRCp0-wyyH0y5IvQnenreOSKFOo8AF4Pfpekc/edit?gid=400822622#gid=400822622"", ""GRADE 12!I""&amp;ROW(I47))"),0.0)</f>
        <v>0</v>
      </c>
      <c r="L50" s="130">
        <f>IFERROR(__xludf.DUMMYFUNCTION("IMPORTRANGE(""https://docs.google.com/spreadsheets/d/1CaLR8gtRCp0-wyyH0y5IvQnenreOSKFOo8AF4Pfpekc/edit?gid=400822622#gid=400822622"", ""GRADE 12!J""&amp;ROW(J47))"),0.0)</f>
        <v>0</v>
      </c>
      <c r="M50" s="130">
        <f>IFERROR(__xludf.DUMMYFUNCTION("IMPORTRANGE(""https://docs.google.com/spreadsheets/d/1CaLR8gtRCp0-wyyH0y5IvQnenreOSKFOo8AF4Pfpekc/edit?gid=400822622#gid=400822622"", ""GRADE 12!K""&amp;ROW(K47))"),0.0)</f>
        <v>0</v>
      </c>
      <c r="N50" s="130">
        <f>IFERROR(__xludf.DUMMYFUNCTION("IMPORTRANGE(""https://docs.google.com/spreadsheets/d/1CaLR8gtRCp0-wyyH0y5IvQnenreOSKFOo8AF4Pfpekc/edit?gid=400822622#gid=400822622"", ""GRADE 12!L""&amp;ROW(L47))"),0.0)</f>
        <v>0</v>
      </c>
      <c r="O50" s="130">
        <f>IFERROR(__xludf.DUMMYFUNCTION("IMPORTRANGE(""https://docs.google.com/spreadsheets/d/1CaLR8gtRCp0-wyyH0y5IvQnenreOSKFOo8AF4Pfpekc/edit?gid=400822622#gid=400822622"", ""GRADE 12!M""&amp;ROW(M47))"),0.0)</f>
        <v>0</v>
      </c>
      <c r="P50" s="130" t="str">
        <f>IFERROR(__xludf.DUMMYFUNCTION("IMPORTRANGE(""https://docs.google.com/spreadsheets/d/1CaLR8gtRCp0-wyyH0y5IvQnenreOSKFOo8AF4Pfpekc/edit?gid=400822622#gid=400822622"", ""GRADE 12!N""&amp;ROW(N47))"),"")</f>
        <v/>
      </c>
      <c r="Q50" s="130" t="str">
        <f>IFERROR(__xludf.DUMMYFUNCTION("IMPORTRANGE(""https://docs.google.com/spreadsheets/d/1CaLR8gtRCp0-wyyH0y5IvQnenreOSKFOo8AF4Pfpekc/edit?gid=400822622#gid=400822622"", ""GRADE 12!O""&amp;ROW(O47))"),"")</f>
        <v/>
      </c>
      <c r="R50" s="130" t="str">
        <f>IFERROR(__xludf.DUMMYFUNCTION("IMPORTRANGE(""https://docs.google.com/spreadsheets/d/1CaLR8gtRCp0-wyyH0y5IvQnenreOSKFOo8AF4Pfpekc/edit?gid=400822622#gid=400822622"", ""GRADE 12!P""&amp;ROW(P47))"),"")</f>
        <v/>
      </c>
      <c r="S50" s="130">
        <f>IFERROR(__xludf.DUMMYFUNCTION("IMPORTRANGE(""https://docs.google.com/spreadsheets/d/1CaLR8gtRCp0-wyyH0y5IvQnenreOSKFOo8AF4Pfpekc/edit?gid=400822622#gid=400822622"", ""GRADE 12!Q""&amp;ROW(Q47))"),0.0)</f>
        <v>0</v>
      </c>
      <c r="T50" s="130">
        <f>IFERROR(__xludf.DUMMYFUNCTION("IMPORTRANGE(""https://docs.google.com/spreadsheets/d/1CaLR8gtRCp0-wyyH0y5IvQnenreOSKFOo8AF4Pfpekc/edit?gid=400822622#gid=400822622"", ""GRADE 12!R""&amp;ROW(R47))"),0.0)</f>
        <v>0</v>
      </c>
      <c r="U50" s="130" t="str">
        <f>IFERROR(__xludf.DUMMYFUNCTION("IMPORTRANGE(""https://docs.google.com/spreadsheets/d/1CaLR8gtRCp0-wyyH0y5IvQnenreOSKFOo8AF4Pfpekc/edit?gid=400822622#gid=400822622"", ""GRADE 12!S""&amp;ROW(S47))"),"")</f>
        <v/>
      </c>
      <c r="V50" s="131">
        <f>IFERROR(__xludf.DUMMYFUNCTION("IMPORTRANGE(""https://docs.google.com/spreadsheets/d/1CaLR8gtRCp0-wyyH0y5IvQnenreOSKFOo8AF4Pfpekc/edit?gid=400822622#gid=400822622"", ""GRADE 12!T""&amp;ROW(T47))"),8.0)</f>
        <v>8</v>
      </c>
      <c r="W50" s="132">
        <f>IFERROR(__xludf.DUMMYFUNCTION("IMPORTRANGE(""https://docs.google.com/spreadsheets/d/1CaLR8gtRCp0-wyyH0y5IvQnenreOSKFOo8AF4Pfpekc/edit?gid=400822622#gid=400822622"", ""GRADE 12!U""&amp;ROW(U47))"),0.0)</f>
        <v>0</v>
      </c>
      <c r="X50" s="61">
        <f>IFERROR(__xludf.DUMMYFUNCTION("IMPORTRANGE(""https://docs.google.com/spreadsheets/d/1CaLR8gtRCp0-wyyH0y5IvQnenreOSKFOo8AF4Pfpekc/edit?gid=400822622#gid=400822622"", ""GRADE 12!V""&amp;ROW(V47))"),0.0)</f>
        <v>0</v>
      </c>
    </row>
    <row r="51" ht="22.5" customHeight="1">
      <c r="A51" s="63" t="s">
        <v>178</v>
      </c>
      <c r="B51" s="64">
        <v>41.0</v>
      </c>
      <c r="C51" s="64" t="s">
        <v>259</v>
      </c>
      <c r="D51" s="65" t="s">
        <v>88</v>
      </c>
      <c r="E51" s="66" t="s">
        <v>260</v>
      </c>
      <c r="F51" s="66" t="s">
        <v>27</v>
      </c>
      <c r="G51" s="67">
        <v>21.0</v>
      </c>
      <c r="H51" s="67">
        <v>25.0</v>
      </c>
      <c r="I51" s="35">
        <f t="shared" si="1"/>
        <v>46</v>
      </c>
      <c r="J51" s="130" t="str">
        <f>IFERROR(__xludf.DUMMYFUNCTION("IMPORTRANGE(""https://docs.google.com/spreadsheets/d/1CaLR8gtRCp0-wyyH0y5IvQnenreOSKFOo8AF4Pfpekc/edit?gid=400822622#gid=400822622"", ""GRADE 12!H""&amp;ROW(H48))"),"")</f>
        <v/>
      </c>
      <c r="K51" s="130" t="str">
        <f>IFERROR(__xludf.DUMMYFUNCTION("IMPORTRANGE(""https://docs.google.com/spreadsheets/d/1CaLR8gtRCp0-wyyH0y5IvQnenreOSKFOo8AF4Pfpekc/edit?gid=400822622#gid=400822622"", ""GRADE 12!I""&amp;ROW(I48))"),"")</f>
        <v/>
      </c>
      <c r="L51" s="130" t="str">
        <f>IFERROR(__xludf.DUMMYFUNCTION("IMPORTRANGE(""https://docs.google.com/spreadsheets/d/1CaLR8gtRCp0-wyyH0y5IvQnenreOSKFOo8AF4Pfpekc/edit?gid=400822622#gid=400822622"", ""GRADE 12!J""&amp;ROW(J48))"),"")</f>
        <v/>
      </c>
      <c r="M51" s="130">
        <f>IFERROR(__xludf.DUMMYFUNCTION("IMPORTRANGE(""https://docs.google.com/spreadsheets/d/1CaLR8gtRCp0-wyyH0y5IvQnenreOSKFOo8AF4Pfpekc/edit?gid=400822622#gid=400822622"", ""GRADE 12!K""&amp;ROW(K48))"),0.0)</f>
        <v>0</v>
      </c>
      <c r="N51" s="130">
        <f>IFERROR(__xludf.DUMMYFUNCTION("IMPORTRANGE(""https://docs.google.com/spreadsheets/d/1CaLR8gtRCp0-wyyH0y5IvQnenreOSKFOo8AF4Pfpekc/edit?gid=400822622#gid=400822622"", ""GRADE 12!L""&amp;ROW(L48))"),0.0)</f>
        <v>0</v>
      </c>
      <c r="O51" s="130" t="str">
        <f>IFERROR(__xludf.DUMMYFUNCTION("IMPORTRANGE(""https://docs.google.com/spreadsheets/d/1CaLR8gtRCp0-wyyH0y5IvQnenreOSKFOo8AF4Pfpekc/edit?gid=400822622#gid=400822622"", ""GRADE 12!M""&amp;ROW(M48))"),"")</f>
        <v/>
      </c>
      <c r="P51" s="130">
        <f>IFERROR(__xludf.DUMMYFUNCTION("IMPORTRANGE(""https://docs.google.com/spreadsheets/d/1CaLR8gtRCp0-wyyH0y5IvQnenreOSKFOo8AF4Pfpekc/edit?gid=400822622#gid=400822622"", ""GRADE 12!N""&amp;ROW(N48))"),0.0)</f>
        <v>0</v>
      </c>
      <c r="Q51" s="130">
        <f>IFERROR(__xludf.DUMMYFUNCTION("IMPORTRANGE(""https://docs.google.com/spreadsheets/d/1CaLR8gtRCp0-wyyH0y5IvQnenreOSKFOo8AF4Pfpekc/edit?gid=400822622#gid=400822622"", ""GRADE 12!O""&amp;ROW(O48))"),0.0)</f>
        <v>0</v>
      </c>
      <c r="R51" s="130">
        <f>IFERROR(__xludf.DUMMYFUNCTION("IMPORTRANGE(""https://docs.google.com/spreadsheets/d/1CaLR8gtRCp0-wyyH0y5IvQnenreOSKFOo8AF4Pfpekc/edit?gid=400822622#gid=400822622"", ""GRADE 12!P""&amp;ROW(P48))"),0.0)</f>
        <v>0</v>
      </c>
      <c r="S51" s="130">
        <f>IFERROR(__xludf.DUMMYFUNCTION("IMPORTRANGE(""https://docs.google.com/spreadsheets/d/1CaLR8gtRCp0-wyyH0y5IvQnenreOSKFOo8AF4Pfpekc/edit?gid=400822622#gid=400822622"", ""GRADE 12!Q""&amp;ROW(Q48))"),0.0)</f>
        <v>0</v>
      </c>
      <c r="T51" s="130">
        <f>IFERROR(__xludf.DUMMYFUNCTION("IMPORTRANGE(""https://docs.google.com/spreadsheets/d/1CaLR8gtRCp0-wyyH0y5IvQnenreOSKFOo8AF4Pfpekc/edit?gid=400822622#gid=400822622"", ""GRADE 12!R""&amp;ROW(R48))"),0.0)</f>
        <v>0</v>
      </c>
      <c r="U51" s="130" t="str">
        <f>IFERROR(__xludf.DUMMYFUNCTION("IMPORTRANGE(""https://docs.google.com/spreadsheets/d/1CaLR8gtRCp0-wyyH0y5IvQnenreOSKFOo8AF4Pfpekc/edit?gid=400822622#gid=400822622"", ""GRADE 12!S""&amp;ROW(S48))"),"")</f>
        <v/>
      </c>
      <c r="V51" s="131">
        <f>IFERROR(__xludf.DUMMYFUNCTION("IMPORTRANGE(""https://docs.google.com/spreadsheets/d/1CaLR8gtRCp0-wyyH0y5IvQnenreOSKFOo8AF4Pfpekc/edit?gid=400822622#gid=400822622"", ""GRADE 12!T""&amp;ROW(T48))"),7.0)</f>
        <v>7</v>
      </c>
      <c r="W51" s="132">
        <f>IFERROR(__xludf.DUMMYFUNCTION("IMPORTRANGE(""https://docs.google.com/spreadsheets/d/1CaLR8gtRCp0-wyyH0y5IvQnenreOSKFOo8AF4Pfpekc/edit?gid=400822622#gid=400822622"", ""GRADE 12!U""&amp;ROW(U48))"),0.0)</f>
        <v>0</v>
      </c>
      <c r="X51" s="61">
        <f>IFERROR(__xludf.DUMMYFUNCTION("IMPORTRANGE(""https://docs.google.com/spreadsheets/d/1CaLR8gtRCp0-wyyH0y5IvQnenreOSKFOo8AF4Pfpekc/edit?gid=400822622#gid=400822622"", ""GRADE 12!V""&amp;ROW(V48))"),0.0)</f>
        <v>0</v>
      </c>
    </row>
    <row r="52" ht="22.5" customHeight="1">
      <c r="A52" s="63" t="s">
        <v>178</v>
      </c>
      <c r="B52" s="64">
        <v>42.0</v>
      </c>
      <c r="C52" s="64" t="s">
        <v>261</v>
      </c>
      <c r="D52" s="65" t="s">
        <v>88</v>
      </c>
      <c r="E52" s="66" t="s">
        <v>262</v>
      </c>
      <c r="F52" s="66" t="s">
        <v>55</v>
      </c>
      <c r="G52" s="67">
        <v>22.0</v>
      </c>
      <c r="H52" s="67">
        <v>22.0</v>
      </c>
      <c r="I52" s="35">
        <f t="shared" si="1"/>
        <v>44</v>
      </c>
      <c r="J52" s="130" t="str">
        <f>IFERROR(__xludf.DUMMYFUNCTION("IMPORTRANGE(""https://docs.google.com/spreadsheets/d/1CaLR8gtRCp0-wyyH0y5IvQnenreOSKFOo8AF4Pfpekc/edit?gid=400822622#gid=400822622"", ""GRADE 12!H""&amp;ROW(H49))"),"")</f>
        <v/>
      </c>
      <c r="K52" s="130" t="str">
        <f>IFERROR(__xludf.DUMMYFUNCTION("IMPORTRANGE(""https://docs.google.com/spreadsheets/d/1CaLR8gtRCp0-wyyH0y5IvQnenreOSKFOo8AF4Pfpekc/edit?gid=400822622#gid=400822622"", ""GRADE 12!I""&amp;ROW(I49))"),"")</f>
        <v/>
      </c>
      <c r="L52" s="130" t="str">
        <f>IFERROR(__xludf.DUMMYFUNCTION("IMPORTRANGE(""https://docs.google.com/spreadsheets/d/1CaLR8gtRCp0-wyyH0y5IvQnenreOSKFOo8AF4Pfpekc/edit?gid=400822622#gid=400822622"", ""GRADE 12!J""&amp;ROW(J49))"),"")</f>
        <v/>
      </c>
      <c r="M52" s="130">
        <f>IFERROR(__xludf.DUMMYFUNCTION("IMPORTRANGE(""https://docs.google.com/spreadsheets/d/1CaLR8gtRCp0-wyyH0y5IvQnenreOSKFOo8AF4Pfpekc/edit?gid=400822622#gid=400822622"", ""GRADE 12!K""&amp;ROW(K49))"),0.0)</f>
        <v>0</v>
      </c>
      <c r="N52" s="130">
        <f>IFERROR(__xludf.DUMMYFUNCTION("IMPORTRANGE(""https://docs.google.com/spreadsheets/d/1CaLR8gtRCp0-wyyH0y5IvQnenreOSKFOo8AF4Pfpekc/edit?gid=400822622#gid=400822622"", ""GRADE 12!L""&amp;ROW(L49))"),0.0)</f>
        <v>0</v>
      </c>
      <c r="O52" s="130" t="str">
        <f>IFERROR(__xludf.DUMMYFUNCTION("IMPORTRANGE(""https://docs.google.com/spreadsheets/d/1CaLR8gtRCp0-wyyH0y5IvQnenreOSKFOo8AF4Pfpekc/edit?gid=400822622#gid=400822622"", ""GRADE 12!M""&amp;ROW(M49))"),"")</f>
        <v/>
      </c>
      <c r="P52" s="130">
        <f>IFERROR(__xludf.DUMMYFUNCTION("IMPORTRANGE(""https://docs.google.com/spreadsheets/d/1CaLR8gtRCp0-wyyH0y5IvQnenreOSKFOo8AF4Pfpekc/edit?gid=400822622#gid=400822622"", ""GRADE 12!N""&amp;ROW(N49))"),0.0)</f>
        <v>0</v>
      </c>
      <c r="Q52" s="130">
        <f>IFERROR(__xludf.DUMMYFUNCTION("IMPORTRANGE(""https://docs.google.com/spreadsheets/d/1CaLR8gtRCp0-wyyH0y5IvQnenreOSKFOo8AF4Pfpekc/edit?gid=400822622#gid=400822622"", ""GRADE 12!O""&amp;ROW(O49))"),0.0)</f>
        <v>0</v>
      </c>
      <c r="R52" s="130">
        <f>IFERROR(__xludf.DUMMYFUNCTION("IMPORTRANGE(""https://docs.google.com/spreadsheets/d/1CaLR8gtRCp0-wyyH0y5IvQnenreOSKFOo8AF4Pfpekc/edit?gid=400822622#gid=400822622"", ""GRADE 12!P""&amp;ROW(P49))"),0.0)</f>
        <v>0</v>
      </c>
      <c r="S52" s="130">
        <f>IFERROR(__xludf.DUMMYFUNCTION("IMPORTRANGE(""https://docs.google.com/spreadsheets/d/1CaLR8gtRCp0-wyyH0y5IvQnenreOSKFOo8AF4Pfpekc/edit?gid=400822622#gid=400822622"", ""GRADE 12!Q""&amp;ROW(Q49))"),0.0)</f>
        <v>0</v>
      </c>
      <c r="T52" s="130">
        <f>IFERROR(__xludf.DUMMYFUNCTION("IMPORTRANGE(""https://docs.google.com/spreadsheets/d/1CaLR8gtRCp0-wyyH0y5IvQnenreOSKFOo8AF4Pfpekc/edit?gid=400822622#gid=400822622"", ""GRADE 12!R""&amp;ROW(R49))"),0.0)</f>
        <v>0</v>
      </c>
      <c r="U52" s="130" t="str">
        <f>IFERROR(__xludf.DUMMYFUNCTION("IMPORTRANGE(""https://docs.google.com/spreadsheets/d/1CaLR8gtRCp0-wyyH0y5IvQnenreOSKFOo8AF4Pfpekc/edit?gid=400822622#gid=400822622"", ""GRADE 12!S""&amp;ROW(S49))"),"")</f>
        <v/>
      </c>
      <c r="V52" s="131">
        <f>IFERROR(__xludf.DUMMYFUNCTION("IMPORTRANGE(""https://docs.google.com/spreadsheets/d/1CaLR8gtRCp0-wyyH0y5IvQnenreOSKFOo8AF4Pfpekc/edit?gid=400822622#gid=400822622"", ""GRADE 12!T""&amp;ROW(T49))"),7.0)</f>
        <v>7</v>
      </c>
      <c r="W52" s="132">
        <f>IFERROR(__xludf.DUMMYFUNCTION("IMPORTRANGE(""https://docs.google.com/spreadsheets/d/1CaLR8gtRCp0-wyyH0y5IvQnenreOSKFOo8AF4Pfpekc/edit?gid=400822622#gid=400822622"", ""GRADE 12!U""&amp;ROW(U49))"),0.0)</f>
        <v>0</v>
      </c>
      <c r="X52" s="61">
        <f>IFERROR(__xludf.DUMMYFUNCTION("IMPORTRANGE(""https://docs.google.com/spreadsheets/d/1CaLR8gtRCp0-wyyH0y5IvQnenreOSKFOo8AF4Pfpekc/edit?gid=400822622#gid=400822622"", ""GRADE 12!V""&amp;ROW(V49))"),0.0)</f>
        <v>0</v>
      </c>
    </row>
    <row r="53" ht="22.5" customHeight="1">
      <c r="A53" s="63" t="s">
        <v>178</v>
      </c>
      <c r="B53" s="64">
        <v>43.0</v>
      </c>
      <c r="C53" s="64" t="s">
        <v>263</v>
      </c>
      <c r="D53" s="65" t="s">
        <v>88</v>
      </c>
      <c r="E53" s="66" t="s">
        <v>264</v>
      </c>
      <c r="F53" s="66" t="s">
        <v>21</v>
      </c>
      <c r="G53" s="67">
        <v>23.0</v>
      </c>
      <c r="H53" s="67">
        <v>20.0</v>
      </c>
      <c r="I53" s="35">
        <f t="shared" si="1"/>
        <v>43</v>
      </c>
      <c r="J53" s="130" t="str">
        <f>IFERROR(__xludf.DUMMYFUNCTION("IMPORTRANGE(""https://docs.google.com/spreadsheets/d/1CaLR8gtRCp0-wyyH0y5IvQnenreOSKFOo8AF4Pfpekc/edit?gid=400822622#gid=400822622"", ""GRADE 12!H""&amp;ROW(H50))"),"")</f>
        <v/>
      </c>
      <c r="K53" s="130" t="str">
        <f>IFERROR(__xludf.DUMMYFUNCTION("IMPORTRANGE(""https://docs.google.com/spreadsheets/d/1CaLR8gtRCp0-wyyH0y5IvQnenreOSKFOo8AF4Pfpekc/edit?gid=400822622#gid=400822622"", ""GRADE 12!I""&amp;ROW(I50))"),"")</f>
        <v/>
      </c>
      <c r="L53" s="130" t="str">
        <f>IFERROR(__xludf.DUMMYFUNCTION("IMPORTRANGE(""https://docs.google.com/spreadsheets/d/1CaLR8gtRCp0-wyyH0y5IvQnenreOSKFOo8AF4Pfpekc/edit?gid=400822622#gid=400822622"", ""GRADE 12!J""&amp;ROW(J50))"),"")</f>
        <v/>
      </c>
      <c r="M53" s="130">
        <f>IFERROR(__xludf.DUMMYFUNCTION("IMPORTRANGE(""https://docs.google.com/spreadsheets/d/1CaLR8gtRCp0-wyyH0y5IvQnenreOSKFOo8AF4Pfpekc/edit?gid=400822622#gid=400822622"", ""GRADE 12!K""&amp;ROW(K50))"),0.0)</f>
        <v>0</v>
      </c>
      <c r="N53" s="130">
        <f>IFERROR(__xludf.DUMMYFUNCTION("IMPORTRANGE(""https://docs.google.com/spreadsheets/d/1CaLR8gtRCp0-wyyH0y5IvQnenreOSKFOo8AF4Pfpekc/edit?gid=400822622#gid=400822622"", ""GRADE 12!L""&amp;ROW(L50))"),0.0)</f>
        <v>0</v>
      </c>
      <c r="O53" s="130" t="str">
        <f>IFERROR(__xludf.DUMMYFUNCTION("IMPORTRANGE(""https://docs.google.com/spreadsheets/d/1CaLR8gtRCp0-wyyH0y5IvQnenreOSKFOo8AF4Pfpekc/edit?gid=400822622#gid=400822622"", ""GRADE 12!M""&amp;ROW(M50))"),"")</f>
        <v/>
      </c>
      <c r="P53" s="130">
        <f>IFERROR(__xludf.DUMMYFUNCTION("IMPORTRANGE(""https://docs.google.com/spreadsheets/d/1CaLR8gtRCp0-wyyH0y5IvQnenreOSKFOo8AF4Pfpekc/edit?gid=400822622#gid=400822622"", ""GRADE 12!N""&amp;ROW(N50))"),0.0)</f>
        <v>0</v>
      </c>
      <c r="Q53" s="130">
        <f>IFERROR(__xludf.DUMMYFUNCTION("IMPORTRANGE(""https://docs.google.com/spreadsheets/d/1CaLR8gtRCp0-wyyH0y5IvQnenreOSKFOo8AF4Pfpekc/edit?gid=400822622#gid=400822622"", ""GRADE 12!O""&amp;ROW(O50))"),0.0)</f>
        <v>0</v>
      </c>
      <c r="R53" s="130">
        <f>IFERROR(__xludf.DUMMYFUNCTION("IMPORTRANGE(""https://docs.google.com/spreadsheets/d/1CaLR8gtRCp0-wyyH0y5IvQnenreOSKFOo8AF4Pfpekc/edit?gid=400822622#gid=400822622"", ""GRADE 12!P""&amp;ROW(P50))"),0.0)</f>
        <v>0</v>
      </c>
      <c r="S53" s="130">
        <f>IFERROR(__xludf.DUMMYFUNCTION("IMPORTRANGE(""https://docs.google.com/spreadsheets/d/1CaLR8gtRCp0-wyyH0y5IvQnenreOSKFOo8AF4Pfpekc/edit?gid=400822622#gid=400822622"", ""GRADE 12!Q""&amp;ROW(Q50))"),0.0)</f>
        <v>0</v>
      </c>
      <c r="T53" s="130">
        <f>IFERROR(__xludf.DUMMYFUNCTION("IMPORTRANGE(""https://docs.google.com/spreadsheets/d/1CaLR8gtRCp0-wyyH0y5IvQnenreOSKFOo8AF4Pfpekc/edit?gid=400822622#gid=400822622"", ""GRADE 12!R""&amp;ROW(R50))"),0.0)</f>
        <v>0</v>
      </c>
      <c r="U53" s="130" t="str">
        <f>IFERROR(__xludf.DUMMYFUNCTION("IMPORTRANGE(""https://docs.google.com/spreadsheets/d/1CaLR8gtRCp0-wyyH0y5IvQnenreOSKFOo8AF4Pfpekc/edit?gid=400822622#gid=400822622"", ""GRADE 12!S""&amp;ROW(S50))"),"")</f>
        <v/>
      </c>
      <c r="V53" s="131">
        <f>IFERROR(__xludf.DUMMYFUNCTION("IMPORTRANGE(""https://docs.google.com/spreadsheets/d/1CaLR8gtRCp0-wyyH0y5IvQnenreOSKFOo8AF4Pfpekc/edit?gid=400822622#gid=400822622"", ""GRADE 12!T""&amp;ROW(T50))"),7.0)</f>
        <v>7</v>
      </c>
      <c r="W53" s="132">
        <f>IFERROR(__xludf.DUMMYFUNCTION("IMPORTRANGE(""https://docs.google.com/spreadsheets/d/1CaLR8gtRCp0-wyyH0y5IvQnenreOSKFOo8AF4Pfpekc/edit?gid=400822622#gid=400822622"", ""GRADE 12!U""&amp;ROW(U50))"),0.0)</f>
        <v>0</v>
      </c>
      <c r="X53" s="61">
        <f>IFERROR(__xludf.DUMMYFUNCTION("IMPORTRANGE(""https://docs.google.com/spreadsheets/d/1CaLR8gtRCp0-wyyH0y5IvQnenreOSKFOo8AF4Pfpekc/edit?gid=400822622#gid=400822622"", ""GRADE 12!V""&amp;ROW(V50))"),0.0)</f>
        <v>0</v>
      </c>
    </row>
    <row r="54" ht="22.5" customHeight="1">
      <c r="A54" s="63" t="s">
        <v>178</v>
      </c>
      <c r="B54" s="64">
        <v>44.0</v>
      </c>
      <c r="C54" s="64" t="s">
        <v>265</v>
      </c>
      <c r="D54" s="65" t="s">
        <v>88</v>
      </c>
      <c r="E54" s="66" t="s">
        <v>266</v>
      </c>
      <c r="F54" s="66" t="s">
        <v>43</v>
      </c>
      <c r="G54" s="67">
        <v>22.0</v>
      </c>
      <c r="H54" s="67">
        <v>20.0</v>
      </c>
      <c r="I54" s="35">
        <f t="shared" si="1"/>
        <v>42</v>
      </c>
      <c r="J54" s="130" t="str">
        <f>IFERROR(__xludf.DUMMYFUNCTION("IMPORTRANGE(""https://docs.google.com/spreadsheets/d/1CaLR8gtRCp0-wyyH0y5IvQnenreOSKFOo8AF4Pfpekc/edit?gid=400822622#gid=400822622"", ""GRADE 12!H""&amp;ROW(H51))"),"")</f>
        <v/>
      </c>
      <c r="K54" s="130" t="str">
        <f>IFERROR(__xludf.DUMMYFUNCTION("IMPORTRANGE(""https://docs.google.com/spreadsheets/d/1CaLR8gtRCp0-wyyH0y5IvQnenreOSKFOo8AF4Pfpekc/edit?gid=400822622#gid=400822622"", ""GRADE 12!I""&amp;ROW(I51))"),"")</f>
        <v/>
      </c>
      <c r="L54" s="130" t="str">
        <f>IFERROR(__xludf.DUMMYFUNCTION("IMPORTRANGE(""https://docs.google.com/spreadsheets/d/1CaLR8gtRCp0-wyyH0y5IvQnenreOSKFOo8AF4Pfpekc/edit?gid=400822622#gid=400822622"", ""GRADE 12!J""&amp;ROW(J51))"),"")</f>
        <v/>
      </c>
      <c r="M54" s="130">
        <f>IFERROR(__xludf.DUMMYFUNCTION("IMPORTRANGE(""https://docs.google.com/spreadsheets/d/1CaLR8gtRCp0-wyyH0y5IvQnenreOSKFOo8AF4Pfpekc/edit?gid=400822622#gid=400822622"", ""GRADE 12!K""&amp;ROW(K51))"),0.0)</f>
        <v>0</v>
      </c>
      <c r="N54" s="130">
        <f>IFERROR(__xludf.DUMMYFUNCTION("IMPORTRANGE(""https://docs.google.com/spreadsheets/d/1CaLR8gtRCp0-wyyH0y5IvQnenreOSKFOo8AF4Pfpekc/edit?gid=400822622#gid=400822622"", ""GRADE 12!L""&amp;ROW(L51))"),0.0)</f>
        <v>0</v>
      </c>
      <c r="O54" s="130" t="str">
        <f>IFERROR(__xludf.DUMMYFUNCTION("IMPORTRANGE(""https://docs.google.com/spreadsheets/d/1CaLR8gtRCp0-wyyH0y5IvQnenreOSKFOo8AF4Pfpekc/edit?gid=400822622#gid=400822622"", ""GRADE 12!M""&amp;ROW(M51))"),"")</f>
        <v/>
      </c>
      <c r="P54" s="130">
        <f>IFERROR(__xludf.DUMMYFUNCTION("IMPORTRANGE(""https://docs.google.com/spreadsheets/d/1CaLR8gtRCp0-wyyH0y5IvQnenreOSKFOo8AF4Pfpekc/edit?gid=400822622#gid=400822622"", ""GRADE 12!N""&amp;ROW(N51))"),0.0)</f>
        <v>0</v>
      </c>
      <c r="Q54" s="130">
        <f>IFERROR(__xludf.DUMMYFUNCTION("IMPORTRANGE(""https://docs.google.com/spreadsheets/d/1CaLR8gtRCp0-wyyH0y5IvQnenreOSKFOo8AF4Pfpekc/edit?gid=400822622#gid=400822622"", ""GRADE 12!O""&amp;ROW(O51))"),0.0)</f>
        <v>0</v>
      </c>
      <c r="R54" s="130">
        <f>IFERROR(__xludf.DUMMYFUNCTION("IMPORTRANGE(""https://docs.google.com/spreadsheets/d/1CaLR8gtRCp0-wyyH0y5IvQnenreOSKFOo8AF4Pfpekc/edit?gid=400822622#gid=400822622"", ""GRADE 12!P""&amp;ROW(P51))"),0.0)</f>
        <v>0</v>
      </c>
      <c r="S54" s="130">
        <f>IFERROR(__xludf.DUMMYFUNCTION("IMPORTRANGE(""https://docs.google.com/spreadsheets/d/1CaLR8gtRCp0-wyyH0y5IvQnenreOSKFOo8AF4Pfpekc/edit?gid=400822622#gid=400822622"", ""GRADE 12!Q""&amp;ROW(Q51))"),0.0)</f>
        <v>0</v>
      </c>
      <c r="T54" s="130">
        <f>IFERROR(__xludf.DUMMYFUNCTION("IMPORTRANGE(""https://docs.google.com/spreadsheets/d/1CaLR8gtRCp0-wyyH0y5IvQnenreOSKFOo8AF4Pfpekc/edit?gid=400822622#gid=400822622"", ""GRADE 12!R""&amp;ROW(R51))"),0.0)</f>
        <v>0</v>
      </c>
      <c r="U54" s="130" t="str">
        <f>IFERROR(__xludf.DUMMYFUNCTION("IMPORTRANGE(""https://docs.google.com/spreadsheets/d/1CaLR8gtRCp0-wyyH0y5IvQnenreOSKFOo8AF4Pfpekc/edit?gid=400822622#gid=400822622"", ""GRADE 12!S""&amp;ROW(S51))"),"")</f>
        <v/>
      </c>
      <c r="V54" s="131">
        <f>IFERROR(__xludf.DUMMYFUNCTION("IMPORTRANGE(""https://docs.google.com/spreadsheets/d/1CaLR8gtRCp0-wyyH0y5IvQnenreOSKFOo8AF4Pfpekc/edit?gid=400822622#gid=400822622"", ""GRADE 12!T""&amp;ROW(T51))"),7.0)</f>
        <v>7</v>
      </c>
      <c r="W54" s="132">
        <f>IFERROR(__xludf.DUMMYFUNCTION("IMPORTRANGE(""https://docs.google.com/spreadsheets/d/1CaLR8gtRCp0-wyyH0y5IvQnenreOSKFOo8AF4Pfpekc/edit?gid=400822622#gid=400822622"", ""GRADE 12!U""&amp;ROW(U51))"),0.0)</f>
        <v>0</v>
      </c>
      <c r="X54" s="61">
        <f>IFERROR(__xludf.DUMMYFUNCTION("IMPORTRANGE(""https://docs.google.com/spreadsheets/d/1CaLR8gtRCp0-wyyH0y5IvQnenreOSKFOo8AF4Pfpekc/edit?gid=400822622#gid=400822622"", ""GRADE 12!V""&amp;ROW(V51))"),0.0)</f>
        <v>0</v>
      </c>
    </row>
    <row r="55" ht="22.5" customHeight="1">
      <c r="A55" s="63" t="s">
        <v>178</v>
      </c>
      <c r="B55" s="64">
        <v>45.0</v>
      </c>
      <c r="C55" s="64" t="s">
        <v>267</v>
      </c>
      <c r="D55" s="65" t="s">
        <v>88</v>
      </c>
      <c r="E55" s="66" t="s">
        <v>268</v>
      </c>
      <c r="F55" s="66" t="s">
        <v>43</v>
      </c>
      <c r="G55" s="67">
        <v>20.0</v>
      </c>
      <c r="H55" s="67">
        <v>23.0</v>
      </c>
      <c r="I55" s="35">
        <f t="shared" si="1"/>
        <v>43</v>
      </c>
      <c r="J55" s="130" t="str">
        <f>IFERROR(__xludf.DUMMYFUNCTION("IMPORTRANGE(""https://docs.google.com/spreadsheets/d/1CaLR8gtRCp0-wyyH0y5IvQnenreOSKFOo8AF4Pfpekc/edit?gid=400822622#gid=400822622"", ""GRADE 12!H""&amp;ROW(H52))"),"")</f>
        <v/>
      </c>
      <c r="K55" s="130" t="str">
        <f>IFERROR(__xludf.DUMMYFUNCTION("IMPORTRANGE(""https://docs.google.com/spreadsheets/d/1CaLR8gtRCp0-wyyH0y5IvQnenreOSKFOo8AF4Pfpekc/edit?gid=400822622#gid=400822622"", ""GRADE 12!I""&amp;ROW(I52))"),"")</f>
        <v/>
      </c>
      <c r="L55" s="130" t="str">
        <f>IFERROR(__xludf.DUMMYFUNCTION("IMPORTRANGE(""https://docs.google.com/spreadsheets/d/1CaLR8gtRCp0-wyyH0y5IvQnenreOSKFOo8AF4Pfpekc/edit?gid=400822622#gid=400822622"", ""GRADE 12!J""&amp;ROW(J52))"),"")</f>
        <v/>
      </c>
      <c r="M55" s="130">
        <f>IFERROR(__xludf.DUMMYFUNCTION("IMPORTRANGE(""https://docs.google.com/spreadsheets/d/1CaLR8gtRCp0-wyyH0y5IvQnenreOSKFOo8AF4Pfpekc/edit?gid=400822622#gid=400822622"", ""GRADE 12!K""&amp;ROW(K52))"),0.0)</f>
        <v>0</v>
      </c>
      <c r="N55" s="130">
        <f>IFERROR(__xludf.DUMMYFUNCTION("IMPORTRANGE(""https://docs.google.com/spreadsheets/d/1CaLR8gtRCp0-wyyH0y5IvQnenreOSKFOo8AF4Pfpekc/edit?gid=400822622#gid=400822622"", ""GRADE 12!L""&amp;ROW(L52))"),0.0)</f>
        <v>0</v>
      </c>
      <c r="O55" s="130" t="str">
        <f>IFERROR(__xludf.DUMMYFUNCTION("IMPORTRANGE(""https://docs.google.com/spreadsheets/d/1CaLR8gtRCp0-wyyH0y5IvQnenreOSKFOo8AF4Pfpekc/edit?gid=400822622#gid=400822622"", ""GRADE 12!M""&amp;ROW(M52))"),"")</f>
        <v/>
      </c>
      <c r="P55" s="130">
        <f>IFERROR(__xludf.DUMMYFUNCTION("IMPORTRANGE(""https://docs.google.com/spreadsheets/d/1CaLR8gtRCp0-wyyH0y5IvQnenreOSKFOo8AF4Pfpekc/edit?gid=400822622#gid=400822622"", ""GRADE 12!N""&amp;ROW(N52))"),0.0)</f>
        <v>0</v>
      </c>
      <c r="Q55" s="130">
        <f>IFERROR(__xludf.DUMMYFUNCTION("IMPORTRANGE(""https://docs.google.com/spreadsheets/d/1CaLR8gtRCp0-wyyH0y5IvQnenreOSKFOo8AF4Pfpekc/edit?gid=400822622#gid=400822622"", ""GRADE 12!O""&amp;ROW(O52))"),0.0)</f>
        <v>0</v>
      </c>
      <c r="R55" s="130">
        <f>IFERROR(__xludf.DUMMYFUNCTION("IMPORTRANGE(""https://docs.google.com/spreadsheets/d/1CaLR8gtRCp0-wyyH0y5IvQnenreOSKFOo8AF4Pfpekc/edit?gid=400822622#gid=400822622"", ""GRADE 12!P""&amp;ROW(P52))"),0.0)</f>
        <v>0</v>
      </c>
      <c r="S55" s="130">
        <f>IFERROR(__xludf.DUMMYFUNCTION("IMPORTRANGE(""https://docs.google.com/spreadsheets/d/1CaLR8gtRCp0-wyyH0y5IvQnenreOSKFOo8AF4Pfpekc/edit?gid=400822622#gid=400822622"", ""GRADE 12!Q""&amp;ROW(Q52))"),0.0)</f>
        <v>0</v>
      </c>
      <c r="T55" s="130">
        <f>IFERROR(__xludf.DUMMYFUNCTION("IMPORTRANGE(""https://docs.google.com/spreadsheets/d/1CaLR8gtRCp0-wyyH0y5IvQnenreOSKFOo8AF4Pfpekc/edit?gid=400822622#gid=400822622"", ""GRADE 12!R""&amp;ROW(R52))"),0.0)</f>
        <v>0</v>
      </c>
      <c r="U55" s="130" t="str">
        <f>IFERROR(__xludf.DUMMYFUNCTION("IMPORTRANGE(""https://docs.google.com/spreadsheets/d/1CaLR8gtRCp0-wyyH0y5IvQnenreOSKFOo8AF4Pfpekc/edit?gid=400822622#gid=400822622"", ""GRADE 12!S""&amp;ROW(S52))"),"")</f>
        <v/>
      </c>
      <c r="V55" s="131">
        <f>IFERROR(__xludf.DUMMYFUNCTION("IMPORTRANGE(""https://docs.google.com/spreadsheets/d/1CaLR8gtRCp0-wyyH0y5IvQnenreOSKFOo8AF4Pfpekc/edit?gid=400822622#gid=400822622"", ""GRADE 12!T""&amp;ROW(T52))"),7.0)</f>
        <v>7</v>
      </c>
      <c r="W55" s="132">
        <f>IFERROR(__xludf.DUMMYFUNCTION("IMPORTRANGE(""https://docs.google.com/spreadsheets/d/1CaLR8gtRCp0-wyyH0y5IvQnenreOSKFOo8AF4Pfpekc/edit?gid=400822622#gid=400822622"", ""GRADE 12!U""&amp;ROW(U52))"),0.0)</f>
        <v>0</v>
      </c>
      <c r="X55" s="61">
        <f>IFERROR(__xludf.DUMMYFUNCTION("IMPORTRANGE(""https://docs.google.com/spreadsheets/d/1CaLR8gtRCp0-wyyH0y5IvQnenreOSKFOo8AF4Pfpekc/edit?gid=400822622#gid=400822622"", ""GRADE 12!V""&amp;ROW(V52))"),0.0)</f>
        <v>0</v>
      </c>
    </row>
    <row r="56" ht="22.5" customHeight="1">
      <c r="A56" s="63" t="s">
        <v>178</v>
      </c>
      <c r="B56" s="64">
        <v>46.0</v>
      </c>
      <c r="C56" s="64" t="s">
        <v>269</v>
      </c>
      <c r="D56" s="65" t="s">
        <v>163</v>
      </c>
      <c r="E56" s="66" t="s">
        <v>270</v>
      </c>
      <c r="F56" s="66" t="s">
        <v>55</v>
      </c>
      <c r="G56" s="67">
        <v>46.0</v>
      </c>
      <c r="H56" s="67">
        <v>0.0</v>
      </c>
      <c r="I56" s="35">
        <f t="shared" si="1"/>
        <v>46</v>
      </c>
      <c r="J56" s="130" t="str">
        <f>IFERROR(__xludf.DUMMYFUNCTION("IMPORTRANGE(""https://docs.google.com/spreadsheets/d/1CaLR8gtRCp0-wyyH0y5IvQnenreOSKFOo8AF4Pfpekc/edit?gid=400822622#gid=400822622"", ""GRADE 12!H""&amp;ROW(H53))"),"")</f>
        <v/>
      </c>
      <c r="K56" s="130" t="str">
        <f>IFERROR(__xludf.DUMMYFUNCTION("IMPORTRANGE(""https://docs.google.com/spreadsheets/d/1CaLR8gtRCp0-wyyH0y5IvQnenreOSKFOo8AF4Pfpekc/edit?gid=400822622#gid=400822622"", ""GRADE 12!I""&amp;ROW(I53))"),"")</f>
        <v/>
      </c>
      <c r="L56" s="130" t="str">
        <f>IFERROR(__xludf.DUMMYFUNCTION("IMPORTRANGE(""https://docs.google.com/spreadsheets/d/1CaLR8gtRCp0-wyyH0y5IvQnenreOSKFOo8AF4Pfpekc/edit?gid=400822622#gid=400822622"", ""GRADE 12!J""&amp;ROW(J53))"),"")</f>
        <v/>
      </c>
      <c r="M56" s="130">
        <f>IFERROR(__xludf.DUMMYFUNCTION("IMPORTRANGE(""https://docs.google.com/spreadsheets/d/1CaLR8gtRCp0-wyyH0y5IvQnenreOSKFOo8AF4Pfpekc/edit?gid=400822622#gid=400822622"", ""GRADE 12!K""&amp;ROW(K53))"),0.0)</f>
        <v>0</v>
      </c>
      <c r="N56" s="130">
        <f>IFERROR(__xludf.DUMMYFUNCTION("IMPORTRANGE(""https://docs.google.com/spreadsheets/d/1CaLR8gtRCp0-wyyH0y5IvQnenreOSKFOo8AF4Pfpekc/edit?gid=400822622#gid=400822622"", ""GRADE 12!L""&amp;ROW(L53))"),0.0)</f>
        <v>0</v>
      </c>
      <c r="O56" s="130" t="str">
        <f>IFERROR(__xludf.DUMMYFUNCTION("IMPORTRANGE(""https://docs.google.com/spreadsheets/d/1CaLR8gtRCp0-wyyH0y5IvQnenreOSKFOo8AF4Pfpekc/edit?gid=400822622#gid=400822622"", ""GRADE 12!M""&amp;ROW(M53))"),"")</f>
        <v/>
      </c>
      <c r="P56" s="130">
        <f>IFERROR(__xludf.DUMMYFUNCTION("IMPORTRANGE(""https://docs.google.com/spreadsheets/d/1CaLR8gtRCp0-wyyH0y5IvQnenreOSKFOo8AF4Pfpekc/edit?gid=400822622#gid=400822622"", ""GRADE 12!N""&amp;ROW(N53))"),0.0)</f>
        <v>0</v>
      </c>
      <c r="Q56" s="130">
        <f>IFERROR(__xludf.DUMMYFUNCTION("IMPORTRANGE(""https://docs.google.com/spreadsheets/d/1CaLR8gtRCp0-wyyH0y5IvQnenreOSKFOo8AF4Pfpekc/edit?gid=400822622#gid=400822622"", ""GRADE 12!O""&amp;ROW(O53))"),0.0)</f>
        <v>0</v>
      </c>
      <c r="R56" s="130">
        <f>IFERROR(__xludf.DUMMYFUNCTION("IMPORTRANGE(""https://docs.google.com/spreadsheets/d/1CaLR8gtRCp0-wyyH0y5IvQnenreOSKFOo8AF4Pfpekc/edit?gid=400822622#gid=400822622"", ""GRADE 12!P""&amp;ROW(P53))"),0.0)</f>
        <v>0</v>
      </c>
      <c r="S56" s="130">
        <f>IFERROR(__xludf.DUMMYFUNCTION("IMPORTRANGE(""https://docs.google.com/spreadsheets/d/1CaLR8gtRCp0-wyyH0y5IvQnenreOSKFOo8AF4Pfpekc/edit?gid=400822622#gid=400822622"", ""GRADE 12!Q""&amp;ROW(Q53))"),0.0)</f>
        <v>0</v>
      </c>
      <c r="T56" s="130" t="str">
        <f>IFERROR(__xludf.DUMMYFUNCTION("IMPORTRANGE(""https://docs.google.com/spreadsheets/d/1CaLR8gtRCp0-wyyH0y5IvQnenreOSKFOo8AF4Pfpekc/edit?gid=400822622#gid=400822622"", ""GRADE 12!R""&amp;ROW(R53))"),"")</f>
        <v/>
      </c>
      <c r="U56" s="130" t="str">
        <f>IFERROR(__xludf.DUMMYFUNCTION("IMPORTRANGE(""https://docs.google.com/spreadsheets/d/1CaLR8gtRCp0-wyyH0y5IvQnenreOSKFOo8AF4Pfpekc/edit?gid=400822622#gid=400822622"", ""GRADE 12!S""&amp;ROW(S53))"),"")</f>
        <v/>
      </c>
      <c r="V56" s="131">
        <f>IFERROR(__xludf.DUMMYFUNCTION("IMPORTRANGE(""https://docs.google.com/spreadsheets/d/1CaLR8gtRCp0-wyyH0y5IvQnenreOSKFOo8AF4Pfpekc/edit?gid=400822622#gid=400822622"", ""GRADE 12!T""&amp;ROW(T53))"),6.0)</f>
        <v>6</v>
      </c>
      <c r="W56" s="132">
        <f>IFERROR(__xludf.DUMMYFUNCTION("IMPORTRANGE(""https://docs.google.com/spreadsheets/d/1CaLR8gtRCp0-wyyH0y5IvQnenreOSKFOo8AF4Pfpekc/edit?gid=400822622#gid=400822622"", ""GRADE 12!U""&amp;ROW(U53))"),0.0)</f>
        <v>0</v>
      </c>
      <c r="X56" s="61">
        <f>IFERROR(__xludf.DUMMYFUNCTION("IMPORTRANGE(""https://docs.google.com/spreadsheets/d/1CaLR8gtRCp0-wyyH0y5IvQnenreOSKFOo8AF4Pfpekc/edit?gid=400822622#gid=400822622"", ""GRADE 12!V""&amp;ROW(V53))"),0.0)</f>
        <v>0</v>
      </c>
    </row>
    <row r="57" ht="22.5" customHeight="1">
      <c r="A57" s="63" t="s">
        <v>178</v>
      </c>
      <c r="B57" s="64">
        <v>47.0</v>
      </c>
      <c r="C57" s="64" t="s">
        <v>271</v>
      </c>
      <c r="D57" s="65" t="s">
        <v>163</v>
      </c>
      <c r="E57" s="66" t="s">
        <v>272</v>
      </c>
      <c r="F57" s="66" t="s">
        <v>27</v>
      </c>
      <c r="G57" s="67">
        <v>48.0</v>
      </c>
      <c r="H57" s="67">
        <v>0.0</v>
      </c>
      <c r="I57" s="35">
        <f t="shared" si="1"/>
        <v>48</v>
      </c>
      <c r="J57" s="130" t="str">
        <f>IFERROR(__xludf.DUMMYFUNCTION("IMPORTRANGE(""https://docs.google.com/spreadsheets/d/1CaLR8gtRCp0-wyyH0y5IvQnenreOSKFOo8AF4Pfpekc/edit?gid=400822622#gid=400822622"", ""GRADE 12!H""&amp;ROW(H54))"),"")</f>
        <v/>
      </c>
      <c r="K57" s="130" t="str">
        <f>IFERROR(__xludf.DUMMYFUNCTION("IMPORTRANGE(""https://docs.google.com/spreadsheets/d/1CaLR8gtRCp0-wyyH0y5IvQnenreOSKFOo8AF4Pfpekc/edit?gid=400822622#gid=400822622"", ""GRADE 12!I""&amp;ROW(I54))"),"")</f>
        <v/>
      </c>
      <c r="L57" s="130" t="str">
        <f>IFERROR(__xludf.DUMMYFUNCTION("IMPORTRANGE(""https://docs.google.com/spreadsheets/d/1CaLR8gtRCp0-wyyH0y5IvQnenreOSKFOo8AF4Pfpekc/edit?gid=400822622#gid=400822622"", ""GRADE 12!J""&amp;ROW(J54))"),"")</f>
        <v/>
      </c>
      <c r="M57" s="130">
        <f>IFERROR(__xludf.DUMMYFUNCTION("IMPORTRANGE(""https://docs.google.com/spreadsheets/d/1CaLR8gtRCp0-wyyH0y5IvQnenreOSKFOo8AF4Pfpekc/edit?gid=400822622#gid=400822622"", ""GRADE 12!K""&amp;ROW(K54))"),0.0)</f>
        <v>0</v>
      </c>
      <c r="N57" s="130">
        <f>IFERROR(__xludf.DUMMYFUNCTION("IMPORTRANGE(""https://docs.google.com/spreadsheets/d/1CaLR8gtRCp0-wyyH0y5IvQnenreOSKFOo8AF4Pfpekc/edit?gid=400822622#gid=400822622"", ""GRADE 12!L""&amp;ROW(L54))"),0.0)</f>
        <v>0</v>
      </c>
      <c r="O57" s="130" t="str">
        <f>IFERROR(__xludf.DUMMYFUNCTION("IMPORTRANGE(""https://docs.google.com/spreadsheets/d/1CaLR8gtRCp0-wyyH0y5IvQnenreOSKFOo8AF4Pfpekc/edit?gid=400822622#gid=400822622"", ""GRADE 12!M""&amp;ROW(M54))"),"")</f>
        <v/>
      </c>
      <c r="P57" s="130">
        <f>IFERROR(__xludf.DUMMYFUNCTION("IMPORTRANGE(""https://docs.google.com/spreadsheets/d/1CaLR8gtRCp0-wyyH0y5IvQnenreOSKFOo8AF4Pfpekc/edit?gid=400822622#gid=400822622"", ""GRADE 12!N""&amp;ROW(N54))"),0.0)</f>
        <v>0</v>
      </c>
      <c r="Q57" s="130">
        <f>IFERROR(__xludf.DUMMYFUNCTION("IMPORTRANGE(""https://docs.google.com/spreadsheets/d/1CaLR8gtRCp0-wyyH0y5IvQnenreOSKFOo8AF4Pfpekc/edit?gid=400822622#gid=400822622"", ""GRADE 12!O""&amp;ROW(O54))"),0.0)</f>
        <v>0</v>
      </c>
      <c r="R57" s="130">
        <f>IFERROR(__xludf.DUMMYFUNCTION("IMPORTRANGE(""https://docs.google.com/spreadsheets/d/1CaLR8gtRCp0-wyyH0y5IvQnenreOSKFOo8AF4Pfpekc/edit?gid=400822622#gid=400822622"", ""GRADE 12!P""&amp;ROW(P54))"),0.0)</f>
        <v>0</v>
      </c>
      <c r="S57" s="130">
        <f>IFERROR(__xludf.DUMMYFUNCTION("IMPORTRANGE(""https://docs.google.com/spreadsheets/d/1CaLR8gtRCp0-wyyH0y5IvQnenreOSKFOo8AF4Pfpekc/edit?gid=400822622#gid=400822622"", ""GRADE 12!Q""&amp;ROW(Q54))"),0.0)</f>
        <v>0</v>
      </c>
      <c r="T57" s="130" t="str">
        <f>IFERROR(__xludf.DUMMYFUNCTION("IMPORTRANGE(""https://docs.google.com/spreadsheets/d/1CaLR8gtRCp0-wyyH0y5IvQnenreOSKFOo8AF4Pfpekc/edit?gid=400822622#gid=400822622"", ""GRADE 12!R""&amp;ROW(R54))"),"")</f>
        <v/>
      </c>
      <c r="U57" s="130" t="str">
        <f>IFERROR(__xludf.DUMMYFUNCTION("IMPORTRANGE(""https://docs.google.com/spreadsheets/d/1CaLR8gtRCp0-wyyH0y5IvQnenreOSKFOo8AF4Pfpekc/edit?gid=400822622#gid=400822622"", ""GRADE 12!S""&amp;ROW(S54))"),"")</f>
        <v/>
      </c>
      <c r="V57" s="131">
        <f>IFERROR(__xludf.DUMMYFUNCTION("IMPORTRANGE(""https://docs.google.com/spreadsheets/d/1CaLR8gtRCp0-wyyH0y5IvQnenreOSKFOo8AF4Pfpekc/edit?gid=400822622#gid=400822622"", ""GRADE 12!T""&amp;ROW(T54))"),6.0)</f>
        <v>6</v>
      </c>
      <c r="W57" s="132">
        <f>IFERROR(__xludf.DUMMYFUNCTION("IMPORTRANGE(""https://docs.google.com/spreadsheets/d/1CaLR8gtRCp0-wyyH0y5IvQnenreOSKFOo8AF4Pfpekc/edit?gid=400822622#gid=400822622"", ""GRADE 12!U""&amp;ROW(U54))"),0.0)</f>
        <v>0</v>
      </c>
      <c r="X57" s="61">
        <f>IFERROR(__xludf.DUMMYFUNCTION("IMPORTRANGE(""https://docs.google.com/spreadsheets/d/1CaLR8gtRCp0-wyyH0y5IvQnenreOSKFOo8AF4Pfpekc/edit?gid=400822622#gid=400822622"", ""GRADE 12!V""&amp;ROW(V54))"),0.0)</f>
        <v>0</v>
      </c>
    </row>
    <row r="58" ht="22.5" customHeight="1">
      <c r="A58" s="63" t="s">
        <v>178</v>
      </c>
      <c r="B58" s="64">
        <v>48.0</v>
      </c>
      <c r="C58" s="64" t="s">
        <v>273</v>
      </c>
      <c r="D58" s="65" t="s">
        <v>163</v>
      </c>
      <c r="E58" s="66" t="s">
        <v>274</v>
      </c>
      <c r="F58" s="66" t="s">
        <v>27</v>
      </c>
      <c r="G58" s="67">
        <v>49.0</v>
      </c>
      <c r="H58" s="67">
        <v>0.0</v>
      </c>
      <c r="I58" s="35">
        <f t="shared" si="1"/>
        <v>49</v>
      </c>
      <c r="J58" s="130" t="str">
        <f>IFERROR(__xludf.DUMMYFUNCTION("IMPORTRANGE(""https://docs.google.com/spreadsheets/d/1CaLR8gtRCp0-wyyH0y5IvQnenreOSKFOo8AF4Pfpekc/edit?gid=400822622#gid=400822622"", ""GRADE 12!H""&amp;ROW(H55))"),"")</f>
        <v/>
      </c>
      <c r="K58" s="130" t="str">
        <f>IFERROR(__xludf.DUMMYFUNCTION("IMPORTRANGE(""https://docs.google.com/spreadsheets/d/1CaLR8gtRCp0-wyyH0y5IvQnenreOSKFOo8AF4Pfpekc/edit?gid=400822622#gid=400822622"", ""GRADE 12!I""&amp;ROW(I55))"),"")</f>
        <v/>
      </c>
      <c r="L58" s="130" t="str">
        <f>IFERROR(__xludf.DUMMYFUNCTION("IMPORTRANGE(""https://docs.google.com/spreadsheets/d/1CaLR8gtRCp0-wyyH0y5IvQnenreOSKFOo8AF4Pfpekc/edit?gid=400822622#gid=400822622"", ""GRADE 12!J""&amp;ROW(J55))"),"")</f>
        <v/>
      </c>
      <c r="M58" s="130">
        <f>IFERROR(__xludf.DUMMYFUNCTION("IMPORTRANGE(""https://docs.google.com/spreadsheets/d/1CaLR8gtRCp0-wyyH0y5IvQnenreOSKFOo8AF4Pfpekc/edit?gid=400822622#gid=400822622"", ""GRADE 12!K""&amp;ROW(K55))"),0.0)</f>
        <v>0</v>
      </c>
      <c r="N58" s="130">
        <f>IFERROR(__xludf.DUMMYFUNCTION("IMPORTRANGE(""https://docs.google.com/spreadsheets/d/1CaLR8gtRCp0-wyyH0y5IvQnenreOSKFOo8AF4Pfpekc/edit?gid=400822622#gid=400822622"", ""GRADE 12!L""&amp;ROW(L55))"),0.0)</f>
        <v>0</v>
      </c>
      <c r="O58" s="130" t="str">
        <f>IFERROR(__xludf.DUMMYFUNCTION("IMPORTRANGE(""https://docs.google.com/spreadsheets/d/1CaLR8gtRCp0-wyyH0y5IvQnenreOSKFOo8AF4Pfpekc/edit?gid=400822622#gid=400822622"", ""GRADE 12!M""&amp;ROW(M55))"),"")</f>
        <v/>
      </c>
      <c r="P58" s="130">
        <f>IFERROR(__xludf.DUMMYFUNCTION("IMPORTRANGE(""https://docs.google.com/spreadsheets/d/1CaLR8gtRCp0-wyyH0y5IvQnenreOSKFOo8AF4Pfpekc/edit?gid=400822622#gid=400822622"", ""GRADE 12!N""&amp;ROW(N55))"),0.0)</f>
        <v>0</v>
      </c>
      <c r="Q58" s="130">
        <f>IFERROR(__xludf.DUMMYFUNCTION("IMPORTRANGE(""https://docs.google.com/spreadsheets/d/1CaLR8gtRCp0-wyyH0y5IvQnenreOSKFOo8AF4Pfpekc/edit?gid=400822622#gid=400822622"", ""GRADE 12!O""&amp;ROW(O55))"),0.0)</f>
        <v>0</v>
      </c>
      <c r="R58" s="130">
        <f>IFERROR(__xludf.DUMMYFUNCTION("IMPORTRANGE(""https://docs.google.com/spreadsheets/d/1CaLR8gtRCp0-wyyH0y5IvQnenreOSKFOo8AF4Pfpekc/edit?gid=400822622#gid=400822622"", ""GRADE 12!P""&amp;ROW(P55))"),0.0)</f>
        <v>0</v>
      </c>
      <c r="S58" s="130">
        <f>IFERROR(__xludf.DUMMYFUNCTION("IMPORTRANGE(""https://docs.google.com/spreadsheets/d/1CaLR8gtRCp0-wyyH0y5IvQnenreOSKFOo8AF4Pfpekc/edit?gid=400822622#gid=400822622"", ""GRADE 12!Q""&amp;ROW(Q55))"),0.0)</f>
        <v>0</v>
      </c>
      <c r="T58" s="130" t="str">
        <f>IFERROR(__xludf.DUMMYFUNCTION("IMPORTRANGE(""https://docs.google.com/spreadsheets/d/1CaLR8gtRCp0-wyyH0y5IvQnenreOSKFOo8AF4Pfpekc/edit?gid=400822622#gid=400822622"", ""GRADE 12!R""&amp;ROW(R55))"),"")</f>
        <v/>
      </c>
      <c r="U58" s="130" t="str">
        <f>IFERROR(__xludf.DUMMYFUNCTION("IMPORTRANGE(""https://docs.google.com/spreadsheets/d/1CaLR8gtRCp0-wyyH0y5IvQnenreOSKFOo8AF4Pfpekc/edit?gid=400822622#gid=400822622"", ""GRADE 12!S""&amp;ROW(S55))"),"")</f>
        <v/>
      </c>
      <c r="V58" s="131">
        <f>IFERROR(__xludf.DUMMYFUNCTION("IMPORTRANGE(""https://docs.google.com/spreadsheets/d/1CaLR8gtRCp0-wyyH0y5IvQnenreOSKFOo8AF4Pfpekc/edit?gid=400822622#gid=400822622"", ""GRADE 12!T""&amp;ROW(T55))"),6.0)</f>
        <v>6</v>
      </c>
      <c r="W58" s="132">
        <f>IFERROR(__xludf.DUMMYFUNCTION("IMPORTRANGE(""https://docs.google.com/spreadsheets/d/1CaLR8gtRCp0-wyyH0y5IvQnenreOSKFOo8AF4Pfpekc/edit?gid=400822622#gid=400822622"", ""GRADE 12!U""&amp;ROW(U55))"),0.0)</f>
        <v>0</v>
      </c>
      <c r="X58" s="61">
        <f>IFERROR(__xludf.DUMMYFUNCTION("IMPORTRANGE(""https://docs.google.com/spreadsheets/d/1CaLR8gtRCp0-wyyH0y5IvQnenreOSKFOo8AF4Pfpekc/edit?gid=400822622#gid=400822622"", ""GRADE 12!V""&amp;ROW(V55))"),0.0)</f>
        <v>0</v>
      </c>
    </row>
    <row r="59" ht="22.5" customHeight="1">
      <c r="A59" s="63" t="s">
        <v>178</v>
      </c>
      <c r="B59" s="64">
        <v>49.0</v>
      </c>
      <c r="C59" s="64" t="s">
        <v>275</v>
      </c>
      <c r="D59" s="65" t="s">
        <v>163</v>
      </c>
      <c r="E59" s="66" t="s">
        <v>276</v>
      </c>
      <c r="F59" s="66" t="s">
        <v>21</v>
      </c>
      <c r="G59" s="67">
        <v>49.0</v>
      </c>
      <c r="H59" s="67">
        <v>2.0</v>
      </c>
      <c r="I59" s="35">
        <f t="shared" si="1"/>
        <v>51</v>
      </c>
      <c r="J59" s="130" t="str">
        <f>IFERROR(__xludf.DUMMYFUNCTION("IMPORTRANGE(""https://docs.google.com/spreadsheets/d/1CaLR8gtRCp0-wyyH0y5IvQnenreOSKFOo8AF4Pfpekc/edit?gid=400822622#gid=400822622"", ""GRADE 12!H""&amp;ROW(H56))"),"")</f>
        <v/>
      </c>
      <c r="K59" s="130" t="str">
        <f>IFERROR(__xludf.DUMMYFUNCTION("IMPORTRANGE(""https://docs.google.com/spreadsheets/d/1CaLR8gtRCp0-wyyH0y5IvQnenreOSKFOo8AF4Pfpekc/edit?gid=400822622#gid=400822622"", ""GRADE 12!I""&amp;ROW(I56))"),"")</f>
        <v/>
      </c>
      <c r="L59" s="130" t="str">
        <f>IFERROR(__xludf.DUMMYFUNCTION("IMPORTRANGE(""https://docs.google.com/spreadsheets/d/1CaLR8gtRCp0-wyyH0y5IvQnenreOSKFOo8AF4Pfpekc/edit?gid=400822622#gid=400822622"", ""GRADE 12!J""&amp;ROW(J56))"),"")</f>
        <v/>
      </c>
      <c r="M59" s="130">
        <f>IFERROR(__xludf.DUMMYFUNCTION("IMPORTRANGE(""https://docs.google.com/spreadsheets/d/1CaLR8gtRCp0-wyyH0y5IvQnenreOSKFOo8AF4Pfpekc/edit?gid=400822622#gid=400822622"", ""GRADE 12!K""&amp;ROW(K56))"),0.0)</f>
        <v>0</v>
      </c>
      <c r="N59" s="130">
        <f>IFERROR(__xludf.DUMMYFUNCTION("IMPORTRANGE(""https://docs.google.com/spreadsheets/d/1CaLR8gtRCp0-wyyH0y5IvQnenreOSKFOo8AF4Pfpekc/edit?gid=400822622#gid=400822622"", ""GRADE 12!L""&amp;ROW(L56))"),0.0)</f>
        <v>0</v>
      </c>
      <c r="O59" s="130" t="str">
        <f>IFERROR(__xludf.DUMMYFUNCTION("IMPORTRANGE(""https://docs.google.com/spreadsheets/d/1CaLR8gtRCp0-wyyH0y5IvQnenreOSKFOo8AF4Pfpekc/edit?gid=400822622#gid=400822622"", ""GRADE 12!M""&amp;ROW(M56))"),"")</f>
        <v/>
      </c>
      <c r="P59" s="130">
        <f>IFERROR(__xludf.DUMMYFUNCTION("IMPORTRANGE(""https://docs.google.com/spreadsheets/d/1CaLR8gtRCp0-wyyH0y5IvQnenreOSKFOo8AF4Pfpekc/edit?gid=400822622#gid=400822622"", ""GRADE 12!N""&amp;ROW(N56))"),0.0)</f>
        <v>0</v>
      </c>
      <c r="Q59" s="130">
        <f>IFERROR(__xludf.DUMMYFUNCTION("IMPORTRANGE(""https://docs.google.com/spreadsheets/d/1CaLR8gtRCp0-wyyH0y5IvQnenreOSKFOo8AF4Pfpekc/edit?gid=400822622#gid=400822622"", ""GRADE 12!O""&amp;ROW(O56))"),0.0)</f>
        <v>0</v>
      </c>
      <c r="R59" s="130">
        <f>IFERROR(__xludf.DUMMYFUNCTION("IMPORTRANGE(""https://docs.google.com/spreadsheets/d/1CaLR8gtRCp0-wyyH0y5IvQnenreOSKFOo8AF4Pfpekc/edit?gid=400822622#gid=400822622"", ""GRADE 12!P""&amp;ROW(P56))"),0.0)</f>
        <v>0</v>
      </c>
      <c r="S59" s="130">
        <f>IFERROR(__xludf.DUMMYFUNCTION("IMPORTRANGE(""https://docs.google.com/spreadsheets/d/1CaLR8gtRCp0-wyyH0y5IvQnenreOSKFOo8AF4Pfpekc/edit?gid=400822622#gid=400822622"", ""GRADE 12!Q""&amp;ROW(Q56))"),0.0)</f>
        <v>0</v>
      </c>
      <c r="T59" s="130" t="str">
        <f>IFERROR(__xludf.DUMMYFUNCTION("IMPORTRANGE(""https://docs.google.com/spreadsheets/d/1CaLR8gtRCp0-wyyH0y5IvQnenreOSKFOo8AF4Pfpekc/edit?gid=400822622#gid=400822622"", ""GRADE 12!R""&amp;ROW(R56))"),"")</f>
        <v/>
      </c>
      <c r="U59" s="130" t="str">
        <f>IFERROR(__xludf.DUMMYFUNCTION("IMPORTRANGE(""https://docs.google.com/spreadsheets/d/1CaLR8gtRCp0-wyyH0y5IvQnenreOSKFOo8AF4Pfpekc/edit?gid=400822622#gid=400822622"", ""GRADE 12!S""&amp;ROW(S56))"),"")</f>
        <v/>
      </c>
      <c r="V59" s="131">
        <f>IFERROR(__xludf.DUMMYFUNCTION("IMPORTRANGE(""https://docs.google.com/spreadsheets/d/1CaLR8gtRCp0-wyyH0y5IvQnenreOSKFOo8AF4Pfpekc/edit?gid=400822622#gid=400822622"", ""GRADE 12!T""&amp;ROW(T56))"),6.0)</f>
        <v>6</v>
      </c>
      <c r="W59" s="132">
        <f>IFERROR(__xludf.DUMMYFUNCTION("IMPORTRANGE(""https://docs.google.com/spreadsheets/d/1CaLR8gtRCp0-wyyH0y5IvQnenreOSKFOo8AF4Pfpekc/edit?gid=400822622#gid=400822622"", ""GRADE 12!U""&amp;ROW(U56))"),0.0)</f>
        <v>0</v>
      </c>
      <c r="X59" s="61">
        <f>IFERROR(__xludf.DUMMYFUNCTION("IMPORTRANGE(""https://docs.google.com/spreadsheets/d/1CaLR8gtRCp0-wyyH0y5IvQnenreOSKFOo8AF4Pfpekc/edit?gid=400822622#gid=400822622"", ""GRADE 12!V""&amp;ROW(V56))"),0.0)</f>
        <v>0</v>
      </c>
    </row>
    <row r="60" ht="22.5" customHeight="1">
      <c r="A60" s="63" t="s">
        <v>178</v>
      </c>
      <c r="B60" s="64">
        <v>50.0</v>
      </c>
      <c r="C60" s="64" t="s">
        <v>277</v>
      </c>
      <c r="D60" s="65" t="s">
        <v>119</v>
      </c>
      <c r="E60" s="66" t="s">
        <v>278</v>
      </c>
      <c r="F60" s="66" t="s">
        <v>27</v>
      </c>
      <c r="G60" s="67">
        <v>20.0</v>
      </c>
      <c r="H60" s="67">
        <v>24.0</v>
      </c>
      <c r="I60" s="35">
        <f t="shared" si="1"/>
        <v>44</v>
      </c>
      <c r="J60" s="130" t="str">
        <f>IFERROR(__xludf.DUMMYFUNCTION("IMPORTRANGE(""https://docs.google.com/spreadsheets/d/1CaLR8gtRCp0-wyyH0y5IvQnenreOSKFOo8AF4Pfpekc/edit?gid=400822622#gid=400822622"", ""GRADE 12!H""&amp;ROW(H57))"),"")</f>
        <v/>
      </c>
      <c r="K60" s="130" t="str">
        <f>IFERROR(__xludf.DUMMYFUNCTION("IMPORTRANGE(""https://docs.google.com/spreadsheets/d/1CaLR8gtRCp0-wyyH0y5IvQnenreOSKFOo8AF4Pfpekc/edit?gid=400822622#gid=400822622"", ""GRADE 12!I""&amp;ROW(I57))"),"")</f>
        <v/>
      </c>
      <c r="L60" s="130" t="str">
        <f>IFERROR(__xludf.DUMMYFUNCTION("IMPORTRANGE(""https://docs.google.com/spreadsheets/d/1CaLR8gtRCp0-wyyH0y5IvQnenreOSKFOo8AF4Pfpekc/edit?gid=400822622#gid=400822622"", ""GRADE 12!J""&amp;ROW(J57))"),"")</f>
        <v/>
      </c>
      <c r="M60" s="130">
        <f>IFERROR(__xludf.DUMMYFUNCTION("IMPORTRANGE(""https://docs.google.com/spreadsheets/d/1CaLR8gtRCp0-wyyH0y5IvQnenreOSKFOo8AF4Pfpekc/edit?gid=400822622#gid=400822622"", ""GRADE 12!K""&amp;ROW(K57))"),0.0)</f>
        <v>0</v>
      </c>
      <c r="N60" s="130">
        <f>IFERROR(__xludf.DUMMYFUNCTION("IMPORTRANGE(""https://docs.google.com/spreadsheets/d/1CaLR8gtRCp0-wyyH0y5IvQnenreOSKFOo8AF4Pfpekc/edit?gid=400822622#gid=400822622"", ""GRADE 12!L""&amp;ROW(L57))"),0.0)</f>
        <v>0</v>
      </c>
      <c r="O60" s="130" t="str">
        <f>IFERROR(__xludf.DUMMYFUNCTION("IMPORTRANGE(""https://docs.google.com/spreadsheets/d/1CaLR8gtRCp0-wyyH0y5IvQnenreOSKFOo8AF4Pfpekc/edit?gid=400822622#gid=400822622"", ""GRADE 12!M""&amp;ROW(M57))"),"")</f>
        <v/>
      </c>
      <c r="P60" s="130">
        <f>IFERROR(__xludf.DUMMYFUNCTION("IMPORTRANGE(""https://docs.google.com/spreadsheets/d/1CaLR8gtRCp0-wyyH0y5IvQnenreOSKFOo8AF4Pfpekc/edit?gid=400822622#gid=400822622"", ""GRADE 12!N""&amp;ROW(N57))"),0.0)</f>
        <v>0</v>
      </c>
      <c r="Q60" s="130">
        <f>IFERROR(__xludf.DUMMYFUNCTION("IMPORTRANGE(""https://docs.google.com/spreadsheets/d/1CaLR8gtRCp0-wyyH0y5IvQnenreOSKFOo8AF4Pfpekc/edit?gid=400822622#gid=400822622"", ""GRADE 12!O""&amp;ROW(O57))"),0.0)</f>
        <v>0</v>
      </c>
      <c r="R60" s="130">
        <f>IFERROR(__xludf.DUMMYFUNCTION("IMPORTRANGE(""https://docs.google.com/spreadsheets/d/1CaLR8gtRCp0-wyyH0y5IvQnenreOSKFOo8AF4Pfpekc/edit?gid=400822622#gid=400822622"", ""GRADE 12!P""&amp;ROW(P57))"),0.0)</f>
        <v>0</v>
      </c>
      <c r="S60" s="130">
        <f>IFERROR(__xludf.DUMMYFUNCTION("IMPORTRANGE(""https://docs.google.com/spreadsheets/d/1CaLR8gtRCp0-wyyH0y5IvQnenreOSKFOo8AF4Pfpekc/edit?gid=400822622#gid=400822622"", ""GRADE 12!Q""&amp;ROW(Q57))"),0.0)</f>
        <v>0</v>
      </c>
      <c r="T60" s="130" t="str">
        <f>IFERROR(__xludf.DUMMYFUNCTION("IMPORTRANGE(""https://docs.google.com/spreadsheets/d/1CaLR8gtRCp0-wyyH0y5IvQnenreOSKFOo8AF4Pfpekc/edit?gid=400822622#gid=400822622"", ""GRADE 12!R""&amp;ROW(R57))"),"")</f>
        <v/>
      </c>
      <c r="U60" s="130" t="str">
        <f>IFERROR(__xludf.DUMMYFUNCTION("IMPORTRANGE(""https://docs.google.com/spreadsheets/d/1CaLR8gtRCp0-wyyH0y5IvQnenreOSKFOo8AF4Pfpekc/edit?gid=400822622#gid=400822622"", ""GRADE 12!S""&amp;ROW(S57))"),"")</f>
        <v/>
      </c>
      <c r="V60" s="131">
        <f>IFERROR(__xludf.DUMMYFUNCTION("IMPORTRANGE(""https://docs.google.com/spreadsheets/d/1CaLR8gtRCp0-wyyH0y5IvQnenreOSKFOo8AF4Pfpekc/edit?gid=400822622#gid=400822622"", ""GRADE 12!T""&amp;ROW(T57))"),6.0)</f>
        <v>6</v>
      </c>
      <c r="W60" s="132">
        <f>IFERROR(__xludf.DUMMYFUNCTION("IMPORTRANGE(""https://docs.google.com/spreadsheets/d/1CaLR8gtRCp0-wyyH0y5IvQnenreOSKFOo8AF4Pfpekc/edit?gid=400822622#gid=400822622"", ""GRADE 12!U""&amp;ROW(U57))"),0.0)</f>
        <v>0</v>
      </c>
      <c r="X60" s="61">
        <f>IFERROR(__xludf.DUMMYFUNCTION("IMPORTRANGE(""https://docs.google.com/spreadsheets/d/1CaLR8gtRCp0-wyyH0y5IvQnenreOSKFOo8AF4Pfpekc/edit?gid=400822622#gid=400822622"", ""GRADE 12!V""&amp;ROW(V57))"),0.0)</f>
        <v>0</v>
      </c>
    </row>
    <row r="61" ht="22.5" customHeight="1">
      <c r="A61" s="63" t="s">
        <v>178</v>
      </c>
      <c r="B61" s="64">
        <v>51.0</v>
      </c>
      <c r="C61" s="64" t="s">
        <v>279</v>
      </c>
      <c r="D61" s="65" t="s">
        <v>119</v>
      </c>
      <c r="E61" s="66" t="s">
        <v>280</v>
      </c>
      <c r="F61" s="66" t="s">
        <v>21</v>
      </c>
      <c r="G61" s="67">
        <v>20.0</v>
      </c>
      <c r="H61" s="67">
        <v>24.0</v>
      </c>
      <c r="I61" s="35">
        <f t="shared" si="1"/>
        <v>44</v>
      </c>
      <c r="J61" s="130" t="str">
        <f>IFERROR(__xludf.DUMMYFUNCTION("IMPORTRANGE(""https://docs.google.com/spreadsheets/d/1CaLR8gtRCp0-wyyH0y5IvQnenreOSKFOo8AF4Pfpekc/edit?gid=400822622#gid=400822622"", ""GRADE 12!H""&amp;ROW(H58))"),"")</f>
        <v/>
      </c>
      <c r="K61" s="130" t="str">
        <f>IFERROR(__xludf.DUMMYFUNCTION("IMPORTRANGE(""https://docs.google.com/spreadsheets/d/1CaLR8gtRCp0-wyyH0y5IvQnenreOSKFOo8AF4Pfpekc/edit?gid=400822622#gid=400822622"", ""GRADE 12!I""&amp;ROW(I58))"),"")</f>
        <v/>
      </c>
      <c r="L61" s="130" t="str">
        <f>IFERROR(__xludf.DUMMYFUNCTION("IMPORTRANGE(""https://docs.google.com/spreadsheets/d/1CaLR8gtRCp0-wyyH0y5IvQnenreOSKFOo8AF4Pfpekc/edit?gid=400822622#gid=400822622"", ""GRADE 12!J""&amp;ROW(J58))"),"")</f>
        <v/>
      </c>
      <c r="M61" s="130">
        <f>IFERROR(__xludf.DUMMYFUNCTION("IMPORTRANGE(""https://docs.google.com/spreadsheets/d/1CaLR8gtRCp0-wyyH0y5IvQnenreOSKFOo8AF4Pfpekc/edit?gid=400822622#gid=400822622"", ""GRADE 12!K""&amp;ROW(K58))"),0.0)</f>
        <v>0</v>
      </c>
      <c r="N61" s="130">
        <f>IFERROR(__xludf.DUMMYFUNCTION("IMPORTRANGE(""https://docs.google.com/spreadsheets/d/1CaLR8gtRCp0-wyyH0y5IvQnenreOSKFOo8AF4Pfpekc/edit?gid=400822622#gid=400822622"", ""GRADE 12!L""&amp;ROW(L58))"),0.0)</f>
        <v>0</v>
      </c>
      <c r="O61" s="130" t="str">
        <f>IFERROR(__xludf.DUMMYFUNCTION("IMPORTRANGE(""https://docs.google.com/spreadsheets/d/1CaLR8gtRCp0-wyyH0y5IvQnenreOSKFOo8AF4Pfpekc/edit?gid=400822622#gid=400822622"", ""GRADE 12!M""&amp;ROW(M58))"),"")</f>
        <v/>
      </c>
      <c r="P61" s="130">
        <f>IFERROR(__xludf.DUMMYFUNCTION("IMPORTRANGE(""https://docs.google.com/spreadsheets/d/1CaLR8gtRCp0-wyyH0y5IvQnenreOSKFOo8AF4Pfpekc/edit?gid=400822622#gid=400822622"", ""GRADE 12!N""&amp;ROW(N58))"),0.0)</f>
        <v>0</v>
      </c>
      <c r="Q61" s="130">
        <f>IFERROR(__xludf.DUMMYFUNCTION("IMPORTRANGE(""https://docs.google.com/spreadsheets/d/1CaLR8gtRCp0-wyyH0y5IvQnenreOSKFOo8AF4Pfpekc/edit?gid=400822622#gid=400822622"", ""GRADE 12!O""&amp;ROW(O58))"),0.0)</f>
        <v>0</v>
      </c>
      <c r="R61" s="130">
        <f>IFERROR(__xludf.DUMMYFUNCTION("IMPORTRANGE(""https://docs.google.com/spreadsheets/d/1CaLR8gtRCp0-wyyH0y5IvQnenreOSKFOo8AF4Pfpekc/edit?gid=400822622#gid=400822622"", ""GRADE 12!P""&amp;ROW(P58))"),0.0)</f>
        <v>0</v>
      </c>
      <c r="S61" s="130">
        <f>IFERROR(__xludf.DUMMYFUNCTION("IMPORTRANGE(""https://docs.google.com/spreadsheets/d/1CaLR8gtRCp0-wyyH0y5IvQnenreOSKFOo8AF4Pfpekc/edit?gid=400822622#gid=400822622"", ""GRADE 12!Q""&amp;ROW(Q58))"),0.0)</f>
        <v>0</v>
      </c>
      <c r="T61" s="130" t="str">
        <f>IFERROR(__xludf.DUMMYFUNCTION("IMPORTRANGE(""https://docs.google.com/spreadsheets/d/1CaLR8gtRCp0-wyyH0y5IvQnenreOSKFOo8AF4Pfpekc/edit?gid=400822622#gid=400822622"", ""GRADE 12!R""&amp;ROW(R58))"),"")</f>
        <v/>
      </c>
      <c r="U61" s="130" t="str">
        <f>IFERROR(__xludf.DUMMYFUNCTION("IMPORTRANGE(""https://docs.google.com/spreadsheets/d/1CaLR8gtRCp0-wyyH0y5IvQnenreOSKFOo8AF4Pfpekc/edit?gid=400822622#gid=400822622"", ""GRADE 12!S""&amp;ROW(S58))"),"")</f>
        <v/>
      </c>
      <c r="V61" s="131">
        <f>IFERROR(__xludf.DUMMYFUNCTION("IMPORTRANGE(""https://docs.google.com/spreadsheets/d/1CaLR8gtRCp0-wyyH0y5IvQnenreOSKFOo8AF4Pfpekc/edit?gid=400822622#gid=400822622"", ""GRADE 12!T""&amp;ROW(T58))"),6.0)</f>
        <v>6</v>
      </c>
      <c r="W61" s="132">
        <f>IFERROR(__xludf.DUMMYFUNCTION("IMPORTRANGE(""https://docs.google.com/spreadsheets/d/1CaLR8gtRCp0-wyyH0y5IvQnenreOSKFOo8AF4Pfpekc/edit?gid=400822622#gid=400822622"", ""GRADE 12!U""&amp;ROW(U58))"),0.0)</f>
        <v>0</v>
      </c>
      <c r="X61" s="61">
        <f>IFERROR(__xludf.DUMMYFUNCTION("IMPORTRANGE(""https://docs.google.com/spreadsheets/d/1CaLR8gtRCp0-wyyH0y5IvQnenreOSKFOo8AF4Pfpekc/edit?gid=400822622#gid=400822622"", ""GRADE 12!V""&amp;ROW(V58))"),0.0)</f>
        <v>0</v>
      </c>
    </row>
    <row r="62" ht="22.5" customHeight="1">
      <c r="A62" s="63" t="s">
        <v>178</v>
      </c>
      <c r="B62" s="64">
        <v>52.0</v>
      </c>
      <c r="C62" s="64" t="s">
        <v>281</v>
      </c>
      <c r="D62" s="65" t="s">
        <v>119</v>
      </c>
      <c r="E62" s="66" t="s">
        <v>282</v>
      </c>
      <c r="F62" s="66" t="s">
        <v>283</v>
      </c>
      <c r="G62" s="67">
        <v>20.0</v>
      </c>
      <c r="H62" s="67">
        <v>23.0</v>
      </c>
      <c r="I62" s="35">
        <f t="shared" si="1"/>
        <v>43</v>
      </c>
      <c r="J62" s="130" t="str">
        <f>IFERROR(__xludf.DUMMYFUNCTION("IMPORTRANGE(""https://docs.google.com/spreadsheets/d/1CaLR8gtRCp0-wyyH0y5IvQnenreOSKFOo8AF4Pfpekc/edit?gid=400822622#gid=400822622"", ""GRADE 12!H""&amp;ROW(H59))"),"")</f>
        <v/>
      </c>
      <c r="K62" s="130" t="str">
        <f>IFERROR(__xludf.DUMMYFUNCTION("IMPORTRANGE(""https://docs.google.com/spreadsheets/d/1CaLR8gtRCp0-wyyH0y5IvQnenreOSKFOo8AF4Pfpekc/edit?gid=400822622#gid=400822622"", ""GRADE 12!I""&amp;ROW(I59))"),"")</f>
        <v/>
      </c>
      <c r="L62" s="130" t="str">
        <f>IFERROR(__xludf.DUMMYFUNCTION("IMPORTRANGE(""https://docs.google.com/spreadsheets/d/1CaLR8gtRCp0-wyyH0y5IvQnenreOSKFOo8AF4Pfpekc/edit?gid=400822622#gid=400822622"", ""GRADE 12!J""&amp;ROW(J59))"),"")</f>
        <v/>
      </c>
      <c r="M62" s="130">
        <f>IFERROR(__xludf.DUMMYFUNCTION("IMPORTRANGE(""https://docs.google.com/spreadsheets/d/1CaLR8gtRCp0-wyyH0y5IvQnenreOSKFOo8AF4Pfpekc/edit?gid=400822622#gid=400822622"", ""GRADE 12!K""&amp;ROW(K59))"),0.0)</f>
        <v>0</v>
      </c>
      <c r="N62" s="130">
        <f>IFERROR(__xludf.DUMMYFUNCTION("IMPORTRANGE(""https://docs.google.com/spreadsheets/d/1CaLR8gtRCp0-wyyH0y5IvQnenreOSKFOo8AF4Pfpekc/edit?gid=400822622#gid=400822622"", ""GRADE 12!L""&amp;ROW(L59))"),0.0)</f>
        <v>0</v>
      </c>
      <c r="O62" s="130" t="str">
        <f>IFERROR(__xludf.DUMMYFUNCTION("IMPORTRANGE(""https://docs.google.com/spreadsheets/d/1CaLR8gtRCp0-wyyH0y5IvQnenreOSKFOo8AF4Pfpekc/edit?gid=400822622#gid=400822622"", ""GRADE 12!M""&amp;ROW(M59))"),"")</f>
        <v/>
      </c>
      <c r="P62" s="130">
        <f>IFERROR(__xludf.DUMMYFUNCTION("IMPORTRANGE(""https://docs.google.com/spreadsheets/d/1CaLR8gtRCp0-wyyH0y5IvQnenreOSKFOo8AF4Pfpekc/edit?gid=400822622#gid=400822622"", ""GRADE 12!N""&amp;ROW(N59))"),0.0)</f>
        <v>0</v>
      </c>
      <c r="Q62" s="130">
        <f>IFERROR(__xludf.DUMMYFUNCTION("IMPORTRANGE(""https://docs.google.com/spreadsheets/d/1CaLR8gtRCp0-wyyH0y5IvQnenreOSKFOo8AF4Pfpekc/edit?gid=400822622#gid=400822622"", ""GRADE 12!O""&amp;ROW(O59))"),0.0)</f>
        <v>0</v>
      </c>
      <c r="R62" s="130">
        <f>IFERROR(__xludf.DUMMYFUNCTION("IMPORTRANGE(""https://docs.google.com/spreadsheets/d/1CaLR8gtRCp0-wyyH0y5IvQnenreOSKFOo8AF4Pfpekc/edit?gid=400822622#gid=400822622"", ""GRADE 12!P""&amp;ROW(P59))"),0.0)</f>
        <v>0</v>
      </c>
      <c r="S62" s="130">
        <f>IFERROR(__xludf.DUMMYFUNCTION("IMPORTRANGE(""https://docs.google.com/spreadsheets/d/1CaLR8gtRCp0-wyyH0y5IvQnenreOSKFOo8AF4Pfpekc/edit?gid=400822622#gid=400822622"", ""GRADE 12!Q""&amp;ROW(Q59))"),0.0)</f>
        <v>0</v>
      </c>
      <c r="T62" s="130" t="str">
        <f>IFERROR(__xludf.DUMMYFUNCTION("IMPORTRANGE(""https://docs.google.com/spreadsheets/d/1CaLR8gtRCp0-wyyH0y5IvQnenreOSKFOo8AF4Pfpekc/edit?gid=400822622#gid=400822622"", ""GRADE 12!R""&amp;ROW(R59))"),"")</f>
        <v/>
      </c>
      <c r="U62" s="130" t="str">
        <f>IFERROR(__xludf.DUMMYFUNCTION("IMPORTRANGE(""https://docs.google.com/spreadsheets/d/1CaLR8gtRCp0-wyyH0y5IvQnenreOSKFOo8AF4Pfpekc/edit?gid=400822622#gid=400822622"", ""GRADE 12!S""&amp;ROW(S59))"),"")</f>
        <v/>
      </c>
      <c r="V62" s="131">
        <f>IFERROR(__xludf.DUMMYFUNCTION("IMPORTRANGE(""https://docs.google.com/spreadsheets/d/1CaLR8gtRCp0-wyyH0y5IvQnenreOSKFOo8AF4Pfpekc/edit?gid=400822622#gid=400822622"", ""GRADE 12!T""&amp;ROW(T59))"),6.0)</f>
        <v>6</v>
      </c>
      <c r="W62" s="132">
        <f>IFERROR(__xludf.DUMMYFUNCTION("IMPORTRANGE(""https://docs.google.com/spreadsheets/d/1CaLR8gtRCp0-wyyH0y5IvQnenreOSKFOo8AF4Pfpekc/edit?gid=400822622#gid=400822622"", ""GRADE 12!U""&amp;ROW(U59))"),0.0)</f>
        <v>0</v>
      </c>
      <c r="X62" s="61">
        <f>IFERROR(__xludf.DUMMYFUNCTION("IMPORTRANGE(""https://docs.google.com/spreadsheets/d/1CaLR8gtRCp0-wyyH0y5IvQnenreOSKFOo8AF4Pfpekc/edit?gid=400822622#gid=400822622"", ""GRADE 12!V""&amp;ROW(V59))"),0.0)</f>
        <v>0</v>
      </c>
    </row>
    <row r="63" ht="22.5" customHeight="1">
      <c r="A63" s="63" t="s">
        <v>178</v>
      </c>
      <c r="B63" s="64">
        <v>53.0</v>
      </c>
      <c r="C63" s="64" t="s">
        <v>284</v>
      </c>
      <c r="D63" s="65" t="s">
        <v>119</v>
      </c>
      <c r="E63" s="66" t="s">
        <v>285</v>
      </c>
      <c r="F63" s="66" t="s">
        <v>55</v>
      </c>
      <c r="G63" s="67">
        <v>22.0</v>
      </c>
      <c r="H63" s="67">
        <v>21.0</v>
      </c>
      <c r="I63" s="35">
        <f t="shared" si="1"/>
        <v>43</v>
      </c>
      <c r="J63" s="130" t="str">
        <f>IFERROR(__xludf.DUMMYFUNCTION("IMPORTRANGE(""https://docs.google.com/spreadsheets/d/1CaLR8gtRCp0-wyyH0y5IvQnenreOSKFOo8AF4Pfpekc/edit?gid=400822622#gid=400822622"", ""GRADE 12!H""&amp;ROW(H60))"),"")</f>
        <v/>
      </c>
      <c r="K63" s="130" t="str">
        <f>IFERROR(__xludf.DUMMYFUNCTION("IMPORTRANGE(""https://docs.google.com/spreadsheets/d/1CaLR8gtRCp0-wyyH0y5IvQnenreOSKFOo8AF4Pfpekc/edit?gid=400822622#gid=400822622"", ""GRADE 12!I""&amp;ROW(I60))"),"")</f>
        <v/>
      </c>
      <c r="L63" s="130" t="str">
        <f>IFERROR(__xludf.DUMMYFUNCTION("IMPORTRANGE(""https://docs.google.com/spreadsheets/d/1CaLR8gtRCp0-wyyH0y5IvQnenreOSKFOo8AF4Pfpekc/edit?gid=400822622#gid=400822622"", ""GRADE 12!J""&amp;ROW(J60))"),"")</f>
        <v/>
      </c>
      <c r="M63" s="130">
        <f>IFERROR(__xludf.DUMMYFUNCTION("IMPORTRANGE(""https://docs.google.com/spreadsheets/d/1CaLR8gtRCp0-wyyH0y5IvQnenreOSKFOo8AF4Pfpekc/edit?gid=400822622#gid=400822622"", ""GRADE 12!K""&amp;ROW(K60))"),0.0)</f>
        <v>0</v>
      </c>
      <c r="N63" s="130">
        <f>IFERROR(__xludf.DUMMYFUNCTION("IMPORTRANGE(""https://docs.google.com/spreadsheets/d/1CaLR8gtRCp0-wyyH0y5IvQnenreOSKFOo8AF4Pfpekc/edit?gid=400822622#gid=400822622"", ""GRADE 12!L""&amp;ROW(L60))"),0.0)</f>
        <v>0</v>
      </c>
      <c r="O63" s="130" t="str">
        <f>IFERROR(__xludf.DUMMYFUNCTION("IMPORTRANGE(""https://docs.google.com/spreadsheets/d/1CaLR8gtRCp0-wyyH0y5IvQnenreOSKFOo8AF4Pfpekc/edit?gid=400822622#gid=400822622"", ""GRADE 12!M""&amp;ROW(M60))"),"")</f>
        <v/>
      </c>
      <c r="P63" s="130">
        <f>IFERROR(__xludf.DUMMYFUNCTION("IMPORTRANGE(""https://docs.google.com/spreadsheets/d/1CaLR8gtRCp0-wyyH0y5IvQnenreOSKFOo8AF4Pfpekc/edit?gid=400822622#gid=400822622"", ""GRADE 12!N""&amp;ROW(N60))"),0.0)</f>
        <v>0</v>
      </c>
      <c r="Q63" s="130">
        <f>IFERROR(__xludf.DUMMYFUNCTION("IMPORTRANGE(""https://docs.google.com/spreadsheets/d/1CaLR8gtRCp0-wyyH0y5IvQnenreOSKFOo8AF4Pfpekc/edit?gid=400822622#gid=400822622"", ""GRADE 12!O""&amp;ROW(O60))"),0.0)</f>
        <v>0</v>
      </c>
      <c r="R63" s="130">
        <f>IFERROR(__xludf.DUMMYFUNCTION("IMPORTRANGE(""https://docs.google.com/spreadsheets/d/1CaLR8gtRCp0-wyyH0y5IvQnenreOSKFOo8AF4Pfpekc/edit?gid=400822622#gid=400822622"", ""GRADE 12!P""&amp;ROW(P60))"),0.0)</f>
        <v>0</v>
      </c>
      <c r="S63" s="130">
        <f>IFERROR(__xludf.DUMMYFUNCTION("IMPORTRANGE(""https://docs.google.com/spreadsheets/d/1CaLR8gtRCp0-wyyH0y5IvQnenreOSKFOo8AF4Pfpekc/edit?gid=400822622#gid=400822622"", ""GRADE 12!Q""&amp;ROW(Q60))"),0.0)</f>
        <v>0</v>
      </c>
      <c r="T63" s="130" t="str">
        <f>IFERROR(__xludf.DUMMYFUNCTION("IMPORTRANGE(""https://docs.google.com/spreadsheets/d/1CaLR8gtRCp0-wyyH0y5IvQnenreOSKFOo8AF4Pfpekc/edit?gid=400822622#gid=400822622"", ""GRADE 12!R""&amp;ROW(R60))"),"")</f>
        <v/>
      </c>
      <c r="U63" s="130" t="str">
        <f>IFERROR(__xludf.DUMMYFUNCTION("IMPORTRANGE(""https://docs.google.com/spreadsheets/d/1CaLR8gtRCp0-wyyH0y5IvQnenreOSKFOo8AF4Pfpekc/edit?gid=400822622#gid=400822622"", ""GRADE 12!S""&amp;ROW(S60))"),"")</f>
        <v/>
      </c>
      <c r="V63" s="131">
        <f>IFERROR(__xludf.DUMMYFUNCTION("IMPORTRANGE(""https://docs.google.com/spreadsheets/d/1CaLR8gtRCp0-wyyH0y5IvQnenreOSKFOo8AF4Pfpekc/edit?gid=400822622#gid=400822622"", ""GRADE 12!T""&amp;ROW(T60))"),6.0)</f>
        <v>6</v>
      </c>
      <c r="W63" s="132">
        <f>IFERROR(__xludf.DUMMYFUNCTION("IMPORTRANGE(""https://docs.google.com/spreadsheets/d/1CaLR8gtRCp0-wyyH0y5IvQnenreOSKFOo8AF4Pfpekc/edit?gid=400822622#gid=400822622"", ""GRADE 12!U""&amp;ROW(U60))"),0.0)</f>
        <v>0</v>
      </c>
      <c r="X63" s="61">
        <f>IFERROR(__xludf.DUMMYFUNCTION("IMPORTRANGE(""https://docs.google.com/spreadsheets/d/1CaLR8gtRCp0-wyyH0y5IvQnenreOSKFOo8AF4Pfpekc/edit?gid=400822622#gid=400822622"", ""GRADE 12!V""&amp;ROW(V60))"),0.0)</f>
        <v>0</v>
      </c>
    </row>
    <row r="64" ht="22.5" customHeight="1">
      <c r="A64" s="63" t="s">
        <v>178</v>
      </c>
      <c r="B64" s="64">
        <v>54.0</v>
      </c>
      <c r="C64" s="64" t="s">
        <v>286</v>
      </c>
      <c r="D64" s="65" t="s">
        <v>119</v>
      </c>
      <c r="E64" s="66" t="s">
        <v>287</v>
      </c>
      <c r="F64" s="66" t="s">
        <v>27</v>
      </c>
      <c r="G64" s="67">
        <v>22.0</v>
      </c>
      <c r="H64" s="67">
        <v>20.0</v>
      </c>
      <c r="I64" s="35">
        <f t="shared" si="1"/>
        <v>42</v>
      </c>
      <c r="J64" s="130" t="str">
        <f>IFERROR(__xludf.DUMMYFUNCTION("IMPORTRANGE(""https://docs.google.com/spreadsheets/d/1CaLR8gtRCp0-wyyH0y5IvQnenreOSKFOo8AF4Pfpekc/edit?gid=400822622#gid=400822622"", ""GRADE 12!H""&amp;ROW(H61))"),"")</f>
        <v/>
      </c>
      <c r="K64" s="130" t="str">
        <f>IFERROR(__xludf.DUMMYFUNCTION("IMPORTRANGE(""https://docs.google.com/spreadsheets/d/1CaLR8gtRCp0-wyyH0y5IvQnenreOSKFOo8AF4Pfpekc/edit?gid=400822622#gid=400822622"", ""GRADE 12!I""&amp;ROW(I61))"),"")</f>
        <v/>
      </c>
      <c r="L64" s="130" t="str">
        <f>IFERROR(__xludf.DUMMYFUNCTION("IMPORTRANGE(""https://docs.google.com/spreadsheets/d/1CaLR8gtRCp0-wyyH0y5IvQnenreOSKFOo8AF4Pfpekc/edit?gid=400822622#gid=400822622"", ""GRADE 12!J""&amp;ROW(J61))"),"")</f>
        <v/>
      </c>
      <c r="M64" s="130">
        <f>IFERROR(__xludf.DUMMYFUNCTION("IMPORTRANGE(""https://docs.google.com/spreadsheets/d/1CaLR8gtRCp0-wyyH0y5IvQnenreOSKFOo8AF4Pfpekc/edit?gid=400822622#gid=400822622"", ""GRADE 12!K""&amp;ROW(K61))"),0.0)</f>
        <v>0</v>
      </c>
      <c r="N64" s="130">
        <f>IFERROR(__xludf.DUMMYFUNCTION("IMPORTRANGE(""https://docs.google.com/spreadsheets/d/1CaLR8gtRCp0-wyyH0y5IvQnenreOSKFOo8AF4Pfpekc/edit?gid=400822622#gid=400822622"", ""GRADE 12!L""&amp;ROW(L61))"),0.0)</f>
        <v>0</v>
      </c>
      <c r="O64" s="130" t="str">
        <f>IFERROR(__xludf.DUMMYFUNCTION("IMPORTRANGE(""https://docs.google.com/spreadsheets/d/1CaLR8gtRCp0-wyyH0y5IvQnenreOSKFOo8AF4Pfpekc/edit?gid=400822622#gid=400822622"", ""GRADE 12!M""&amp;ROW(M61))"),"")</f>
        <v/>
      </c>
      <c r="P64" s="130">
        <f>IFERROR(__xludf.DUMMYFUNCTION("IMPORTRANGE(""https://docs.google.com/spreadsheets/d/1CaLR8gtRCp0-wyyH0y5IvQnenreOSKFOo8AF4Pfpekc/edit?gid=400822622#gid=400822622"", ""GRADE 12!N""&amp;ROW(N61))"),0.0)</f>
        <v>0</v>
      </c>
      <c r="Q64" s="130">
        <f>IFERROR(__xludf.DUMMYFUNCTION("IMPORTRANGE(""https://docs.google.com/spreadsheets/d/1CaLR8gtRCp0-wyyH0y5IvQnenreOSKFOo8AF4Pfpekc/edit?gid=400822622#gid=400822622"", ""GRADE 12!O""&amp;ROW(O61))"),0.0)</f>
        <v>0</v>
      </c>
      <c r="R64" s="130">
        <f>IFERROR(__xludf.DUMMYFUNCTION("IMPORTRANGE(""https://docs.google.com/spreadsheets/d/1CaLR8gtRCp0-wyyH0y5IvQnenreOSKFOo8AF4Pfpekc/edit?gid=400822622#gid=400822622"", ""GRADE 12!P""&amp;ROW(P61))"),0.0)</f>
        <v>0</v>
      </c>
      <c r="S64" s="130">
        <f>IFERROR(__xludf.DUMMYFUNCTION("IMPORTRANGE(""https://docs.google.com/spreadsheets/d/1CaLR8gtRCp0-wyyH0y5IvQnenreOSKFOo8AF4Pfpekc/edit?gid=400822622#gid=400822622"", ""GRADE 12!Q""&amp;ROW(Q61))"),0.0)</f>
        <v>0</v>
      </c>
      <c r="T64" s="130" t="str">
        <f>IFERROR(__xludf.DUMMYFUNCTION("IMPORTRANGE(""https://docs.google.com/spreadsheets/d/1CaLR8gtRCp0-wyyH0y5IvQnenreOSKFOo8AF4Pfpekc/edit?gid=400822622#gid=400822622"", ""GRADE 12!R""&amp;ROW(R61))"),"")</f>
        <v/>
      </c>
      <c r="U64" s="130" t="str">
        <f>IFERROR(__xludf.DUMMYFUNCTION("IMPORTRANGE(""https://docs.google.com/spreadsheets/d/1CaLR8gtRCp0-wyyH0y5IvQnenreOSKFOo8AF4Pfpekc/edit?gid=400822622#gid=400822622"", ""GRADE 12!S""&amp;ROW(S61))"),"")</f>
        <v/>
      </c>
      <c r="V64" s="131">
        <f>IFERROR(__xludf.DUMMYFUNCTION("IMPORTRANGE(""https://docs.google.com/spreadsheets/d/1CaLR8gtRCp0-wyyH0y5IvQnenreOSKFOo8AF4Pfpekc/edit?gid=400822622#gid=400822622"", ""GRADE 12!T""&amp;ROW(T61))"),6.0)</f>
        <v>6</v>
      </c>
      <c r="W64" s="132">
        <f>IFERROR(__xludf.DUMMYFUNCTION("IMPORTRANGE(""https://docs.google.com/spreadsheets/d/1CaLR8gtRCp0-wyyH0y5IvQnenreOSKFOo8AF4Pfpekc/edit?gid=400822622#gid=400822622"", ""GRADE 12!U""&amp;ROW(U61))"),0.0)</f>
        <v>0</v>
      </c>
      <c r="X64" s="61">
        <f>IFERROR(__xludf.DUMMYFUNCTION("IMPORTRANGE(""https://docs.google.com/spreadsheets/d/1CaLR8gtRCp0-wyyH0y5IvQnenreOSKFOo8AF4Pfpekc/edit?gid=400822622#gid=400822622"", ""GRADE 12!V""&amp;ROW(V61))"),0.0)</f>
        <v>0</v>
      </c>
    </row>
    <row r="65" ht="22.5" customHeight="1">
      <c r="A65" s="63" t="s">
        <v>178</v>
      </c>
      <c r="B65" s="64">
        <v>55.0</v>
      </c>
      <c r="C65" s="64" t="s">
        <v>288</v>
      </c>
      <c r="D65" s="65" t="s">
        <v>119</v>
      </c>
      <c r="E65" s="66" t="s">
        <v>289</v>
      </c>
      <c r="F65" s="66" t="s">
        <v>27</v>
      </c>
      <c r="G65" s="67">
        <v>21.0</v>
      </c>
      <c r="H65" s="67">
        <v>22.0</v>
      </c>
      <c r="I65" s="35">
        <f t="shared" si="1"/>
        <v>43</v>
      </c>
      <c r="J65" s="130" t="str">
        <f>IFERROR(__xludf.DUMMYFUNCTION("IMPORTRANGE(""https://docs.google.com/spreadsheets/d/1CaLR8gtRCp0-wyyH0y5IvQnenreOSKFOo8AF4Pfpekc/edit?gid=400822622#gid=400822622"", ""GRADE 12!H""&amp;ROW(H62))"),"")</f>
        <v/>
      </c>
      <c r="K65" s="130" t="str">
        <f>IFERROR(__xludf.DUMMYFUNCTION("IMPORTRANGE(""https://docs.google.com/spreadsheets/d/1CaLR8gtRCp0-wyyH0y5IvQnenreOSKFOo8AF4Pfpekc/edit?gid=400822622#gid=400822622"", ""GRADE 12!I""&amp;ROW(I62))"),"")</f>
        <v/>
      </c>
      <c r="L65" s="130" t="str">
        <f>IFERROR(__xludf.DUMMYFUNCTION("IMPORTRANGE(""https://docs.google.com/spreadsheets/d/1CaLR8gtRCp0-wyyH0y5IvQnenreOSKFOo8AF4Pfpekc/edit?gid=400822622#gid=400822622"", ""GRADE 12!J""&amp;ROW(J62))"),"")</f>
        <v/>
      </c>
      <c r="M65" s="130">
        <f>IFERROR(__xludf.DUMMYFUNCTION("IMPORTRANGE(""https://docs.google.com/spreadsheets/d/1CaLR8gtRCp0-wyyH0y5IvQnenreOSKFOo8AF4Pfpekc/edit?gid=400822622#gid=400822622"", ""GRADE 12!K""&amp;ROW(K62))"),0.0)</f>
        <v>0</v>
      </c>
      <c r="N65" s="130">
        <f>IFERROR(__xludf.DUMMYFUNCTION("IMPORTRANGE(""https://docs.google.com/spreadsheets/d/1CaLR8gtRCp0-wyyH0y5IvQnenreOSKFOo8AF4Pfpekc/edit?gid=400822622#gid=400822622"", ""GRADE 12!L""&amp;ROW(L62))"),0.0)</f>
        <v>0</v>
      </c>
      <c r="O65" s="130" t="str">
        <f>IFERROR(__xludf.DUMMYFUNCTION("IMPORTRANGE(""https://docs.google.com/spreadsheets/d/1CaLR8gtRCp0-wyyH0y5IvQnenreOSKFOo8AF4Pfpekc/edit?gid=400822622#gid=400822622"", ""GRADE 12!M""&amp;ROW(M62))"),"")</f>
        <v/>
      </c>
      <c r="P65" s="130">
        <f>IFERROR(__xludf.DUMMYFUNCTION("IMPORTRANGE(""https://docs.google.com/spreadsheets/d/1CaLR8gtRCp0-wyyH0y5IvQnenreOSKFOo8AF4Pfpekc/edit?gid=400822622#gid=400822622"", ""GRADE 12!N""&amp;ROW(N62))"),0.0)</f>
        <v>0</v>
      </c>
      <c r="Q65" s="130">
        <f>IFERROR(__xludf.DUMMYFUNCTION("IMPORTRANGE(""https://docs.google.com/spreadsheets/d/1CaLR8gtRCp0-wyyH0y5IvQnenreOSKFOo8AF4Pfpekc/edit?gid=400822622#gid=400822622"", ""GRADE 12!O""&amp;ROW(O62))"),0.0)</f>
        <v>0</v>
      </c>
      <c r="R65" s="130">
        <f>IFERROR(__xludf.DUMMYFUNCTION("IMPORTRANGE(""https://docs.google.com/spreadsheets/d/1CaLR8gtRCp0-wyyH0y5IvQnenreOSKFOo8AF4Pfpekc/edit?gid=400822622#gid=400822622"", ""GRADE 12!P""&amp;ROW(P62))"),0.0)</f>
        <v>0</v>
      </c>
      <c r="S65" s="130">
        <f>IFERROR(__xludf.DUMMYFUNCTION("IMPORTRANGE(""https://docs.google.com/spreadsheets/d/1CaLR8gtRCp0-wyyH0y5IvQnenreOSKFOo8AF4Pfpekc/edit?gid=400822622#gid=400822622"", ""GRADE 12!Q""&amp;ROW(Q62))"),0.0)</f>
        <v>0</v>
      </c>
      <c r="T65" s="130" t="str">
        <f>IFERROR(__xludf.DUMMYFUNCTION("IMPORTRANGE(""https://docs.google.com/spreadsheets/d/1CaLR8gtRCp0-wyyH0y5IvQnenreOSKFOo8AF4Pfpekc/edit?gid=400822622#gid=400822622"", ""GRADE 12!R""&amp;ROW(R62))"),"")</f>
        <v/>
      </c>
      <c r="U65" s="130" t="str">
        <f>IFERROR(__xludf.DUMMYFUNCTION("IMPORTRANGE(""https://docs.google.com/spreadsheets/d/1CaLR8gtRCp0-wyyH0y5IvQnenreOSKFOo8AF4Pfpekc/edit?gid=400822622#gid=400822622"", ""GRADE 12!S""&amp;ROW(S62))"),"")</f>
        <v/>
      </c>
      <c r="V65" s="131">
        <f>IFERROR(__xludf.DUMMYFUNCTION("IMPORTRANGE(""https://docs.google.com/spreadsheets/d/1CaLR8gtRCp0-wyyH0y5IvQnenreOSKFOo8AF4Pfpekc/edit?gid=400822622#gid=400822622"", ""GRADE 12!T""&amp;ROW(T62))"),6.0)</f>
        <v>6</v>
      </c>
      <c r="W65" s="132">
        <f>IFERROR(__xludf.DUMMYFUNCTION("IMPORTRANGE(""https://docs.google.com/spreadsheets/d/1CaLR8gtRCp0-wyyH0y5IvQnenreOSKFOo8AF4Pfpekc/edit?gid=400822622#gid=400822622"", ""GRADE 12!U""&amp;ROW(U62))"),0.0)</f>
        <v>0</v>
      </c>
      <c r="X65" s="61">
        <f>IFERROR(__xludf.DUMMYFUNCTION("IMPORTRANGE(""https://docs.google.com/spreadsheets/d/1CaLR8gtRCp0-wyyH0y5IvQnenreOSKFOo8AF4Pfpekc/edit?gid=400822622#gid=400822622"", ""GRADE 12!V""&amp;ROW(V62))"),0.0)</f>
        <v>0</v>
      </c>
    </row>
    <row r="66" ht="22.5" customHeight="1">
      <c r="A66" s="63" t="s">
        <v>178</v>
      </c>
      <c r="B66" s="64">
        <v>56.0</v>
      </c>
      <c r="C66" s="64" t="s">
        <v>290</v>
      </c>
      <c r="D66" s="65" t="s">
        <v>119</v>
      </c>
      <c r="E66" s="66" t="s">
        <v>291</v>
      </c>
      <c r="F66" s="66" t="s">
        <v>21</v>
      </c>
      <c r="G66" s="67">
        <v>16.0</v>
      </c>
      <c r="H66" s="67">
        <v>23.0</v>
      </c>
      <c r="I66" s="35">
        <f t="shared" si="1"/>
        <v>39</v>
      </c>
      <c r="J66" s="130" t="str">
        <f>IFERROR(__xludf.DUMMYFUNCTION("IMPORTRANGE(""https://docs.google.com/spreadsheets/d/1CaLR8gtRCp0-wyyH0y5IvQnenreOSKFOo8AF4Pfpekc/edit?gid=400822622#gid=400822622"", ""GRADE 12!H""&amp;ROW(H63))"),"")</f>
        <v/>
      </c>
      <c r="K66" s="130" t="str">
        <f>IFERROR(__xludf.DUMMYFUNCTION("IMPORTRANGE(""https://docs.google.com/spreadsheets/d/1CaLR8gtRCp0-wyyH0y5IvQnenreOSKFOo8AF4Pfpekc/edit?gid=400822622#gid=400822622"", ""GRADE 12!I""&amp;ROW(I63))"),"")</f>
        <v/>
      </c>
      <c r="L66" s="130" t="str">
        <f>IFERROR(__xludf.DUMMYFUNCTION("IMPORTRANGE(""https://docs.google.com/spreadsheets/d/1CaLR8gtRCp0-wyyH0y5IvQnenreOSKFOo8AF4Pfpekc/edit?gid=400822622#gid=400822622"", ""GRADE 12!J""&amp;ROW(J63))"),"")</f>
        <v/>
      </c>
      <c r="M66" s="130">
        <f>IFERROR(__xludf.DUMMYFUNCTION("IMPORTRANGE(""https://docs.google.com/spreadsheets/d/1CaLR8gtRCp0-wyyH0y5IvQnenreOSKFOo8AF4Pfpekc/edit?gid=400822622#gid=400822622"", ""GRADE 12!K""&amp;ROW(K63))"),0.0)</f>
        <v>0</v>
      </c>
      <c r="N66" s="130">
        <f>IFERROR(__xludf.DUMMYFUNCTION("IMPORTRANGE(""https://docs.google.com/spreadsheets/d/1CaLR8gtRCp0-wyyH0y5IvQnenreOSKFOo8AF4Pfpekc/edit?gid=400822622#gid=400822622"", ""GRADE 12!L""&amp;ROW(L63))"),0.0)</f>
        <v>0</v>
      </c>
      <c r="O66" s="130" t="str">
        <f>IFERROR(__xludf.DUMMYFUNCTION("IMPORTRANGE(""https://docs.google.com/spreadsheets/d/1CaLR8gtRCp0-wyyH0y5IvQnenreOSKFOo8AF4Pfpekc/edit?gid=400822622#gid=400822622"", ""GRADE 12!M""&amp;ROW(M63))"),"")</f>
        <v/>
      </c>
      <c r="P66" s="130">
        <f>IFERROR(__xludf.DUMMYFUNCTION("IMPORTRANGE(""https://docs.google.com/spreadsheets/d/1CaLR8gtRCp0-wyyH0y5IvQnenreOSKFOo8AF4Pfpekc/edit?gid=400822622#gid=400822622"", ""GRADE 12!N""&amp;ROW(N63))"),0.0)</f>
        <v>0</v>
      </c>
      <c r="Q66" s="130">
        <f>IFERROR(__xludf.DUMMYFUNCTION("IMPORTRANGE(""https://docs.google.com/spreadsheets/d/1CaLR8gtRCp0-wyyH0y5IvQnenreOSKFOo8AF4Pfpekc/edit?gid=400822622#gid=400822622"", ""GRADE 12!O""&amp;ROW(O63))"),0.0)</f>
        <v>0</v>
      </c>
      <c r="R66" s="130">
        <f>IFERROR(__xludf.DUMMYFUNCTION("IMPORTRANGE(""https://docs.google.com/spreadsheets/d/1CaLR8gtRCp0-wyyH0y5IvQnenreOSKFOo8AF4Pfpekc/edit?gid=400822622#gid=400822622"", ""GRADE 12!P""&amp;ROW(P63))"),0.0)</f>
        <v>0</v>
      </c>
      <c r="S66" s="130">
        <f>IFERROR(__xludf.DUMMYFUNCTION("IMPORTRANGE(""https://docs.google.com/spreadsheets/d/1CaLR8gtRCp0-wyyH0y5IvQnenreOSKFOo8AF4Pfpekc/edit?gid=400822622#gid=400822622"", ""GRADE 12!Q""&amp;ROW(Q63))"),0.0)</f>
        <v>0</v>
      </c>
      <c r="T66" s="130" t="str">
        <f>IFERROR(__xludf.DUMMYFUNCTION("IMPORTRANGE(""https://docs.google.com/spreadsheets/d/1CaLR8gtRCp0-wyyH0y5IvQnenreOSKFOo8AF4Pfpekc/edit?gid=400822622#gid=400822622"", ""GRADE 12!R""&amp;ROW(R63))"),"")</f>
        <v/>
      </c>
      <c r="U66" s="130" t="str">
        <f>IFERROR(__xludf.DUMMYFUNCTION("IMPORTRANGE(""https://docs.google.com/spreadsheets/d/1CaLR8gtRCp0-wyyH0y5IvQnenreOSKFOo8AF4Pfpekc/edit?gid=400822622#gid=400822622"", ""GRADE 12!S""&amp;ROW(S63))"),"")</f>
        <v/>
      </c>
      <c r="V66" s="131">
        <f>IFERROR(__xludf.DUMMYFUNCTION("IMPORTRANGE(""https://docs.google.com/spreadsheets/d/1CaLR8gtRCp0-wyyH0y5IvQnenreOSKFOo8AF4Pfpekc/edit?gid=400822622#gid=400822622"", ""GRADE 12!T""&amp;ROW(T63))"),6.0)</f>
        <v>6</v>
      </c>
      <c r="W66" s="132">
        <f>IFERROR(__xludf.DUMMYFUNCTION("IMPORTRANGE(""https://docs.google.com/spreadsheets/d/1CaLR8gtRCp0-wyyH0y5IvQnenreOSKFOo8AF4Pfpekc/edit?gid=400822622#gid=400822622"", ""GRADE 12!U""&amp;ROW(U63))"),0.0)</f>
        <v>0</v>
      </c>
      <c r="X66" s="61">
        <f>IFERROR(__xludf.DUMMYFUNCTION("IMPORTRANGE(""https://docs.google.com/spreadsheets/d/1CaLR8gtRCp0-wyyH0y5IvQnenreOSKFOo8AF4Pfpekc/edit?gid=400822622#gid=400822622"", ""GRADE 12!V""&amp;ROW(V63))"),0.0)</f>
        <v>0</v>
      </c>
    </row>
    <row r="67" ht="22.5" customHeight="1">
      <c r="A67" s="63" t="s">
        <v>178</v>
      </c>
      <c r="B67" s="64">
        <v>57.0</v>
      </c>
      <c r="C67" s="64" t="s">
        <v>292</v>
      </c>
      <c r="D67" s="65" t="s">
        <v>119</v>
      </c>
      <c r="E67" s="66" t="s">
        <v>293</v>
      </c>
      <c r="F67" s="66" t="s">
        <v>283</v>
      </c>
      <c r="G67" s="67">
        <v>18.0</v>
      </c>
      <c r="H67" s="67">
        <v>22.0</v>
      </c>
      <c r="I67" s="35">
        <f t="shared" si="1"/>
        <v>40</v>
      </c>
      <c r="J67" s="130" t="str">
        <f>IFERROR(__xludf.DUMMYFUNCTION("IMPORTRANGE(""https://docs.google.com/spreadsheets/d/1CaLR8gtRCp0-wyyH0y5IvQnenreOSKFOo8AF4Pfpekc/edit?gid=400822622#gid=400822622"", ""GRADE 12!H""&amp;ROW(H64))"),"")</f>
        <v/>
      </c>
      <c r="K67" s="130" t="str">
        <f>IFERROR(__xludf.DUMMYFUNCTION("IMPORTRANGE(""https://docs.google.com/spreadsheets/d/1CaLR8gtRCp0-wyyH0y5IvQnenreOSKFOo8AF4Pfpekc/edit?gid=400822622#gid=400822622"", ""GRADE 12!I""&amp;ROW(I64))"),"")</f>
        <v/>
      </c>
      <c r="L67" s="130" t="str">
        <f>IFERROR(__xludf.DUMMYFUNCTION("IMPORTRANGE(""https://docs.google.com/spreadsheets/d/1CaLR8gtRCp0-wyyH0y5IvQnenreOSKFOo8AF4Pfpekc/edit?gid=400822622#gid=400822622"", ""GRADE 12!J""&amp;ROW(J64))"),"")</f>
        <v/>
      </c>
      <c r="M67" s="130">
        <f>IFERROR(__xludf.DUMMYFUNCTION("IMPORTRANGE(""https://docs.google.com/spreadsheets/d/1CaLR8gtRCp0-wyyH0y5IvQnenreOSKFOo8AF4Pfpekc/edit?gid=400822622#gid=400822622"", ""GRADE 12!K""&amp;ROW(K64))"),0.0)</f>
        <v>0</v>
      </c>
      <c r="N67" s="130">
        <f>IFERROR(__xludf.DUMMYFUNCTION("IMPORTRANGE(""https://docs.google.com/spreadsheets/d/1CaLR8gtRCp0-wyyH0y5IvQnenreOSKFOo8AF4Pfpekc/edit?gid=400822622#gid=400822622"", ""GRADE 12!L""&amp;ROW(L64))"),0.0)</f>
        <v>0</v>
      </c>
      <c r="O67" s="130" t="str">
        <f>IFERROR(__xludf.DUMMYFUNCTION("IMPORTRANGE(""https://docs.google.com/spreadsheets/d/1CaLR8gtRCp0-wyyH0y5IvQnenreOSKFOo8AF4Pfpekc/edit?gid=400822622#gid=400822622"", ""GRADE 12!M""&amp;ROW(M64))"),"")</f>
        <v/>
      </c>
      <c r="P67" s="130">
        <f>IFERROR(__xludf.DUMMYFUNCTION("IMPORTRANGE(""https://docs.google.com/spreadsheets/d/1CaLR8gtRCp0-wyyH0y5IvQnenreOSKFOo8AF4Pfpekc/edit?gid=400822622#gid=400822622"", ""GRADE 12!N""&amp;ROW(N64))"),0.0)</f>
        <v>0</v>
      </c>
      <c r="Q67" s="130">
        <f>IFERROR(__xludf.DUMMYFUNCTION("IMPORTRANGE(""https://docs.google.com/spreadsheets/d/1CaLR8gtRCp0-wyyH0y5IvQnenreOSKFOo8AF4Pfpekc/edit?gid=400822622#gid=400822622"", ""GRADE 12!O""&amp;ROW(O64))"),0.0)</f>
        <v>0</v>
      </c>
      <c r="R67" s="130">
        <f>IFERROR(__xludf.DUMMYFUNCTION("IMPORTRANGE(""https://docs.google.com/spreadsheets/d/1CaLR8gtRCp0-wyyH0y5IvQnenreOSKFOo8AF4Pfpekc/edit?gid=400822622#gid=400822622"", ""GRADE 12!P""&amp;ROW(P64))"),0.0)</f>
        <v>0</v>
      </c>
      <c r="S67" s="130">
        <f>IFERROR(__xludf.DUMMYFUNCTION("IMPORTRANGE(""https://docs.google.com/spreadsheets/d/1CaLR8gtRCp0-wyyH0y5IvQnenreOSKFOo8AF4Pfpekc/edit?gid=400822622#gid=400822622"", ""GRADE 12!Q""&amp;ROW(Q64))"),0.0)</f>
        <v>0</v>
      </c>
      <c r="T67" s="130" t="str">
        <f>IFERROR(__xludf.DUMMYFUNCTION("IMPORTRANGE(""https://docs.google.com/spreadsheets/d/1CaLR8gtRCp0-wyyH0y5IvQnenreOSKFOo8AF4Pfpekc/edit?gid=400822622#gid=400822622"", ""GRADE 12!R""&amp;ROW(R64))"),"")</f>
        <v/>
      </c>
      <c r="U67" s="130" t="str">
        <f>IFERROR(__xludf.DUMMYFUNCTION("IMPORTRANGE(""https://docs.google.com/spreadsheets/d/1CaLR8gtRCp0-wyyH0y5IvQnenreOSKFOo8AF4Pfpekc/edit?gid=400822622#gid=400822622"", ""GRADE 12!S""&amp;ROW(S64))"),"")</f>
        <v/>
      </c>
      <c r="V67" s="131">
        <f>IFERROR(__xludf.DUMMYFUNCTION("IMPORTRANGE(""https://docs.google.com/spreadsheets/d/1CaLR8gtRCp0-wyyH0y5IvQnenreOSKFOo8AF4Pfpekc/edit?gid=400822622#gid=400822622"", ""GRADE 12!T""&amp;ROW(T64))"),6.0)</f>
        <v>6</v>
      </c>
      <c r="W67" s="132">
        <f>IFERROR(__xludf.DUMMYFUNCTION("IMPORTRANGE(""https://docs.google.com/spreadsheets/d/1CaLR8gtRCp0-wyyH0y5IvQnenreOSKFOo8AF4Pfpekc/edit?gid=400822622#gid=400822622"", ""GRADE 12!U""&amp;ROW(U64))"),0.0)</f>
        <v>0</v>
      </c>
      <c r="X67" s="61">
        <f>IFERROR(__xludf.DUMMYFUNCTION("IMPORTRANGE(""https://docs.google.com/spreadsheets/d/1CaLR8gtRCp0-wyyH0y5IvQnenreOSKFOo8AF4Pfpekc/edit?gid=400822622#gid=400822622"", ""GRADE 12!V""&amp;ROW(V64))"),0.0)</f>
        <v>0</v>
      </c>
    </row>
    <row r="68" ht="22.5" customHeight="1">
      <c r="A68" s="63" t="s">
        <v>178</v>
      </c>
      <c r="B68" s="64">
        <v>58.0</v>
      </c>
      <c r="C68" s="64" t="s">
        <v>294</v>
      </c>
      <c r="D68" s="65" t="s">
        <v>119</v>
      </c>
      <c r="E68" s="66" t="s">
        <v>295</v>
      </c>
      <c r="F68" s="66" t="s">
        <v>55</v>
      </c>
      <c r="G68" s="67">
        <v>17.0</v>
      </c>
      <c r="H68" s="67">
        <v>18.0</v>
      </c>
      <c r="I68" s="35">
        <f t="shared" si="1"/>
        <v>35</v>
      </c>
      <c r="J68" s="130" t="str">
        <f>IFERROR(__xludf.DUMMYFUNCTION("IMPORTRANGE(""https://docs.google.com/spreadsheets/d/1CaLR8gtRCp0-wyyH0y5IvQnenreOSKFOo8AF4Pfpekc/edit?gid=400822622#gid=400822622"", ""GRADE 12!H""&amp;ROW(H65))"),"")</f>
        <v/>
      </c>
      <c r="K68" s="130" t="str">
        <f>IFERROR(__xludf.DUMMYFUNCTION("IMPORTRANGE(""https://docs.google.com/spreadsheets/d/1CaLR8gtRCp0-wyyH0y5IvQnenreOSKFOo8AF4Pfpekc/edit?gid=400822622#gid=400822622"", ""GRADE 12!I""&amp;ROW(I65))"),"")</f>
        <v/>
      </c>
      <c r="L68" s="130" t="str">
        <f>IFERROR(__xludf.DUMMYFUNCTION("IMPORTRANGE(""https://docs.google.com/spreadsheets/d/1CaLR8gtRCp0-wyyH0y5IvQnenreOSKFOo8AF4Pfpekc/edit?gid=400822622#gid=400822622"", ""GRADE 12!J""&amp;ROW(J65))"),"")</f>
        <v/>
      </c>
      <c r="M68" s="130">
        <f>IFERROR(__xludf.DUMMYFUNCTION("IMPORTRANGE(""https://docs.google.com/spreadsheets/d/1CaLR8gtRCp0-wyyH0y5IvQnenreOSKFOo8AF4Pfpekc/edit?gid=400822622#gid=400822622"", ""GRADE 12!K""&amp;ROW(K65))"),0.0)</f>
        <v>0</v>
      </c>
      <c r="N68" s="130">
        <f>IFERROR(__xludf.DUMMYFUNCTION("IMPORTRANGE(""https://docs.google.com/spreadsheets/d/1CaLR8gtRCp0-wyyH0y5IvQnenreOSKFOo8AF4Pfpekc/edit?gid=400822622#gid=400822622"", ""GRADE 12!L""&amp;ROW(L65))"),0.0)</f>
        <v>0</v>
      </c>
      <c r="O68" s="130" t="str">
        <f>IFERROR(__xludf.DUMMYFUNCTION("IMPORTRANGE(""https://docs.google.com/spreadsheets/d/1CaLR8gtRCp0-wyyH0y5IvQnenreOSKFOo8AF4Pfpekc/edit?gid=400822622#gid=400822622"", ""GRADE 12!M""&amp;ROW(M65))"),"")</f>
        <v/>
      </c>
      <c r="P68" s="130">
        <f>IFERROR(__xludf.DUMMYFUNCTION("IMPORTRANGE(""https://docs.google.com/spreadsheets/d/1CaLR8gtRCp0-wyyH0y5IvQnenreOSKFOo8AF4Pfpekc/edit?gid=400822622#gid=400822622"", ""GRADE 12!N""&amp;ROW(N65))"),0.0)</f>
        <v>0</v>
      </c>
      <c r="Q68" s="130">
        <f>IFERROR(__xludf.DUMMYFUNCTION("IMPORTRANGE(""https://docs.google.com/spreadsheets/d/1CaLR8gtRCp0-wyyH0y5IvQnenreOSKFOo8AF4Pfpekc/edit?gid=400822622#gid=400822622"", ""GRADE 12!O""&amp;ROW(O65))"),0.0)</f>
        <v>0</v>
      </c>
      <c r="R68" s="130">
        <f>IFERROR(__xludf.DUMMYFUNCTION("IMPORTRANGE(""https://docs.google.com/spreadsheets/d/1CaLR8gtRCp0-wyyH0y5IvQnenreOSKFOo8AF4Pfpekc/edit?gid=400822622#gid=400822622"", ""GRADE 12!P""&amp;ROW(P65))"),0.0)</f>
        <v>0</v>
      </c>
      <c r="S68" s="130">
        <f>IFERROR(__xludf.DUMMYFUNCTION("IMPORTRANGE(""https://docs.google.com/spreadsheets/d/1CaLR8gtRCp0-wyyH0y5IvQnenreOSKFOo8AF4Pfpekc/edit?gid=400822622#gid=400822622"", ""GRADE 12!Q""&amp;ROW(Q65))"),0.0)</f>
        <v>0</v>
      </c>
      <c r="T68" s="130" t="str">
        <f>IFERROR(__xludf.DUMMYFUNCTION("IMPORTRANGE(""https://docs.google.com/spreadsheets/d/1CaLR8gtRCp0-wyyH0y5IvQnenreOSKFOo8AF4Pfpekc/edit?gid=400822622#gid=400822622"", ""GRADE 12!R""&amp;ROW(R65))"),"")</f>
        <v/>
      </c>
      <c r="U68" s="130" t="str">
        <f>IFERROR(__xludf.DUMMYFUNCTION("IMPORTRANGE(""https://docs.google.com/spreadsheets/d/1CaLR8gtRCp0-wyyH0y5IvQnenreOSKFOo8AF4Pfpekc/edit?gid=400822622#gid=400822622"", ""GRADE 12!S""&amp;ROW(S65))"),"")</f>
        <v/>
      </c>
      <c r="V68" s="131">
        <f>IFERROR(__xludf.DUMMYFUNCTION("IMPORTRANGE(""https://docs.google.com/spreadsheets/d/1CaLR8gtRCp0-wyyH0y5IvQnenreOSKFOo8AF4Pfpekc/edit?gid=400822622#gid=400822622"", ""GRADE 12!T""&amp;ROW(T65))"),6.0)</f>
        <v>6</v>
      </c>
      <c r="W68" s="132">
        <f>IFERROR(__xludf.DUMMYFUNCTION("IMPORTRANGE(""https://docs.google.com/spreadsheets/d/1CaLR8gtRCp0-wyyH0y5IvQnenreOSKFOo8AF4Pfpekc/edit?gid=400822622#gid=400822622"", ""GRADE 12!U""&amp;ROW(U65))"),0.0)</f>
        <v>0</v>
      </c>
      <c r="X68" s="61">
        <f>IFERROR(__xludf.DUMMYFUNCTION("IMPORTRANGE(""https://docs.google.com/spreadsheets/d/1CaLR8gtRCp0-wyyH0y5IvQnenreOSKFOo8AF4Pfpekc/edit?gid=400822622#gid=400822622"", ""GRADE 12!V""&amp;ROW(V65))"),0.0)</f>
        <v>0</v>
      </c>
    </row>
    <row r="69" ht="22.5" customHeight="1">
      <c r="A69" s="63" t="s">
        <v>178</v>
      </c>
      <c r="B69" s="64">
        <v>59.0</v>
      </c>
      <c r="C69" s="64" t="s">
        <v>296</v>
      </c>
      <c r="D69" s="65" t="s">
        <v>141</v>
      </c>
      <c r="E69" s="66" t="s">
        <v>297</v>
      </c>
      <c r="F69" s="66" t="s">
        <v>21</v>
      </c>
      <c r="G69" s="67">
        <v>31.0</v>
      </c>
      <c r="H69" s="67">
        <v>16.0</v>
      </c>
      <c r="I69" s="35">
        <f t="shared" si="1"/>
        <v>47</v>
      </c>
      <c r="J69" s="130">
        <f>IFERROR(__xludf.DUMMYFUNCTION("IMPORTRANGE(""https://docs.google.com/spreadsheets/d/1CaLR8gtRCp0-wyyH0y5IvQnenreOSKFOo8AF4Pfpekc/edit?gid=400822622#gid=400822622"", ""GRADE 12!H""&amp;ROW(H66))"),0.0)</f>
        <v>0</v>
      </c>
      <c r="K69" s="130">
        <f>IFERROR(__xludf.DUMMYFUNCTION("IMPORTRANGE(""https://docs.google.com/spreadsheets/d/1CaLR8gtRCp0-wyyH0y5IvQnenreOSKFOo8AF4Pfpekc/edit?gid=400822622#gid=400822622"", ""GRADE 12!I""&amp;ROW(I66))"),0.0)</f>
        <v>0</v>
      </c>
      <c r="L69" s="130">
        <f>IFERROR(__xludf.DUMMYFUNCTION("IMPORTRANGE(""https://docs.google.com/spreadsheets/d/1CaLR8gtRCp0-wyyH0y5IvQnenreOSKFOo8AF4Pfpekc/edit?gid=400822622#gid=400822622"", ""GRADE 12!J""&amp;ROW(J66))"),0.0)</f>
        <v>0</v>
      </c>
      <c r="M69" s="130">
        <f>IFERROR(__xludf.DUMMYFUNCTION("IMPORTRANGE(""https://docs.google.com/spreadsheets/d/1CaLR8gtRCp0-wyyH0y5IvQnenreOSKFOo8AF4Pfpekc/edit?gid=400822622#gid=400822622"", ""GRADE 12!K""&amp;ROW(K66))"),0.0)</f>
        <v>0</v>
      </c>
      <c r="N69" s="130">
        <f>IFERROR(__xludf.DUMMYFUNCTION("IMPORTRANGE(""https://docs.google.com/spreadsheets/d/1CaLR8gtRCp0-wyyH0y5IvQnenreOSKFOo8AF4Pfpekc/edit?gid=400822622#gid=400822622"", ""GRADE 12!L""&amp;ROW(L66))"),0.0)</f>
        <v>0</v>
      </c>
      <c r="O69" s="130">
        <f>IFERROR(__xludf.DUMMYFUNCTION("IMPORTRANGE(""https://docs.google.com/spreadsheets/d/1CaLR8gtRCp0-wyyH0y5IvQnenreOSKFOo8AF4Pfpekc/edit?gid=400822622#gid=400822622"", ""GRADE 12!M""&amp;ROW(M66))"),0.0)</f>
        <v>0</v>
      </c>
      <c r="P69" s="130" t="str">
        <f>IFERROR(__xludf.DUMMYFUNCTION("IMPORTRANGE(""https://docs.google.com/spreadsheets/d/1CaLR8gtRCp0-wyyH0y5IvQnenreOSKFOo8AF4Pfpekc/edit?gid=400822622#gid=400822622"", ""GRADE 12!N""&amp;ROW(N66))"),"")</f>
        <v/>
      </c>
      <c r="Q69" s="130" t="str">
        <f>IFERROR(__xludf.DUMMYFUNCTION("IMPORTRANGE(""https://docs.google.com/spreadsheets/d/1CaLR8gtRCp0-wyyH0y5IvQnenreOSKFOo8AF4Pfpekc/edit?gid=400822622#gid=400822622"", ""GRADE 12!O""&amp;ROW(O66))"),"")</f>
        <v/>
      </c>
      <c r="R69" s="130" t="str">
        <f>IFERROR(__xludf.DUMMYFUNCTION("IMPORTRANGE(""https://docs.google.com/spreadsheets/d/1CaLR8gtRCp0-wyyH0y5IvQnenreOSKFOo8AF4Pfpekc/edit?gid=400822622#gid=400822622"", ""GRADE 12!P""&amp;ROW(P66))"),"")</f>
        <v/>
      </c>
      <c r="S69" s="130">
        <f>IFERROR(__xludf.DUMMYFUNCTION("IMPORTRANGE(""https://docs.google.com/spreadsheets/d/1CaLR8gtRCp0-wyyH0y5IvQnenreOSKFOo8AF4Pfpekc/edit?gid=400822622#gid=400822622"", ""GRADE 12!Q""&amp;ROW(Q66))"),0.0)</f>
        <v>0</v>
      </c>
      <c r="T69" s="130" t="str">
        <f>IFERROR(__xludf.DUMMYFUNCTION("IMPORTRANGE(""https://docs.google.com/spreadsheets/d/1CaLR8gtRCp0-wyyH0y5IvQnenreOSKFOo8AF4Pfpekc/edit?gid=400822622#gid=400822622"", ""GRADE 12!R""&amp;ROW(R66))"),"")</f>
        <v/>
      </c>
      <c r="U69" s="130" t="str">
        <f>IFERROR(__xludf.DUMMYFUNCTION("IMPORTRANGE(""https://docs.google.com/spreadsheets/d/1CaLR8gtRCp0-wyyH0y5IvQnenreOSKFOo8AF4Pfpekc/edit?gid=400822622#gid=400822622"", ""GRADE 12!S""&amp;ROW(S66))"),"")</f>
        <v/>
      </c>
      <c r="V69" s="131">
        <f>IFERROR(__xludf.DUMMYFUNCTION("IMPORTRANGE(""https://docs.google.com/spreadsheets/d/1CaLR8gtRCp0-wyyH0y5IvQnenreOSKFOo8AF4Pfpekc/edit?gid=400822622#gid=400822622"", ""GRADE 12!T""&amp;ROW(T66))"),7.0)</f>
        <v>7</v>
      </c>
      <c r="W69" s="132">
        <f>IFERROR(__xludf.DUMMYFUNCTION("IMPORTRANGE(""https://docs.google.com/spreadsheets/d/1CaLR8gtRCp0-wyyH0y5IvQnenreOSKFOo8AF4Pfpekc/edit?gid=400822622#gid=400822622"", ""GRADE 12!U""&amp;ROW(U66))"),0.0)</f>
        <v>0</v>
      </c>
      <c r="X69" s="61">
        <f>IFERROR(__xludf.DUMMYFUNCTION("IMPORTRANGE(""https://docs.google.com/spreadsheets/d/1CaLR8gtRCp0-wyyH0y5IvQnenreOSKFOo8AF4Pfpekc/edit?gid=400822622#gid=400822622"", ""GRADE 12!V""&amp;ROW(V66))"),0.0)</f>
        <v>0</v>
      </c>
    </row>
    <row r="70" ht="22.5" customHeight="1">
      <c r="A70" s="63" t="s">
        <v>178</v>
      </c>
      <c r="B70" s="64">
        <v>60.0</v>
      </c>
      <c r="C70" s="64" t="s">
        <v>298</v>
      </c>
      <c r="D70" s="65" t="s">
        <v>141</v>
      </c>
      <c r="E70" s="66" t="s">
        <v>299</v>
      </c>
      <c r="F70" s="66" t="s">
        <v>27</v>
      </c>
      <c r="G70" s="67">
        <v>33.0</v>
      </c>
      <c r="H70" s="67">
        <v>12.0</v>
      </c>
      <c r="I70" s="35">
        <f t="shared" si="1"/>
        <v>45</v>
      </c>
      <c r="J70" s="130">
        <f>IFERROR(__xludf.DUMMYFUNCTION("IMPORTRANGE(""https://docs.google.com/spreadsheets/d/1CaLR8gtRCp0-wyyH0y5IvQnenreOSKFOo8AF4Pfpekc/edit?gid=400822622#gid=400822622"", ""GRADE 12!H""&amp;ROW(H67))"),0.0)</f>
        <v>0</v>
      </c>
      <c r="K70" s="130">
        <f>IFERROR(__xludf.DUMMYFUNCTION("IMPORTRANGE(""https://docs.google.com/spreadsheets/d/1CaLR8gtRCp0-wyyH0y5IvQnenreOSKFOo8AF4Pfpekc/edit?gid=400822622#gid=400822622"", ""GRADE 12!I""&amp;ROW(I67))"),0.0)</f>
        <v>0</v>
      </c>
      <c r="L70" s="130">
        <f>IFERROR(__xludf.DUMMYFUNCTION("IMPORTRANGE(""https://docs.google.com/spreadsheets/d/1CaLR8gtRCp0-wyyH0y5IvQnenreOSKFOo8AF4Pfpekc/edit?gid=400822622#gid=400822622"", ""GRADE 12!J""&amp;ROW(J67))"),0.0)</f>
        <v>0</v>
      </c>
      <c r="M70" s="130">
        <f>IFERROR(__xludf.DUMMYFUNCTION("IMPORTRANGE(""https://docs.google.com/spreadsheets/d/1CaLR8gtRCp0-wyyH0y5IvQnenreOSKFOo8AF4Pfpekc/edit?gid=400822622#gid=400822622"", ""GRADE 12!K""&amp;ROW(K67))"),0.0)</f>
        <v>0</v>
      </c>
      <c r="N70" s="130">
        <f>IFERROR(__xludf.DUMMYFUNCTION("IMPORTRANGE(""https://docs.google.com/spreadsheets/d/1CaLR8gtRCp0-wyyH0y5IvQnenreOSKFOo8AF4Pfpekc/edit?gid=400822622#gid=400822622"", ""GRADE 12!L""&amp;ROW(L67))"),0.0)</f>
        <v>0</v>
      </c>
      <c r="O70" s="130">
        <f>IFERROR(__xludf.DUMMYFUNCTION("IMPORTRANGE(""https://docs.google.com/spreadsheets/d/1CaLR8gtRCp0-wyyH0y5IvQnenreOSKFOo8AF4Pfpekc/edit?gid=400822622#gid=400822622"", ""GRADE 12!M""&amp;ROW(M67))"),0.0)</f>
        <v>0</v>
      </c>
      <c r="P70" s="130" t="str">
        <f>IFERROR(__xludf.DUMMYFUNCTION("IMPORTRANGE(""https://docs.google.com/spreadsheets/d/1CaLR8gtRCp0-wyyH0y5IvQnenreOSKFOo8AF4Pfpekc/edit?gid=400822622#gid=400822622"", ""GRADE 12!N""&amp;ROW(N67))"),"")</f>
        <v/>
      </c>
      <c r="Q70" s="130" t="str">
        <f>IFERROR(__xludf.DUMMYFUNCTION("IMPORTRANGE(""https://docs.google.com/spreadsheets/d/1CaLR8gtRCp0-wyyH0y5IvQnenreOSKFOo8AF4Pfpekc/edit?gid=400822622#gid=400822622"", ""GRADE 12!O""&amp;ROW(O67))"),"")</f>
        <v/>
      </c>
      <c r="R70" s="130" t="str">
        <f>IFERROR(__xludf.DUMMYFUNCTION("IMPORTRANGE(""https://docs.google.com/spreadsheets/d/1CaLR8gtRCp0-wyyH0y5IvQnenreOSKFOo8AF4Pfpekc/edit?gid=400822622#gid=400822622"", ""GRADE 12!P""&amp;ROW(P67))"),"")</f>
        <v/>
      </c>
      <c r="S70" s="130">
        <f>IFERROR(__xludf.DUMMYFUNCTION("IMPORTRANGE(""https://docs.google.com/spreadsheets/d/1CaLR8gtRCp0-wyyH0y5IvQnenreOSKFOo8AF4Pfpekc/edit?gid=400822622#gid=400822622"", ""GRADE 12!Q""&amp;ROW(Q67))"),0.0)</f>
        <v>0</v>
      </c>
      <c r="T70" s="130" t="str">
        <f>IFERROR(__xludf.DUMMYFUNCTION("IMPORTRANGE(""https://docs.google.com/spreadsheets/d/1CaLR8gtRCp0-wyyH0y5IvQnenreOSKFOo8AF4Pfpekc/edit?gid=400822622#gid=400822622"", ""GRADE 12!R""&amp;ROW(R67))"),"")</f>
        <v/>
      </c>
      <c r="U70" s="130" t="str">
        <f>IFERROR(__xludf.DUMMYFUNCTION("IMPORTRANGE(""https://docs.google.com/spreadsheets/d/1CaLR8gtRCp0-wyyH0y5IvQnenreOSKFOo8AF4Pfpekc/edit?gid=400822622#gid=400822622"", ""GRADE 12!S""&amp;ROW(S67))"),"")</f>
        <v/>
      </c>
      <c r="V70" s="131">
        <f>IFERROR(__xludf.DUMMYFUNCTION("IMPORTRANGE(""https://docs.google.com/spreadsheets/d/1CaLR8gtRCp0-wyyH0y5IvQnenreOSKFOo8AF4Pfpekc/edit?gid=400822622#gid=400822622"", ""GRADE 12!T""&amp;ROW(T67))"),7.0)</f>
        <v>7</v>
      </c>
      <c r="W70" s="132">
        <f>IFERROR(__xludf.DUMMYFUNCTION("IMPORTRANGE(""https://docs.google.com/spreadsheets/d/1CaLR8gtRCp0-wyyH0y5IvQnenreOSKFOo8AF4Pfpekc/edit?gid=400822622#gid=400822622"", ""GRADE 12!U""&amp;ROW(U67))"),0.0)</f>
        <v>0</v>
      </c>
      <c r="X70" s="61">
        <f>IFERROR(__xludf.DUMMYFUNCTION("IMPORTRANGE(""https://docs.google.com/spreadsheets/d/1CaLR8gtRCp0-wyyH0y5IvQnenreOSKFOo8AF4Pfpekc/edit?gid=400822622#gid=400822622"", ""GRADE 12!V""&amp;ROW(V67))"),0.0)</f>
        <v>0</v>
      </c>
    </row>
    <row r="71" ht="22.5" customHeight="1">
      <c r="A71" s="63" t="s">
        <v>178</v>
      </c>
      <c r="B71" s="64">
        <v>61.0</v>
      </c>
      <c r="C71" s="64" t="s">
        <v>300</v>
      </c>
      <c r="D71" s="65" t="s">
        <v>141</v>
      </c>
      <c r="E71" s="66" t="s">
        <v>301</v>
      </c>
      <c r="F71" s="66" t="s">
        <v>30</v>
      </c>
      <c r="G71" s="67">
        <v>31.0</v>
      </c>
      <c r="H71" s="67">
        <v>16.0</v>
      </c>
      <c r="I71" s="35">
        <f t="shared" si="1"/>
        <v>47</v>
      </c>
      <c r="J71" s="130">
        <f>IFERROR(__xludf.DUMMYFUNCTION("IMPORTRANGE(""https://docs.google.com/spreadsheets/d/1CaLR8gtRCp0-wyyH0y5IvQnenreOSKFOo8AF4Pfpekc/edit?gid=400822622#gid=400822622"", ""GRADE 12!H""&amp;ROW(H68))"),0.0)</f>
        <v>0</v>
      </c>
      <c r="K71" s="130">
        <f>IFERROR(__xludf.DUMMYFUNCTION("IMPORTRANGE(""https://docs.google.com/spreadsheets/d/1CaLR8gtRCp0-wyyH0y5IvQnenreOSKFOo8AF4Pfpekc/edit?gid=400822622#gid=400822622"", ""GRADE 12!I""&amp;ROW(I68))"),0.0)</f>
        <v>0</v>
      </c>
      <c r="L71" s="130">
        <f>IFERROR(__xludf.DUMMYFUNCTION("IMPORTRANGE(""https://docs.google.com/spreadsheets/d/1CaLR8gtRCp0-wyyH0y5IvQnenreOSKFOo8AF4Pfpekc/edit?gid=400822622#gid=400822622"", ""GRADE 12!J""&amp;ROW(J68))"),0.0)</f>
        <v>0</v>
      </c>
      <c r="M71" s="130">
        <f>IFERROR(__xludf.DUMMYFUNCTION("IMPORTRANGE(""https://docs.google.com/spreadsheets/d/1CaLR8gtRCp0-wyyH0y5IvQnenreOSKFOo8AF4Pfpekc/edit?gid=400822622#gid=400822622"", ""GRADE 12!K""&amp;ROW(K68))"),0.0)</f>
        <v>0</v>
      </c>
      <c r="N71" s="130">
        <f>IFERROR(__xludf.DUMMYFUNCTION("IMPORTRANGE(""https://docs.google.com/spreadsheets/d/1CaLR8gtRCp0-wyyH0y5IvQnenreOSKFOo8AF4Pfpekc/edit?gid=400822622#gid=400822622"", ""GRADE 12!L""&amp;ROW(L68))"),0.0)</f>
        <v>0</v>
      </c>
      <c r="O71" s="130">
        <f>IFERROR(__xludf.DUMMYFUNCTION("IMPORTRANGE(""https://docs.google.com/spreadsheets/d/1CaLR8gtRCp0-wyyH0y5IvQnenreOSKFOo8AF4Pfpekc/edit?gid=400822622#gid=400822622"", ""GRADE 12!M""&amp;ROW(M68))"),0.0)</f>
        <v>0</v>
      </c>
      <c r="P71" s="130" t="str">
        <f>IFERROR(__xludf.DUMMYFUNCTION("IMPORTRANGE(""https://docs.google.com/spreadsheets/d/1CaLR8gtRCp0-wyyH0y5IvQnenreOSKFOo8AF4Pfpekc/edit?gid=400822622#gid=400822622"", ""GRADE 12!N""&amp;ROW(N68))"),"")</f>
        <v/>
      </c>
      <c r="Q71" s="130" t="str">
        <f>IFERROR(__xludf.DUMMYFUNCTION("IMPORTRANGE(""https://docs.google.com/spreadsheets/d/1CaLR8gtRCp0-wyyH0y5IvQnenreOSKFOo8AF4Pfpekc/edit?gid=400822622#gid=400822622"", ""GRADE 12!O""&amp;ROW(O68))"),"")</f>
        <v/>
      </c>
      <c r="R71" s="130" t="str">
        <f>IFERROR(__xludf.DUMMYFUNCTION("IMPORTRANGE(""https://docs.google.com/spreadsheets/d/1CaLR8gtRCp0-wyyH0y5IvQnenreOSKFOo8AF4Pfpekc/edit?gid=400822622#gid=400822622"", ""GRADE 12!P""&amp;ROW(P68))"),"")</f>
        <v/>
      </c>
      <c r="S71" s="130">
        <f>IFERROR(__xludf.DUMMYFUNCTION("IMPORTRANGE(""https://docs.google.com/spreadsheets/d/1CaLR8gtRCp0-wyyH0y5IvQnenreOSKFOo8AF4Pfpekc/edit?gid=400822622#gid=400822622"", ""GRADE 12!Q""&amp;ROW(Q68))"),0.0)</f>
        <v>0</v>
      </c>
      <c r="T71" s="130" t="str">
        <f>IFERROR(__xludf.DUMMYFUNCTION("IMPORTRANGE(""https://docs.google.com/spreadsheets/d/1CaLR8gtRCp0-wyyH0y5IvQnenreOSKFOo8AF4Pfpekc/edit?gid=400822622#gid=400822622"", ""GRADE 12!R""&amp;ROW(R68))"),"")</f>
        <v/>
      </c>
      <c r="U71" s="130" t="str">
        <f>IFERROR(__xludf.DUMMYFUNCTION("IMPORTRANGE(""https://docs.google.com/spreadsheets/d/1CaLR8gtRCp0-wyyH0y5IvQnenreOSKFOo8AF4Pfpekc/edit?gid=400822622#gid=400822622"", ""GRADE 12!S""&amp;ROW(S68))"),"")</f>
        <v/>
      </c>
      <c r="V71" s="131">
        <f>IFERROR(__xludf.DUMMYFUNCTION("IMPORTRANGE(""https://docs.google.com/spreadsheets/d/1CaLR8gtRCp0-wyyH0y5IvQnenreOSKFOo8AF4Pfpekc/edit?gid=400822622#gid=400822622"", ""GRADE 12!T""&amp;ROW(T68))"),7.0)</f>
        <v>7</v>
      </c>
      <c r="W71" s="132">
        <f>IFERROR(__xludf.DUMMYFUNCTION("IMPORTRANGE(""https://docs.google.com/spreadsheets/d/1CaLR8gtRCp0-wyyH0y5IvQnenreOSKFOo8AF4Pfpekc/edit?gid=400822622#gid=400822622"", ""GRADE 12!U""&amp;ROW(U68))"),0.0)</f>
        <v>0</v>
      </c>
      <c r="X71" s="61">
        <f>IFERROR(__xludf.DUMMYFUNCTION("IMPORTRANGE(""https://docs.google.com/spreadsheets/d/1CaLR8gtRCp0-wyyH0y5IvQnenreOSKFOo8AF4Pfpekc/edit?gid=400822622#gid=400822622"", ""GRADE 12!V""&amp;ROW(V68))"),0.0)</f>
        <v>0</v>
      </c>
    </row>
    <row r="72" ht="22.5" customHeight="1">
      <c r="A72" s="63" t="s">
        <v>178</v>
      </c>
      <c r="B72" s="64">
        <v>62.0</v>
      </c>
      <c r="C72" s="64" t="s">
        <v>302</v>
      </c>
      <c r="D72" s="65" t="s">
        <v>141</v>
      </c>
      <c r="E72" s="66" t="s">
        <v>303</v>
      </c>
      <c r="F72" s="66" t="s">
        <v>27</v>
      </c>
      <c r="G72" s="67">
        <v>33.0</v>
      </c>
      <c r="H72" s="67">
        <v>13.0</v>
      </c>
      <c r="I72" s="35">
        <f t="shared" si="1"/>
        <v>46</v>
      </c>
      <c r="J72" s="130">
        <f>IFERROR(__xludf.DUMMYFUNCTION("IMPORTRANGE(""https://docs.google.com/spreadsheets/d/1CaLR8gtRCp0-wyyH0y5IvQnenreOSKFOo8AF4Pfpekc/edit?gid=400822622#gid=400822622"", ""GRADE 12!H""&amp;ROW(H69))"),0.0)</f>
        <v>0</v>
      </c>
      <c r="K72" s="130">
        <f>IFERROR(__xludf.DUMMYFUNCTION("IMPORTRANGE(""https://docs.google.com/spreadsheets/d/1CaLR8gtRCp0-wyyH0y5IvQnenreOSKFOo8AF4Pfpekc/edit?gid=400822622#gid=400822622"", ""GRADE 12!I""&amp;ROW(I69))"),0.0)</f>
        <v>0</v>
      </c>
      <c r="L72" s="130">
        <f>IFERROR(__xludf.DUMMYFUNCTION("IMPORTRANGE(""https://docs.google.com/spreadsheets/d/1CaLR8gtRCp0-wyyH0y5IvQnenreOSKFOo8AF4Pfpekc/edit?gid=400822622#gid=400822622"", ""GRADE 12!J""&amp;ROW(J69))"),0.0)</f>
        <v>0</v>
      </c>
      <c r="M72" s="130">
        <f>IFERROR(__xludf.DUMMYFUNCTION("IMPORTRANGE(""https://docs.google.com/spreadsheets/d/1CaLR8gtRCp0-wyyH0y5IvQnenreOSKFOo8AF4Pfpekc/edit?gid=400822622#gid=400822622"", ""GRADE 12!K""&amp;ROW(K69))"),0.0)</f>
        <v>0</v>
      </c>
      <c r="N72" s="130">
        <f>IFERROR(__xludf.DUMMYFUNCTION("IMPORTRANGE(""https://docs.google.com/spreadsheets/d/1CaLR8gtRCp0-wyyH0y5IvQnenreOSKFOo8AF4Pfpekc/edit?gid=400822622#gid=400822622"", ""GRADE 12!L""&amp;ROW(L69))"),0.0)</f>
        <v>0</v>
      </c>
      <c r="O72" s="130">
        <f>IFERROR(__xludf.DUMMYFUNCTION("IMPORTRANGE(""https://docs.google.com/spreadsheets/d/1CaLR8gtRCp0-wyyH0y5IvQnenreOSKFOo8AF4Pfpekc/edit?gid=400822622#gid=400822622"", ""GRADE 12!M""&amp;ROW(M69))"),0.0)</f>
        <v>0</v>
      </c>
      <c r="P72" s="130" t="str">
        <f>IFERROR(__xludf.DUMMYFUNCTION("IMPORTRANGE(""https://docs.google.com/spreadsheets/d/1CaLR8gtRCp0-wyyH0y5IvQnenreOSKFOo8AF4Pfpekc/edit?gid=400822622#gid=400822622"", ""GRADE 12!N""&amp;ROW(N69))"),"")</f>
        <v/>
      </c>
      <c r="Q72" s="130" t="str">
        <f>IFERROR(__xludf.DUMMYFUNCTION("IMPORTRANGE(""https://docs.google.com/spreadsheets/d/1CaLR8gtRCp0-wyyH0y5IvQnenreOSKFOo8AF4Pfpekc/edit?gid=400822622#gid=400822622"", ""GRADE 12!O""&amp;ROW(O69))"),"")</f>
        <v/>
      </c>
      <c r="R72" s="130" t="str">
        <f>IFERROR(__xludf.DUMMYFUNCTION("IMPORTRANGE(""https://docs.google.com/spreadsheets/d/1CaLR8gtRCp0-wyyH0y5IvQnenreOSKFOo8AF4Pfpekc/edit?gid=400822622#gid=400822622"", ""GRADE 12!P""&amp;ROW(P69))"),"")</f>
        <v/>
      </c>
      <c r="S72" s="130">
        <f>IFERROR(__xludf.DUMMYFUNCTION("IMPORTRANGE(""https://docs.google.com/spreadsheets/d/1CaLR8gtRCp0-wyyH0y5IvQnenreOSKFOo8AF4Pfpekc/edit?gid=400822622#gid=400822622"", ""GRADE 12!Q""&amp;ROW(Q69))"),0.0)</f>
        <v>0</v>
      </c>
      <c r="T72" s="130" t="str">
        <f>IFERROR(__xludf.DUMMYFUNCTION("IMPORTRANGE(""https://docs.google.com/spreadsheets/d/1CaLR8gtRCp0-wyyH0y5IvQnenreOSKFOo8AF4Pfpekc/edit?gid=400822622#gid=400822622"", ""GRADE 12!R""&amp;ROW(R69))"),"")</f>
        <v/>
      </c>
      <c r="U72" s="130" t="str">
        <f>IFERROR(__xludf.DUMMYFUNCTION("IMPORTRANGE(""https://docs.google.com/spreadsheets/d/1CaLR8gtRCp0-wyyH0y5IvQnenreOSKFOo8AF4Pfpekc/edit?gid=400822622#gid=400822622"", ""GRADE 12!S""&amp;ROW(S69))"),"")</f>
        <v/>
      </c>
      <c r="V72" s="131">
        <f>IFERROR(__xludf.DUMMYFUNCTION("IMPORTRANGE(""https://docs.google.com/spreadsheets/d/1CaLR8gtRCp0-wyyH0y5IvQnenreOSKFOo8AF4Pfpekc/edit?gid=400822622#gid=400822622"", ""GRADE 12!T""&amp;ROW(T69))"),7.0)</f>
        <v>7</v>
      </c>
      <c r="W72" s="132">
        <f>IFERROR(__xludf.DUMMYFUNCTION("IMPORTRANGE(""https://docs.google.com/spreadsheets/d/1CaLR8gtRCp0-wyyH0y5IvQnenreOSKFOo8AF4Pfpekc/edit?gid=400822622#gid=400822622"", ""GRADE 12!U""&amp;ROW(U69))"),0.0)</f>
        <v>0</v>
      </c>
      <c r="X72" s="61">
        <f>IFERROR(__xludf.DUMMYFUNCTION("IMPORTRANGE(""https://docs.google.com/spreadsheets/d/1CaLR8gtRCp0-wyyH0y5IvQnenreOSKFOo8AF4Pfpekc/edit?gid=400822622#gid=400822622"", ""GRADE 12!V""&amp;ROW(V69))"),0.0)</f>
        <v>0</v>
      </c>
    </row>
    <row r="73" ht="22.5" customHeight="1">
      <c r="A73" s="63" t="s">
        <v>178</v>
      </c>
      <c r="B73" s="64">
        <v>63.0</v>
      </c>
      <c r="C73" s="64" t="s">
        <v>304</v>
      </c>
      <c r="D73" s="65" t="s">
        <v>141</v>
      </c>
      <c r="E73" s="66" t="s">
        <v>305</v>
      </c>
      <c r="F73" s="66" t="s">
        <v>55</v>
      </c>
      <c r="G73" s="67">
        <v>37.0</v>
      </c>
      <c r="H73" s="67">
        <v>11.0</v>
      </c>
      <c r="I73" s="35">
        <f t="shared" si="1"/>
        <v>48</v>
      </c>
      <c r="J73" s="130">
        <f>IFERROR(__xludf.DUMMYFUNCTION("IMPORTRANGE(""https://docs.google.com/spreadsheets/d/1CaLR8gtRCp0-wyyH0y5IvQnenreOSKFOo8AF4Pfpekc/edit?gid=400822622#gid=400822622"", ""GRADE 12!H""&amp;ROW(H70))"),0.0)</f>
        <v>0</v>
      </c>
      <c r="K73" s="130">
        <f>IFERROR(__xludf.DUMMYFUNCTION("IMPORTRANGE(""https://docs.google.com/spreadsheets/d/1CaLR8gtRCp0-wyyH0y5IvQnenreOSKFOo8AF4Pfpekc/edit?gid=400822622#gid=400822622"", ""GRADE 12!I""&amp;ROW(I70))"),0.0)</f>
        <v>0</v>
      </c>
      <c r="L73" s="130">
        <f>IFERROR(__xludf.DUMMYFUNCTION("IMPORTRANGE(""https://docs.google.com/spreadsheets/d/1CaLR8gtRCp0-wyyH0y5IvQnenreOSKFOo8AF4Pfpekc/edit?gid=400822622#gid=400822622"", ""GRADE 12!J""&amp;ROW(J70))"),0.0)</f>
        <v>0</v>
      </c>
      <c r="M73" s="130">
        <f>IFERROR(__xludf.DUMMYFUNCTION("IMPORTRANGE(""https://docs.google.com/spreadsheets/d/1CaLR8gtRCp0-wyyH0y5IvQnenreOSKFOo8AF4Pfpekc/edit?gid=400822622#gid=400822622"", ""GRADE 12!K""&amp;ROW(K70))"),0.0)</f>
        <v>0</v>
      </c>
      <c r="N73" s="130">
        <f>IFERROR(__xludf.DUMMYFUNCTION("IMPORTRANGE(""https://docs.google.com/spreadsheets/d/1CaLR8gtRCp0-wyyH0y5IvQnenreOSKFOo8AF4Pfpekc/edit?gid=400822622#gid=400822622"", ""GRADE 12!L""&amp;ROW(L70))"),0.0)</f>
        <v>0</v>
      </c>
      <c r="O73" s="130">
        <f>IFERROR(__xludf.DUMMYFUNCTION("IMPORTRANGE(""https://docs.google.com/spreadsheets/d/1CaLR8gtRCp0-wyyH0y5IvQnenreOSKFOo8AF4Pfpekc/edit?gid=400822622#gid=400822622"", ""GRADE 12!M""&amp;ROW(M70))"),0.0)</f>
        <v>0</v>
      </c>
      <c r="P73" s="130" t="str">
        <f>IFERROR(__xludf.DUMMYFUNCTION("IMPORTRANGE(""https://docs.google.com/spreadsheets/d/1CaLR8gtRCp0-wyyH0y5IvQnenreOSKFOo8AF4Pfpekc/edit?gid=400822622#gid=400822622"", ""GRADE 12!N""&amp;ROW(N70))"),"")</f>
        <v/>
      </c>
      <c r="Q73" s="130" t="str">
        <f>IFERROR(__xludf.DUMMYFUNCTION("IMPORTRANGE(""https://docs.google.com/spreadsheets/d/1CaLR8gtRCp0-wyyH0y5IvQnenreOSKFOo8AF4Pfpekc/edit?gid=400822622#gid=400822622"", ""GRADE 12!O""&amp;ROW(O70))"),"")</f>
        <v/>
      </c>
      <c r="R73" s="130" t="str">
        <f>IFERROR(__xludf.DUMMYFUNCTION("IMPORTRANGE(""https://docs.google.com/spreadsheets/d/1CaLR8gtRCp0-wyyH0y5IvQnenreOSKFOo8AF4Pfpekc/edit?gid=400822622#gid=400822622"", ""GRADE 12!P""&amp;ROW(P70))"),"")</f>
        <v/>
      </c>
      <c r="S73" s="130">
        <f>IFERROR(__xludf.DUMMYFUNCTION("IMPORTRANGE(""https://docs.google.com/spreadsheets/d/1CaLR8gtRCp0-wyyH0y5IvQnenreOSKFOo8AF4Pfpekc/edit?gid=400822622#gid=400822622"", ""GRADE 12!Q""&amp;ROW(Q70))"),0.0)</f>
        <v>0</v>
      </c>
      <c r="T73" s="130" t="str">
        <f>IFERROR(__xludf.DUMMYFUNCTION("IMPORTRANGE(""https://docs.google.com/spreadsheets/d/1CaLR8gtRCp0-wyyH0y5IvQnenreOSKFOo8AF4Pfpekc/edit?gid=400822622#gid=400822622"", ""GRADE 12!R""&amp;ROW(R70))"),"")</f>
        <v/>
      </c>
      <c r="U73" s="130" t="str">
        <f>IFERROR(__xludf.DUMMYFUNCTION("IMPORTRANGE(""https://docs.google.com/spreadsheets/d/1CaLR8gtRCp0-wyyH0y5IvQnenreOSKFOo8AF4Pfpekc/edit?gid=400822622#gid=400822622"", ""GRADE 12!S""&amp;ROW(S70))"),"")</f>
        <v/>
      </c>
      <c r="V73" s="131">
        <f>IFERROR(__xludf.DUMMYFUNCTION("IMPORTRANGE(""https://docs.google.com/spreadsheets/d/1CaLR8gtRCp0-wyyH0y5IvQnenreOSKFOo8AF4Pfpekc/edit?gid=400822622#gid=400822622"", ""GRADE 12!T""&amp;ROW(T70))"),7.0)</f>
        <v>7</v>
      </c>
      <c r="W73" s="132">
        <f>IFERROR(__xludf.DUMMYFUNCTION("IMPORTRANGE(""https://docs.google.com/spreadsheets/d/1CaLR8gtRCp0-wyyH0y5IvQnenreOSKFOo8AF4Pfpekc/edit?gid=400822622#gid=400822622"", ""GRADE 12!U""&amp;ROW(U70))"),0.0)</f>
        <v>0</v>
      </c>
      <c r="X73" s="61">
        <f>IFERROR(__xludf.DUMMYFUNCTION("IMPORTRANGE(""https://docs.google.com/spreadsheets/d/1CaLR8gtRCp0-wyyH0y5IvQnenreOSKFOo8AF4Pfpekc/edit?gid=400822622#gid=400822622"", ""GRADE 12!V""&amp;ROW(V70))"),0.0)</f>
        <v>0</v>
      </c>
    </row>
    <row r="74" ht="22.5" customHeight="1">
      <c r="A74" s="63" t="s">
        <v>178</v>
      </c>
      <c r="B74" s="64">
        <v>64.0</v>
      </c>
      <c r="C74" s="64" t="s">
        <v>306</v>
      </c>
      <c r="D74" s="65" t="s">
        <v>141</v>
      </c>
      <c r="E74" s="66" t="s">
        <v>307</v>
      </c>
      <c r="F74" s="66" t="s">
        <v>55</v>
      </c>
      <c r="G74" s="67">
        <v>33.0</v>
      </c>
      <c r="H74" s="67">
        <v>14.0</v>
      </c>
      <c r="I74" s="35">
        <f t="shared" si="1"/>
        <v>47</v>
      </c>
      <c r="J74" s="130" t="str">
        <f>IFERROR(__xludf.DUMMYFUNCTION("IMPORTRANGE(""https://docs.google.com/spreadsheets/d/1CaLR8gtRCp0-wyyH0y5IvQnenreOSKFOo8AF4Pfpekc/edit?gid=400822622#gid=400822622"", ""GRADE 12!H""&amp;ROW(H71))"),"")</f>
        <v/>
      </c>
      <c r="K74" s="130" t="str">
        <f>IFERROR(__xludf.DUMMYFUNCTION("IMPORTRANGE(""https://docs.google.com/spreadsheets/d/1CaLR8gtRCp0-wyyH0y5IvQnenreOSKFOo8AF4Pfpekc/edit?gid=400822622#gid=400822622"", ""GRADE 12!I""&amp;ROW(I71))"),"")</f>
        <v/>
      </c>
      <c r="L74" s="130" t="str">
        <f>IFERROR(__xludf.DUMMYFUNCTION("IMPORTRANGE(""https://docs.google.com/spreadsheets/d/1CaLR8gtRCp0-wyyH0y5IvQnenreOSKFOo8AF4Pfpekc/edit?gid=400822622#gid=400822622"", ""GRADE 12!J""&amp;ROW(J71))"),"")</f>
        <v/>
      </c>
      <c r="M74" s="130">
        <f>IFERROR(__xludf.DUMMYFUNCTION("IMPORTRANGE(""https://docs.google.com/spreadsheets/d/1CaLR8gtRCp0-wyyH0y5IvQnenreOSKFOo8AF4Pfpekc/edit?gid=400822622#gid=400822622"", ""GRADE 12!K""&amp;ROW(K71))"),0.0)</f>
        <v>0</v>
      </c>
      <c r="N74" s="130">
        <f>IFERROR(__xludf.DUMMYFUNCTION("IMPORTRANGE(""https://docs.google.com/spreadsheets/d/1CaLR8gtRCp0-wyyH0y5IvQnenreOSKFOo8AF4Pfpekc/edit?gid=400822622#gid=400822622"", ""GRADE 12!L""&amp;ROW(L71))"),0.0)</f>
        <v>0</v>
      </c>
      <c r="O74" s="130" t="str">
        <f>IFERROR(__xludf.DUMMYFUNCTION("IMPORTRANGE(""https://docs.google.com/spreadsheets/d/1CaLR8gtRCp0-wyyH0y5IvQnenreOSKFOo8AF4Pfpekc/edit?gid=400822622#gid=400822622"", ""GRADE 12!M""&amp;ROW(M71))"),"")</f>
        <v/>
      </c>
      <c r="P74" s="130">
        <f>IFERROR(__xludf.DUMMYFUNCTION("IMPORTRANGE(""https://docs.google.com/spreadsheets/d/1CaLR8gtRCp0-wyyH0y5IvQnenreOSKFOo8AF4Pfpekc/edit?gid=400822622#gid=400822622"", ""GRADE 12!N""&amp;ROW(N71))"),0.0)</f>
        <v>0</v>
      </c>
      <c r="Q74" s="130">
        <f>IFERROR(__xludf.DUMMYFUNCTION("IMPORTRANGE(""https://docs.google.com/spreadsheets/d/1CaLR8gtRCp0-wyyH0y5IvQnenreOSKFOo8AF4Pfpekc/edit?gid=400822622#gid=400822622"", ""GRADE 12!O""&amp;ROW(O71))"),0.0)</f>
        <v>0</v>
      </c>
      <c r="R74" s="130">
        <f>IFERROR(__xludf.DUMMYFUNCTION("IMPORTRANGE(""https://docs.google.com/spreadsheets/d/1CaLR8gtRCp0-wyyH0y5IvQnenreOSKFOo8AF4Pfpekc/edit?gid=400822622#gid=400822622"", ""GRADE 12!P""&amp;ROW(P71))"),0.0)</f>
        <v>0</v>
      </c>
      <c r="S74" s="130">
        <f>IFERROR(__xludf.DUMMYFUNCTION("IMPORTRANGE(""https://docs.google.com/spreadsheets/d/1CaLR8gtRCp0-wyyH0y5IvQnenreOSKFOo8AF4Pfpekc/edit?gid=400822622#gid=400822622"", ""GRADE 12!Q""&amp;ROW(Q71))"),0.0)</f>
        <v>0</v>
      </c>
      <c r="T74" s="130" t="str">
        <f>IFERROR(__xludf.DUMMYFUNCTION("IMPORTRANGE(""https://docs.google.com/spreadsheets/d/1CaLR8gtRCp0-wyyH0y5IvQnenreOSKFOo8AF4Pfpekc/edit?gid=400822622#gid=400822622"", ""GRADE 12!R""&amp;ROW(R71))"),"")</f>
        <v/>
      </c>
      <c r="U74" s="130" t="str">
        <f>IFERROR(__xludf.DUMMYFUNCTION("IMPORTRANGE(""https://docs.google.com/spreadsheets/d/1CaLR8gtRCp0-wyyH0y5IvQnenreOSKFOo8AF4Pfpekc/edit?gid=400822622#gid=400822622"", ""GRADE 12!S""&amp;ROW(S71))"),"")</f>
        <v/>
      </c>
      <c r="V74" s="131">
        <f>IFERROR(__xludf.DUMMYFUNCTION("IMPORTRANGE(""https://docs.google.com/spreadsheets/d/1CaLR8gtRCp0-wyyH0y5IvQnenreOSKFOo8AF4Pfpekc/edit?gid=400822622#gid=400822622"", ""GRADE 12!T""&amp;ROW(T71))"),6.0)</f>
        <v>6</v>
      </c>
      <c r="W74" s="132">
        <f>IFERROR(__xludf.DUMMYFUNCTION("IMPORTRANGE(""https://docs.google.com/spreadsheets/d/1CaLR8gtRCp0-wyyH0y5IvQnenreOSKFOo8AF4Pfpekc/edit?gid=400822622#gid=400822622"", ""GRADE 12!U""&amp;ROW(U71))"),0.0)</f>
        <v>0</v>
      </c>
      <c r="X74" s="61">
        <f>IFERROR(__xludf.DUMMYFUNCTION("IMPORTRANGE(""https://docs.google.com/spreadsheets/d/1CaLR8gtRCp0-wyyH0y5IvQnenreOSKFOo8AF4Pfpekc/edit?gid=400822622#gid=400822622"", ""GRADE 12!V""&amp;ROW(V71))"),0.0)</f>
        <v>0</v>
      </c>
    </row>
    <row r="75" ht="22.5" customHeight="1">
      <c r="A75" s="63" t="s">
        <v>178</v>
      </c>
      <c r="B75" s="64">
        <v>65.0</v>
      </c>
      <c r="C75" s="64" t="s">
        <v>308</v>
      </c>
      <c r="D75" s="65" t="s">
        <v>141</v>
      </c>
      <c r="E75" s="66" t="s">
        <v>309</v>
      </c>
      <c r="F75" s="66" t="s">
        <v>27</v>
      </c>
      <c r="G75" s="67">
        <v>34.0</v>
      </c>
      <c r="H75" s="67">
        <v>12.0</v>
      </c>
      <c r="I75" s="35">
        <f t="shared" si="1"/>
        <v>46</v>
      </c>
      <c r="J75" s="130" t="str">
        <f>IFERROR(__xludf.DUMMYFUNCTION("IMPORTRANGE(""https://docs.google.com/spreadsheets/d/1CaLR8gtRCp0-wyyH0y5IvQnenreOSKFOo8AF4Pfpekc/edit?gid=400822622#gid=400822622"", ""GRADE 12!H""&amp;ROW(H72))"),"")</f>
        <v/>
      </c>
      <c r="K75" s="130" t="str">
        <f>IFERROR(__xludf.DUMMYFUNCTION("IMPORTRANGE(""https://docs.google.com/spreadsheets/d/1CaLR8gtRCp0-wyyH0y5IvQnenreOSKFOo8AF4Pfpekc/edit?gid=400822622#gid=400822622"", ""GRADE 12!I""&amp;ROW(I72))"),"")</f>
        <v/>
      </c>
      <c r="L75" s="130" t="str">
        <f>IFERROR(__xludf.DUMMYFUNCTION("IMPORTRANGE(""https://docs.google.com/spreadsheets/d/1CaLR8gtRCp0-wyyH0y5IvQnenreOSKFOo8AF4Pfpekc/edit?gid=400822622#gid=400822622"", ""GRADE 12!J""&amp;ROW(J72))"),"")</f>
        <v/>
      </c>
      <c r="M75" s="130">
        <f>IFERROR(__xludf.DUMMYFUNCTION("IMPORTRANGE(""https://docs.google.com/spreadsheets/d/1CaLR8gtRCp0-wyyH0y5IvQnenreOSKFOo8AF4Pfpekc/edit?gid=400822622#gid=400822622"", ""GRADE 12!K""&amp;ROW(K72))"),0.0)</f>
        <v>0</v>
      </c>
      <c r="N75" s="130">
        <f>IFERROR(__xludf.DUMMYFUNCTION("IMPORTRANGE(""https://docs.google.com/spreadsheets/d/1CaLR8gtRCp0-wyyH0y5IvQnenreOSKFOo8AF4Pfpekc/edit?gid=400822622#gid=400822622"", ""GRADE 12!L""&amp;ROW(L72))"),0.0)</f>
        <v>0</v>
      </c>
      <c r="O75" s="130" t="str">
        <f>IFERROR(__xludf.DUMMYFUNCTION("IMPORTRANGE(""https://docs.google.com/spreadsheets/d/1CaLR8gtRCp0-wyyH0y5IvQnenreOSKFOo8AF4Pfpekc/edit?gid=400822622#gid=400822622"", ""GRADE 12!M""&amp;ROW(M72))"),"")</f>
        <v/>
      </c>
      <c r="P75" s="130">
        <f>IFERROR(__xludf.DUMMYFUNCTION("IMPORTRANGE(""https://docs.google.com/spreadsheets/d/1CaLR8gtRCp0-wyyH0y5IvQnenreOSKFOo8AF4Pfpekc/edit?gid=400822622#gid=400822622"", ""GRADE 12!N""&amp;ROW(N72))"),0.0)</f>
        <v>0</v>
      </c>
      <c r="Q75" s="130">
        <f>IFERROR(__xludf.DUMMYFUNCTION("IMPORTRANGE(""https://docs.google.com/spreadsheets/d/1CaLR8gtRCp0-wyyH0y5IvQnenreOSKFOo8AF4Pfpekc/edit?gid=400822622#gid=400822622"", ""GRADE 12!O""&amp;ROW(O72))"),0.0)</f>
        <v>0</v>
      </c>
      <c r="R75" s="130">
        <f>IFERROR(__xludf.DUMMYFUNCTION("IMPORTRANGE(""https://docs.google.com/spreadsheets/d/1CaLR8gtRCp0-wyyH0y5IvQnenreOSKFOo8AF4Pfpekc/edit?gid=400822622#gid=400822622"", ""GRADE 12!P""&amp;ROW(P72))"),0.0)</f>
        <v>0</v>
      </c>
      <c r="S75" s="130">
        <f>IFERROR(__xludf.DUMMYFUNCTION("IMPORTRANGE(""https://docs.google.com/spreadsheets/d/1CaLR8gtRCp0-wyyH0y5IvQnenreOSKFOo8AF4Pfpekc/edit?gid=400822622#gid=400822622"", ""GRADE 12!Q""&amp;ROW(Q72))"),0.0)</f>
        <v>0</v>
      </c>
      <c r="T75" s="130" t="str">
        <f>IFERROR(__xludf.DUMMYFUNCTION("IMPORTRANGE(""https://docs.google.com/spreadsheets/d/1CaLR8gtRCp0-wyyH0y5IvQnenreOSKFOo8AF4Pfpekc/edit?gid=400822622#gid=400822622"", ""GRADE 12!R""&amp;ROW(R72))"),"")</f>
        <v/>
      </c>
      <c r="U75" s="130" t="str">
        <f>IFERROR(__xludf.DUMMYFUNCTION("IMPORTRANGE(""https://docs.google.com/spreadsheets/d/1CaLR8gtRCp0-wyyH0y5IvQnenreOSKFOo8AF4Pfpekc/edit?gid=400822622#gid=400822622"", ""GRADE 12!S""&amp;ROW(S72))"),"")</f>
        <v/>
      </c>
      <c r="V75" s="131">
        <f>IFERROR(__xludf.DUMMYFUNCTION("IMPORTRANGE(""https://docs.google.com/spreadsheets/d/1CaLR8gtRCp0-wyyH0y5IvQnenreOSKFOo8AF4Pfpekc/edit?gid=400822622#gid=400822622"", ""GRADE 12!T""&amp;ROW(T72))"),6.0)</f>
        <v>6</v>
      </c>
      <c r="W75" s="132">
        <f>IFERROR(__xludf.DUMMYFUNCTION("IMPORTRANGE(""https://docs.google.com/spreadsheets/d/1CaLR8gtRCp0-wyyH0y5IvQnenreOSKFOo8AF4Pfpekc/edit?gid=400822622#gid=400822622"", ""GRADE 12!U""&amp;ROW(U72))"),0.0)</f>
        <v>0</v>
      </c>
      <c r="X75" s="61">
        <f>IFERROR(__xludf.DUMMYFUNCTION("IMPORTRANGE(""https://docs.google.com/spreadsheets/d/1CaLR8gtRCp0-wyyH0y5IvQnenreOSKFOo8AF4Pfpekc/edit?gid=400822622#gid=400822622"", ""GRADE 12!V""&amp;ROW(V72))"),0.0)</f>
        <v>0</v>
      </c>
    </row>
    <row r="76" ht="22.5" customHeight="1">
      <c r="A76" s="63" t="s">
        <v>178</v>
      </c>
      <c r="B76" s="64">
        <v>66.0</v>
      </c>
      <c r="C76" s="64" t="s">
        <v>310</v>
      </c>
      <c r="D76" s="65" t="s">
        <v>138</v>
      </c>
      <c r="E76" s="66" t="s">
        <v>311</v>
      </c>
      <c r="F76" s="66" t="s">
        <v>21</v>
      </c>
      <c r="G76" s="67">
        <v>3.0</v>
      </c>
      <c r="H76" s="67">
        <v>37.0</v>
      </c>
      <c r="I76" s="35">
        <f t="shared" si="1"/>
        <v>40</v>
      </c>
      <c r="J76" s="130" t="str">
        <f>IFERROR(__xludf.DUMMYFUNCTION("IMPORTRANGE(""https://docs.google.com/spreadsheets/d/1CaLR8gtRCp0-wyyH0y5IvQnenreOSKFOo8AF4Pfpekc/edit?gid=400822622#gid=400822622"", ""GRADE 12!H""&amp;ROW(H73))"),"")</f>
        <v/>
      </c>
      <c r="K76" s="130" t="str">
        <f>IFERROR(__xludf.DUMMYFUNCTION("IMPORTRANGE(""https://docs.google.com/spreadsheets/d/1CaLR8gtRCp0-wyyH0y5IvQnenreOSKFOo8AF4Pfpekc/edit?gid=400822622#gid=400822622"", ""GRADE 12!I""&amp;ROW(I73))"),"")</f>
        <v/>
      </c>
      <c r="L76" s="130" t="str">
        <f>IFERROR(__xludf.DUMMYFUNCTION("IMPORTRANGE(""https://docs.google.com/spreadsheets/d/1CaLR8gtRCp0-wyyH0y5IvQnenreOSKFOo8AF4Pfpekc/edit?gid=400822622#gid=400822622"", ""GRADE 12!J""&amp;ROW(J73))"),"")</f>
        <v/>
      </c>
      <c r="M76" s="130">
        <f>IFERROR(__xludf.DUMMYFUNCTION("IMPORTRANGE(""https://docs.google.com/spreadsheets/d/1CaLR8gtRCp0-wyyH0y5IvQnenreOSKFOo8AF4Pfpekc/edit?gid=400822622#gid=400822622"", ""GRADE 12!K""&amp;ROW(K73))"),0.0)</f>
        <v>0</v>
      </c>
      <c r="N76" s="130">
        <f>IFERROR(__xludf.DUMMYFUNCTION("IMPORTRANGE(""https://docs.google.com/spreadsheets/d/1CaLR8gtRCp0-wyyH0y5IvQnenreOSKFOo8AF4Pfpekc/edit?gid=400822622#gid=400822622"", ""GRADE 12!L""&amp;ROW(L73))"),0.0)</f>
        <v>0</v>
      </c>
      <c r="O76" s="130" t="str">
        <f>IFERROR(__xludf.DUMMYFUNCTION("IMPORTRANGE(""https://docs.google.com/spreadsheets/d/1CaLR8gtRCp0-wyyH0y5IvQnenreOSKFOo8AF4Pfpekc/edit?gid=400822622#gid=400822622"", ""GRADE 12!M""&amp;ROW(M73))"),"")</f>
        <v/>
      </c>
      <c r="P76" s="130">
        <f>IFERROR(__xludf.DUMMYFUNCTION("IMPORTRANGE(""https://docs.google.com/spreadsheets/d/1CaLR8gtRCp0-wyyH0y5IvQnenreOSKFOo8AF4Pfpekc/edit?gid=400822622#gid=400822622"", ""GRADE 12!N""&amp;ROW(N73))"),0.0)</f>
        <v>0</v>
      </c>
      <c r="Q76" s="130">
        <f>IFERROR(__xludf.DUMMYFUNCTION("IMPORTRANGE(""https://docs.google.com/spreadsheets/d/1CaLR8gtRCp0-wyyH0y5IvQnenreOSKFOo8AF4Pfpekc/edit?gid=400822622#gid=400822622"", ""GRADE 12!O""&amp;ROW(O73))"),0.0)</f>
        <v>0</v>
      </c>
      <c r="R76" s="130">
        <f>IFERROR(__xludf.DUMMYFUNCTION("IMPORTRANGE(""https://docs.google.com/spreadsheets/d/1CaLR8gtRCp0-wyyH0y5IvQnenreOSKFOo8AF4Pfpekc/edit?gid=400822622#gid=400822622"", ""GRADE 12!P""&amp;ROW(P73))"),0.0)</f>
        <v>0</v>
      </c>
      <c r="S76" s="130">
        <f>IFERROR(__xludf.DUMMYFUNCTION("IMPORTRANGE(""https://docs.google.com/spreadsheets/d/1CaLR8gtRCp0-wyyH0y5IvQnenreOSKFOo8AF4Pfpekc/edit?gid=400822622#gid=400822622"", ""GRADE 12!Q""&amp;ROW(Q73))"),0.0)</f>
        <v>0</v>
      </c>
      <c r="T76" s="130" t="str">
        <f>IFERROR(__xludf.DUMMYFUNCTION("IMPORTRANGE(""https://docs.google.com/spreadsheets/d/1CaLR8gtRCp0-wyyH0y5IvQnenreOSKFOo8AF4Pfpekc/edit?gid=400822622#gid=400822622"", ""GRADE 12!R""&amp;ROW(R73))"),"")</f>
        <v/>
      </c>
      <c r="U76" s="130" t="str">
        <f>IFERROR(__xludf.DUMMYFUNCTION("IMPORTRANGE(""https://docs.google.com/spreadsheets/d/1CaLR8gtRCp0-wyyH0y5IvQnenreOSKFOo8AF4Pfpekc/edit?gid=400822622#gid=400822622"", ""GRADE 12!S""&amp;ROW(S73))"),"")</f>
        <v/>
      </c>
      <c r="V76" s="131">
        <f>IFERROR(__xludf.DUMMYFUNCTION("IMPORTRANGE(""https://docs.google.com/spreadsheets/d/1CaLR8gtRCp0-wyyH0y5IvQnenreOSKFOo8AF4Pfpekc/edit?gid=400822622#gid=400822622"", ""GRADE 12!T""&amp;ROW(T73))"),6.0)</f>
        <v>6</v>
      </c>
      <c r="W76" s="132">
        <f>IFERROR(__xludf.DUMMYFUNCTION("IMPORTRANGE(""https://docs.google.com/spreadsheets/d/1CaLR8gtRCp0-wyyH0y5IvQnenreOSKFOo8AF4Pfpekc/edit?gid=400822622#gid=400822622"", ""GRADE 12!U""&amp;ROW(U73))"),0.0)</f>
        <v>0</v>
      </c>
      <c r="X76" s="61">
        <f>IFERROR(__xludf.DUMMYFUNCTION("IMPORTRANGE(""https://docs.google.com/spreadsheets/d/1CaLR8gtRCp0-wyyH0y5IvQnenreOSKFOo8AF4Pfpekc/edit?gid=400822622#gid=400822622"", ""GRADE 12!V""&amp;ROW(V73))"),0.0)</f>
        <v>0</v>
      </c>
    </row>
    <row r="77" ht="22.5" customHeight="1">
      <c r="A77" s="63" t="s">
        <v>178</v>
      </c>
      <c r="B77" s="64">
        <v>67.0</v>
      </c>
      <c r="C77" s="64" t="s">
        <v>312</v>
      </c>
      <c r="D77" s="65" t="s">
        <v>138</v>
      </c>
      <c r="E77" s="66" t="s">
        <v>313</v>
      </c>
      <c r="F77" s="66" t="s">
        <v>283</v>
      </c>
      <c r="G77" s="67">
        <v>4.0</v>
      </c>
      <c r="H77" s="67">
        <v>29.0</v>
      </c>
      <c r="I77" s="35">
        <f t="shared" si="1"/>
        <v>33</v>
      </c>
      <c r="J77" s="130" t="str">
        <f>IFERROR(__xludf.DUMMYFUNCTION("IMPORTRANGE(""https://docs.google.com/spreadsheets/d/1CaLR8gtRCp0-wyyH0y5IvQnenreOSKFOo8AF4Pfpekc/edit?gid=400822622#gid=400822622"", ""GRADE 12!H""&amp;ROW(H74))"),"")</f>
        <v/>
      </c>
      <c r="K77" s="130" t="str">
        <f>IFERROR(__xludf.DUMMYFUNCTION("IMPORTRANGE(""https://docs.google.com/spreadsheets/d/1CaLR8gtRCp0-wyyH0y5IvQnenreOSKFOo8AF4Pfpekc/edit?gid=400822622#gid=400822622"", ""GRADE 12!I""&amp;ROW(I74))"),"")</f>
        <v/>
      </c>
      <c r="L77" s="130" t="str">
        <f>IFERROR(__xludf.DUMMYFUNCTION("IMPORTRANGE(""https://docs.google.com/spreadsheets/d/1CaLR8gtRCp0-wyyH0y5IvQnenreOSKFOo8AF4Pfpekc/edit?gid=400822622#gid=400822622"", ""GRADE 12!J""&amp;ROW(J74))"),"")</f>
        <v/>
      </c>
      <c r="M77" s="130">
        <f>IFERROR(__xludf.DUMMYFUNCTION("IMPORTRANGE(""https://docs.google.com/spreadsheets/d/1CaLR8gtRCp0-wyyH0y5IvQnenreOSKFOo8AF4Pfpekc/edit?gid=400822622#gid=400822622"", ""GRADE 12!K""&amp;ROW(K74))"),0.0)</f>
        <v>0</v>
      </c>
      <c r="N77" s="130">
        <f>IFERROR(__xludf.DUMMYFUNCTION("IMPORTRANGE(""https://docs.google.com/spreadsheets/d/1CaLR8gtRCp0-wyyH0y5IvQnenreOSKFOo8AF4Pfpekc/edit?gid=400822622#gid=400822622"", ""GRADE 12!L""&amp;ROW(L74))"),0.0)</f>
        <v>0</v>
      </c>
      <c r="O77" s="130" t="str">
        <f>IFERROR(__xludf.DUMMYFUNCTION("IMPORTRANGE(""https://docs.google.com/spreadsheets/d/1CaLR8gtRCp0-wyyH0y5IvQnenreOSKFOo8AF4Pfpekc/edit?gid=400822622#gid=400822622"", ""GRADE 12!M""&amp;ROW(M74))"),"")</f>
        <v/>
      </c>
      <c r="P77" s="130">
        <f>IFERROR(__xludf.DUMMYFUNCTION("IMPORTRANGE(""https://docs.google.com/spreadsheets/d/1CaLR8gtRCp0-wyyH0y5IvQnenreOSKFOo8AF4Pfpekc/edit?gid=400822622#gid=400822622"", ""GRADE 12!N""&amp;ROW(N74))"),0.0)</f>
        <v>0</v>
      </c>
      <c r="Q77" s="130">
        <f>IFERROR(__xludf.DUMMYFUNCTION("IMPORTRANGE(""https://docs.google.com/spreadsheets/d/1CaLR8gtRCp0-wyyH0y5IvQnenreOSKFOo8AF4Pfpekc/edit?gid=400822622#gid=400822622"", ""GRADE 12!O""&amp;ROW(O74))"),0.0)</f>
        <v>0</v>
      </c>
      <c r="R77" s="130">
        <f>IFERROR(__xludf.DUMMYFUNCTION("IMPORTRANGE(""https://docs.google.com/spreadsheets/d/1CaLR8gtRCp0-wyyH0y5IvQnenreOSKFOo8AF4Pfpekc/edit?gid=400822622#gid=400822622"", ""GRADE 12!P""&amp;ROW(P74))"),0.0)</f>
        <v>0</v>
      </c>
      <c r="S77" s="130">
        <f>IFERROR(__xludf.DUMMYFUNCTION("IMPORTRANGE(""https://docs.google.com/spreadsheets/d/1CaLR8gtRCp0-wyyH0y5IvQnenreOSKFOo8AF4Pfpekc/edit?gid=400822622#gid=400822622"", ""GRADE 12!Q""&amp;ROW(Q74))"),0.0)</f>
        <v>0</v>
      </c>
      <c r="T77" s="130" t="str">
        <f>IFERROR(__xludf.DUMMYFUNCTION("IMPORTRANGE(""https://docs.google.com/spreadsheets/d/1CaLR8gtRCp0-wyyH0y5IvQnenreOSKFOo8AF4Pfpekc/edit?gid=400822622#gid=400822622"", ""GRADE 12!R""&amp;ROW(R74))"),"")</f>
        <v/>
      </c>
      <c r="U77" s="130" t="str">
        <f>IFERROR(__xludf.DUMMYFUNCTION("IMPORTRANGE(""https://docs.google.com/spreadsheets/d/1CaLR8gtRCp0-wyyH0y5IvQnenreOSKFOo8AF4Pfpekc/edit?gid=400822622#gid=400822622"", ""GRADE 12!S""&amp;ROW(S74))"),"")</f>
        <v/>
      </c>
      <c r="V77" s="131">
        <f>IFERROR(__xludf.DUMMYFUNCTION("IMPORTRANGE(""https://docs.google.com/spreadsheets/d/1CaLR8gtRCp0-wyyH0y5IvQnenreOSKFOo8AF4Pfpekc/edit?gid=400822622#gid=400822622"", ""GRADE 12!T""&amp;ROW(T74))"),6.0)</f>
        <v>6</v>
      </c>
      <c r="W77" s="132">
        <f>IFERROR(__xludf.DUMMYFUNCTION("IMPORTRANGE(""https://docs.google.com/spreadsheets/d/1CaLR8gtRCp0-wyyH0y5IvQnenreOSKFOo8AF4Pfpekc/edit?gid=400822622#gid=400822622"", ""GRADE 12!U""&amp;ROW(U74))"),0.0)</f>
        <v>0</v>
      </c>
      <c r="X77" s="61">
        <f>IFERROR(__xludf.DUMMYFUNCTION("IMPORTRANGE(""https://docs.google.com/spreadsheets/d/1CaLR8gtRCp0-wyyH0y5IvQnenreOSKFOo8AF4Pfpekc/edit?gid=400822622#gid=400822622"", ""GRADE 12!V""&amp;ROW(V74))"),0.0)</f>
        <v>0</v>
      </c>
    </row>
    <row r="78" ht="22.5" customHeight="1">
      <c r="A78" s="63" t="s">
        <v>178</v>
      </c>
      <c r="B78" s="64">
        <v>68.0</v>
      </c>
      <c r="C78" s="64" t="s">
        <v>314</v>
      </c>
      <c r="D78" s="65" t="s">
        <v>171</v>
      </c>
      <c r="E78" s="66" t="s">
        <v>315</v>
      </c>
      <c r="F78" s="66" t="s">
        <v>283</v>
      </c>
      <c r="G78" s="67">
        <v>8.0</v>
      </c>
      <c r="H78" s="67">
        <v>10.0</v>
      </c>
      <c r="I78" s="35">
        <f t="shared" si="1"/>
        <v>18</v>
      </c>
      <c r="J78" s="130" t="str">
        <f>IFERROR(__xludf.DUMMYFUNCTION("IMPORTRANGE(""https://docs.google.com/spreadsheets/d/1CaLR8gtRCp0-wyyH0y5IvQnenreOSKFOo8AF4Pfpekc/edit?gid=400822622#gid=400822622"", ""GRADE 12!H""&amp;ROW(H75))"),"")</f>
        <v/>
      </c>
      <c r="K78" s="130" t="str">
        <f>IFERROR(__xludf.DUMMYFUNCTION("IMPORTRANGE(""https://docs.google.com/spreadsheets/d/1CaLR8gtRCp0-wyyH0y5IvQnenreOSKFOo8AF4Pfpekc/edit?gid=400822622#gid=400822622"", ""GRADE 12!I""&amp;ROW(I75))"),"")</f>
        <v/>
      </c>
      <c r="L78" s="130" t="str">
        <f>IFERROR(__xludf.DUMMYFUNCTION("IMPORTRANGE(""https://docs.google.com/spreadsheets/d/1CaLR8gtRCp0-wyyH0y5IvQnenreOSKFOo8AF4Pfpekc/edit?gid=400822622#gid=400822622"", ""GRADE 12!J""&amp;ROW(J75))"),"")</f>
        <v/>
      </c>
      <c r="M78" s="130">
        <f>IFERROR(__xludf.DUMMYFUNCTION("IMPORTRANGE(""https://docs.google.com/spreadsheets/d/1CaLR8gtRCp0-wyyH0y5IvQnenreOSKFOo8AF4Pfpekc/edit?gid=400822622#gid=400822622"", ""GRADE 12!K""&amp;ROW(K75))"),0.0)</f>
        <v>0</v>
      </c>
      <c r="N78" s="130">
        <f>IFERROR(__xludf.DUMMYFUNCTION("IMPORTRANGE(""https://docs.google.com/spreadsheets/d/1CaLR8gtRCp0-wyyH0y5IvQnenreOSKFOo8AF4Pfpekc/edit?gid=400822622#gid=400822622"", ""GRADE 12!L""&amp;ROW(L75))"),0.0)</f>
        <v>0</v>
      </c>
      <c r="O78" s="130" t="str">
        <f>IFERROR(__xludf.DUMMYFUNCTION("IMPORTRANGE(""https://docs.google.com/spreadsheets/d/1CaLR8gtRCp0-wyyH0y5IvQnenreOSKFOo8AF4Pfpekc/edit?gid=400822622#gid=400822622"", ""GRADE 12!M""&amp;ROW(M75))"),"")</f>
        <v/>
      </c>
      <c r="P78" s="130">
        <f>IFERROR(__xludf.DUMMYFUNCTION("IMPORTRANGE(""https://docs.google.com/spreadsheets/d/1CaLR8gtRCp0-wyyH0y5IvQnenreOSKFOo8AF4Pfpekc/edit?gid=400822622#gid=400822622"", ""GRADE 12!N""&amp;ROW(N75))"),0.0)</f>
        <v>0</v>
      </c>
      <c r="Q78" s="130">
        <f>IFERROR(__xludf.DUMMYFUNCTION("IMPORTRANGE(""https://docs.google.com/spreadsheets/d/1CaLR8gtRCp0-wyyH0y5IvQnenreOSKFOo8AF4Pfpekc/edit?gid=400822622#gid=400822622"", ""GRADE 12!O""&amp;ROW(O75))"),0.0)</f>
        <v>0</v>
      </c>
      <c r="R78" s="130">
        <f>IFERROR(__xludf.DUMMYFUNCTION("IMPORTRANGE(""https://docs.google.com/spreadsheets/d/1CaLR8gtRCp0-wyyH0y5IvQnenreOSKFOo8AF4Pfpekc/edit?gid=400822622#gid=400822622"", ""GRADE 12!P""&amp;ROW(P75))"),0.0)</f>
        <v>0</v>
      </c>
      <c r="S78" s="130">
        <f>IFERROR(__xludf.DUMMYFUNCTION("IMPORTRANGE(""https://docs.google.com/spreadsheets/d/1CaLR8gtRCp0-wyyH0y5IvQnenreOSKFOo8AF4Pfpekc/edit?gid=400822622#gid=400822622"", ""GRADE 12!Q""&amp;ROW(Q75))"),0.0)</f>
        <v>0</v>
      </c>
      <c r="T78" s="130" t="str">
        <f>IFERROR(__xludf.DUMMYFUNCTION("IMPORTRANGE(""https://docs.google.com/spreadsheets/d/1CaLR8gtRCp0-wyyH0y5IvQnenreOSKFOo8AF4Pfpekc/edit?gid=400822622#gid=400822622"", ""GRADE 12!R""&amp;ROW(R75))"),"")</f>
        <v/>
      </c>
      <c r="U78" s="130" t="str">
        <f>IFERROR(__xludf.DUMMYFUNCTION("IMPORTRANGE(""https://docs.google.com/spreadsheets/d/1CaLR8gtRCp0-wyyH0y5IvQnenreOSKFOo8AF4Pfpekc/edit?gid=400822622#gid=400822622"", ""GRADE 12!S""&amp;ROW(S75))"),"")</f>
        <v/>
      </c>
      <c r="V78" s="131">
        <f>IFERROR(__xludf.DUMMYFUNCTION("IMPORTRANGE(""https://docs.google.com/spreadsheets/d/1CaLR8gtRCp0-wyyH0y5IvQnenreOSKFOo8AF4Pfpekc/edit?gid=400822622#gid=400822622"", ""GRADE 12!T""&amp;ROW(T75))"),6.0)</f>
        <v>6</v>
      </c>
      <c r="W78" s="132">
        <f>IFERROR(__xludf.DUMMYFUNCTION("IMPORTRANGE(""https://docs.google.com/spreadsheets/d/1CaLR8gtRCp0-wyyH0y5IvQnenreOSKFOo8AF4Pfpekc/edit?gid=400822622#gid=400822622"", ""GRADE 12!U""&amp;ROW(U75))"),0.0)</f>
        <v>0</v>
      </c>
      <c r="X78" s="61">
        <f>IFERROR(__xludf.DUMMYFUNCTION("IMPORTRANGE(""https://docs.google.com/spreadsheets/d/1CaLR8gtRCp0-wyyH0y5IvQnenreOSKFOo8AF4Pfpekc/edit?gid=400822622#gid=400822622"", ""GRADE 12!V""&amp;ROW(V75))"),0.0)</f>
        <v>0</v>
      </c>
    </row>
    <row r="79" ht="22.5" customHeight="1">
      <c r="A79" s="63" t="s">
        <v>178</v>
      </c>
      <c r="B79" s="64">
        <v>69.0</v>
      </c>
      <c r="C79" s="64" t="s">
        <v>316</v>
      </c>
      <c r="D79" s="65" t="s">
        <v>168</v>
      </c>
      <c r="E79" s="66" t="s">
        <v>317</v>
      </c>
      <c r="F79" s="66" t="s">
        <v>21</v>
      </c>
      <c r="G79" s="67">
        <v>50.0</v>
      </c>
      <c r="H79" s="67">
        <v>2.0</v>
      </c>
      <c r="I79" s="35">
        <f t="shared" si="1"/>
        <v>52</v>
      </c>
      <c r="J79" s="130" t="str">
        <f>IFERROR(__xludf.DUMMYFUNCTION("IMPORTRANGE(""https://docs.google.com/spreadsheets/d/1CaLR8gtRCp0-wyyH0y5IvQnenreOSKFOo8AF4Pfpekc/edit?gid=400822622#gid=400822622"", ""GRADE 12!H""&amp;ROW(H76))"),"")</f>
        <v/>
      </c>
      <c r="K79" s="130" t="str">
        <f>IFERROR(__xludf.DUMMYFUNCTION("IMPORTRANGE(""https://docs.google.com/spreadsheets/d/1CaLR8gtRCp0-wyyH0y5IvQnenreOSKFOo8AF4Pfpekc/edit?gid=400822622#gid=400822622"", ""GRADE 12!I""&amp;ROW(I76))"),"")</f>
        <v/>
      </c>
      <c r="L79" s="130" t="str">
        <f>IFERROR(__xludf.DUMMYFUNCTION("IMPORTRANGE(""https://docs.google.com/spreadsheets/d/1CaLR8gtRCp0-wyyH0y5IvQnenreOSKFOo8AF4Pfpekc/edit?gid=400822622#gid=400822622"", ""GRADE 12!J""&amp;ROW(J76))"),"")</f>
        <v/>
      </c>
      <c r="M79" s="130">
        <f>IFERROR(__xludf.DUMMYFUNCTION("IMPORTRANGE(""https://docs.google.com/spreadsheets/d/1CaLR8gtRCp0-wyyH0y5IvQnenreOSKFOo8AF4Pfpekc/edit?gid=400822622#gid=400822622"", ""GRADE 12!K""&amp;ROW(K76))"),1.0)</f>
        <v>1</v>
      </c>
      <c r="N79" s="130">
        <f>IFERROR(__xludf.DUMMYFUNCTION("IMPORTRANGE(""https://docs.google.com/spreadsheets/d/1CaLR8gtRCp0-wyyH0y5IvQnenreOSKFOo8AF4Pfpekc/edit?gid=400822622#gid=400822622"", ""GRADE 12!L""&amp;ROW(L76))"),1.0)</f>
        <v>1</v>
      </c>
      <c r="O79" s="130" t="str">
        <f>IFERROR(__xludf.DUMMYFUNCTION("IMPORTRANGE(""https://docs.google.com/spreadsheets/d/1CaLR8gtRCp0-wyyH0y5IvQnenreOSKFOo8AF4Pfpekc/edit?gid=400822622#gid=400822622"", ""GRADE 12!M""&amp;ROW(M76))"),"")</f>
        <v/>
      </c>
      <c r="P79" s="130">
        <f>IFERROR(__xludf.DUMMYFUNCTION("IMPORTRANGE(""https://docs.google.com/spreadsheets/d/1CaLR8gtRCp0-wyyH0y5IvQnenreOSKFOo8AF4Pfpekc/edit?gid=400822622#gid=400822622"", ""GRADE 12!N""&amp;ROW(N76))"),1.0)</f>
        <v>1</v>
      </c>
      <c r="Q79" s="130">
        <f>IFERROR(__xludf.DUMMYFUNCTION("IMPORTRANGE(""https://docs.google.com/spreadsheets/d/1CaLR8gtRCp0-wyyH0y5IvQnenreOSKFOo8AF4Pfpekc/edit?gid=400822622#gid=400822622"", ""GRADE 12!O""&amp;ROW(O76))"),1.0)</f>
        <v>1</v>
      </c>
      <c r="R79" s="130">
        <f>IFERROR(__xludf.DUMMYFUNCTION("IMPORTRANGE(""https://docs.google.com/spreadsheets/d/1CaLR8gtRCp0-wyyH0y5IvQnenreOSKFOo8AF4Pfpekc/edit?gid=400822622#gid=400822622"", ""GRADE 12!P""&amp;ROW(P76))"),1.0)</f>
        <v>1</v>
      </c>
      <c r="S79" s="130">
        <f>IFERROR(__xludf.DUMMYFUNCTION("IMPORTRANGE(""https://docs.google.com/spreadsheets/d/1CaLR8gtRCp0-wyyH0y5IvQnenreOSKFOo8AF4Pfpekc/edit?gid=400822622#gid=400822622"", ""GRADE 12!Q""&amp;ROW(Q76))"),1.0)</f>
        <v>1</v>
      </c>
      <c r="T79" s="130" t="str">
        <f>IFERROR(__xludf.DUMMYFUNCTION("IMPORTRANGE(""https://docs.google.com/spreadsheets/d/1CaLR8gtRCp0-wyyH0y5IvQnenreOSKFOo8AF4Pfpekc/edit?gid=400822622#gid=400822622"", ""GRADE 12!R""&amp;ROW(R76))"),"")</f>
        <v/>
      </c>
      <c r="U79" s="130" t="str">
        <f>IFERROR(__xludf.DUMMYFUNCTION("IMPORTRANGE(""https://docs.google.com/spreadsheets/d/1CaLR8gtRCp0-wyyH0y5IvQnenreOSKFOo8AF4Pfpekc/edit?gid=400822622#gid=400822622"", ""GRADE 12!S""&amp;ROW(S76))"),"")</f>
        <v/>
      </c>
      <c r="V79" s="131">
        <f>IFERROR(__xludf.DUMMYFUNCTION("IMPORTRANGE(""https://docs.google.com/spreadsheets/d/1CaLR8gtRCp0-wyyH0y5IvQnenreOSKFOo8AF4Pfpekc/edit?gid=400822622#gid=400822622"", ""GRADE 12!T""&amp;ROW(T76))"),0.0)</f>
        <v>0</v>
      </c>
      <c r="W79" s="132">
        <f>IFERROR(__xludf.DUMMYFUNCTION("IMPORTRANGE(""https://docs.google.com/spreadsheets/d/1CaLR8gtRCp0-wyyH0y5IvQnenreOSKFOo8AF4Pfpekc/edit?gid=400822622#gid=400822622"", ""GRADE 12!U""&amp;ROW(U76))"),6.0)</f>
        <v>6</v>
      </c>
      <c r="X79" s="61">
        <f>IFERROR(__xludf.DUMMYFUNCTION("IMPORTRANGE(""https://docs.google.com/spreadsheets/d/1CaLR8gtRCp0-wyyH0y5IvQnenreOSKFOo8AF4Pfpekc/edit?gid=400822622#gid=400822622"", ""GRADE 12!V""&amp;ROW(V76))"),-6.0)</f>
        <v>-6</v>
      </c>
    </row>
    <row r="80" ht="22.5" customHeight="1">
      <c r="A80" s="63" t="s">
        <v>178</v>
      </c>
      <c r="B80" s="64">
        <v>70.0</v>
      </c>
      <c r="C80" s="64" t="s">
        <v>318</v>
      </c>
      <c r="D80" s="65" t="s">
        <v>160</v>
      </c>
      <c r="E80" s="66" t="s">
        <v>319</v>
      </c>
      <c r="F80" s="66" t="s">
        <v>27</v>
      </c>
      <c r="G80" s="67">
        <v>35.0</v>
      </c>
      <c r="H80" s="67">
        <v>5.0</v>
      </c>
      <c r="I80" s="35">
        <f t="shared" si="1"/>
        <v>40</v>
      </c>
      <c r="J80" s="130" t="str">
        <f>IFERROR(__xludf.DUMMYFUNCTION("IMPORTRANGE(""https://docs.google.com/spreadsheets/d/1CaLR8gtRCp0-wyyH0y5IvQnenreOSKFOo8AF4Pfpekc/edit?gid=400822622#gid=400822622"", ""GRADE 12!H""&amp;ROW(H77))"),"")</f>
        <v/>
      </c>
      <c r="K80" s="130" t="str">
        <f>IFERROR(__xludf.DUMMYFUNCTION("IMPORTRANGE(""https://docs.google.com/spreadsheets/d/1CaLR8gtRCp0-wyyH0y5IvQnenreOSKFOo8AF4Pfpekc/edit?gid=400822622#gid=400822622"", ""GRADE 12!I""&amp;ROW(I77))"),"")</f>
        <v/>
      </c>
      <c r="L80" s="130" t="str">
        <f>IFERROR(__xludf.DUMMYFUNCTION("IMPORTRANGE(""https://docs.google.com/spreadsheets/d/1CaLR8gtRCp0-wyyH0y5IvQnenreOSKFOo8AF4Pfpekc/edit?gid=400822622#gid=400822622"", ""GRADE 12!J""&amp;ROW(J77))"),"")</f>
        <v/>
      </c>
      <c r="M80" s="130">
        <f>IFERROR(__xludf.DUMMYFUNCTION("IMPORTRANGE(""https://docs.google.com/spreadsheets/d/1CaLR8gtRCp0-wyyH0y5IvQnenreOSKFOo8AF4Pfpekc/edit?gid=400822622#gid=400822622"", ""GRADE 12!K""&amp;ROW(K77))"),0.0)</f>
        <v>0</v>
      </c>
      <c r="N80" s="130">
        <f>IFERROR(__xludf.DUMMYFUNCTION("IMPORTRANGE(""https://docs.google.com/spreadsheets/d/1CaLR8gtRCp0-wyyH0y5IvQnenreOSKFOo8AF4Pfpekc/edit?gid=400822622#gid=400822622"", ""GRADE 12!L""&amp;ROW(L77))"),0.0)</f>
        <v>0</v>
      </c>
      <c r="O80" s="130" t="str">
        <f>IFERROR(__xludf.DUMMYFUNCTION("IMPORTRANGE(""https://docs.google.com/spreadsheets/d/1CaLR8gtRCp0-wyyH0y5IvQnenreOSKFOo8AF4Pfpekc/edit?gid=400822622#gid=400822622"", ""GRADE 12!M""&amp;ROW(M77))"),"")</f>
        <v/>
      </c>
      <c r="P80" s="130">
        <f>IFERROR(__xludf.DUMMYFUNCTION("IMPORTRANGE(""https://docs.google.com/spreadsheets/d/1CaLR8gtRCp0-wyyH0y5IvQnenreOSKFOo8AF4Pfpekc/edit?gid=400822622#gid=400822622"", ""GRADE 12!N""&amp;ROW(N77))"),0.0)</f>
        <v>0</v>
      </c>
      <c r="Q80" s="130">
        <f>IFERROR(__xludf.DUMMYFUNCTION("IMPORTRANGE(""https://docs.google.com/spreadsheets/d/1CaLR8gtRCp0-wyyH0y5IvQnenreOSKFOo8AF4Pfpekc/edit?gid=400822622#gid=400822622"", ""GRADE 12!O""&amp;ROW(O77))"),0.0)</f>
        <v>0</v>
      </c>
      <c r="R80" s="130">
        <f>IFERROR(__xludf.DUMMYFUNCTION("IMPORTRANGE(""https://docs.google.com/spreadsheets/d/1CaLR8gtRCp0-wyyH0y5IvQnenreOSKFOo8AF4Pfpekc/edit?gid=400822622#gid=400822622"", ""GRADE 12!P""&amp;ROW(P77))"),0.0)</f>
        <v>0</v>
      </c>
      <c r="S80" s="130">
        <f>IFERROR(__xludf.DUMMYFUNCTION("IMPORTRANGE(""https://docs.google.com/spreadsheets/d/1CaLR8gtRCp0-wyyH0y5IvQnenreOSKFOo8AF4Pfpekc/edit?gid=400822622#gid=400822622"", ""GRADE 12!Q""&amp;ROW(Q77))"),0.0)</f>
        <v>0</v>
      </c>
      <c r="T80" s="130" t="str">
        <f>IFERROR(__xludf.DUMMYFUNCTION("IMPORTRANGE(""https://docs.google.com/spreadsheets/d/1CaLR8gtRCp0-wyyH0y5IvQnenreOSKFOo8AF4Pfpekc/edit?gid=400822622#gid=400822622"", ""GRADE 12!R""&amp;ROW(R77))"),"")</f>
        <v/>
      </c>
      <c r="U80" s="130" t="str">
        <f>IFERROR(__xludf.DUMMYFUNCTION("IMPORTRANGE(""https://docs.google.com/spreadsheets/d/1CaLR8gtRCp0-wyyH0y5IvQnenreOSKFOo8AF4Pfpekc/edit?gid=400822622#gid=400822622"", ""GRADE 12!S""&amp;ROW(S77))"),"")</f>
        <v/>
      </c>
      <c r="V80" s="131">
        <f>IFERROR(__xludf.DUMMYFUNCTION("IMPORTRANGE(""https://docs.google.com/spreadsheets/d/1CaLR8gtRCp0-wyyH0y5IvQnenreOSKFOo8AF4Pfpekc/edit?gid=400822622#gid=400822622"", ""GRADE 12!T""&amp;ROW(T77))"),6.0)</f>
        <v>6</v>
      </c>
      <c r="W80" s="132">
        <f>IFERROR(__xludf.DUMMYFUNCTION("IMPORTRANGE(""https://docs.google.com/spreadsheets/d/1CaLR8gtRCp0-wyyH0y5IvQnenreOSKFOo8AF4Pfpekc/edit?gid=400822622#gid=400822622"", ""GRADE 12!U""&amp;ROW(U77))"),0.0)</f>
        <v>0</v>
      </c>
      <c r="X80" s="61">
        <f>IFERROR(__xludf.DUMMYFUNCTION("IMPORTRANGE(""https://docs.google.com/spreadsheets/d/1CaLR8gtRCp0-wyyH0y5IvQnenreOSKFOo8AF4Pfpekc/edit?gid=400822622#gid=400822622"", ""GRADE 12!V""&amp;ROW(V77))"),0.0)</f>
        <v>0</v>
      </c>
    </row>
    <row r="81" ht="22.5" customHeight="1">
      <c r="A81" s="63" t="s">
        <v>178</v>
      </c>
      <c r="B81" s="64">
        <v>71.0</v>
      </c>
      <c r="C81" s="64" t="s">
        <v>173</v>
      </c>
      <c r="D81" s="65" t="s">
        <v>168</v>
      </c>
      <c r="E81" s="66" t="s">
        <v>320</v>
      </c>
      <c r="F81" s="66" t="s">
        <v>55</v>
      </c>
      <c r="G81" s="67">
        <v>26.0</v>
      </c>
      <c r="H81" s="67">
        <v>7.0</v>
      </c>
      <c r="I81" s="35">
        <f t="shared" si="1"/>
        <v>33</v>
      </c>
      <c r="J81" s="130">
        <f>IFERROR(__xludf.DUMMYFUNCTION("IMPORTRANGE(""https://docs.google.com/spreadsheets/d/1CaLR8gtRCp0-wyyH0y5IvQnenreOSKFOo8AF4Pfpekc/edit?gid=400822622#gid=400822622"", ""GRADE 12!H""&amp;ROW(H78))"),0.0)</f>
        <v>0</v>
      </c>
      <c r="K81" s="130">
        <f>IFERROR(__xludf.DUMMYFUNCTION("IMPORTRANGE(""https://docs.google.com/spreadsheets/d/1CaLR8gtRCp0-wyyH0y5IvQnenreOSKFOo8AF4Pfpekc/edit?gid=400822622#gid=400822622"", ""GRADE 12!I""&amp;ROW(I78))"),0.0)</f>
        <v>0</v>
      </c>
      <c r="L81" s="130">
        <f>IFERROR(__xludf.DUMMYFUNCTION("IMPORTRANGE(""https://docs.google.com/spreadsheets/d/1CaLR8gtRCp0-wyyH0y5IvQnenreOSKFOo8AF4Pfpekc/edit?gid=400822622#gid=400822622"", ""GRADE 12!J""&amp;ROW(J78))"),0.0)</f>
        <v>0</v>
      </c>
      <c r="M81" s="130">
        <f>IFERROR(__xludf.DUMMYFUNCTION("IMPORTRANGE(""https://docs.google.com/spreadsheets/d/1CaLR8gtRCp0-wyyH0y5IvQnenreOSKFOo8AF4Pfpekc/edit?gid=400822622#gid=400822622"", ""GRADE 12!K""&amp;ROW(K78))"),0.0)</f>
        <v>0</v>
      </c>
      <c r="N81" s="130">
        <f>IFERROR(__xludf.DUMMYFUNCTION("IMPORTRANGE(""https://docs.google.com/spreadsheets/d/1CaLR8gtRCp0-wyyH0y5IvQnenreOSKFOo8AF4Pfpekc/edit?gid=400822622#gid=400822622"", ""GRADE 12!L""&amp;ROW(L78))"),0.0)</f>
        <v>0</v>
      </c>
      <c r="O81" s="130">
        <f>IFERROR(__xludf.DUMMYFUNCTION("IMPORTRANGE(""https://docs.google.com/spreadsheets/d/1CaLR8gtRCp0-wyyH0y5IvQnenreOSKFOo8AF4Pfpekc/edit?gid=400822622#gid=400822622"", ""GRADE 12!M""&amp;ROW(M78))"),0.0)</f>
        <v>0</v>
      </c>
      <c r="P81" s="130" t="str">
        <f>IFERROR(__xludf.DUMMYFUNCTION("IMPORTRANGE(""https://docs.google.com/spreadsheets/d/1CaLR8gtRCp0-wyyH0y5IvQnenreOSKFOo8AF4Pfpekc/edit?gid=400822622#gid=400822622"", ""GRADE 12!N""&amp;ROW(N78))"),"")</f>
        <v/>
      </c>
      <c r="Q81" s="130" t="str">
        <f>IFERROR(__xludf.DUMMYFUNCTION("IMPORTRANGE(""https://docs.google.com/spreadsheets/d/1CaLR8gtRCp0-wyyH0y5IvQnenreOSKFOo8AF4Pfpekc/edit?gid=400822622#gid=400822622"", ""GRADE 12!O""&amp;ROW(O78))"),"")</f>
        <v/>
      </c>
      <c r="R81" s="130" t="str">
        <f>IFERROR(__xludf.DUMMYFUNCTION("IMPORTRANGE(""https://docs.google.com/spreadsheets/d/1CaLR8gtRCp0-wyyH0y5IvQnenreOSKFOo8AF4Pfpekc/edit?gid=400822622#gid=400822622"", ""GRADE 12!P""&amp;ROW(P78))"),"")</f>
        <v/>
      </c>
      <c r="S81" s="130">
        <f>IFERROR(__xludf.DUMMYFUNCTION("IMPORTRANGE(""https://docs.google.com/spreadsheets/d/1CaLR8gtRCp0-wyyH0y5IvQnenreOSKFOo8AF4Pfpekc/edit?gid=400822622#gid=400822622"", ""GRADE 12!Q""&amp;ROW(Q78))"),0.0)</f>
        <v>0</v>
      </c>
      <c r="T81" s="130" t="str">
        <f>IFERROR(__xludf.DUMMYFUNCTION("IMPORTRANGE(""https://docs.google.com/spreadsheets/d/1CaLR8gtRCp0-wyyH0y5IvQnenreOSKFOo8AF4Pfpekc/edit?gid=400822622#gid=400822622"", ""GRADE 12!R""&amp;ROW(R78))"),"")</f>
        <v/>
      </c>
      <c r="U81" s="130" t="str">
        <f>IFERROR(__xludf.DUMMYFUNCTION("IMPORTRANGE(""https://docs.google.com/spreadsheets/d/1CaLR8gtRCp0-wyyH0y5IvQnenreOSKFOo8AF4Pfpekc/edit?gid=400822622#gid=400822622"", ""GRADE 12!S""&amp;ROW(S78))"),"")</f>
        <v/>
      </c>
      <c r="V81" s="131">
        <f>IFERROR(__xludf.DUMMYFUNCTION("IMPORTRANGE(""https://docs.google.com/spreadsheets/d/1CaLR8gtRCp0-wyyH0y5IvQnenreOSKFOo8AF4Pfpekc/edit?gid=400822622#gid=400822622"", ""GRADE 12!T""&amp;ROW(T78))"),7.0)</f>
        <v>7</v>
      </c>
      <c r="W81" s="132">
        <f>IFERROR(__xludf.DUMMYFUNCTION("IMPORTRANGE(""https://docs.google.com/spreadsheets/d/1CaLR8gtRCp0-wyyH0y5IvQnenreOSKFOo8AF4Pfpekc/edit?gid=400822622#gid=400822622"", ""GRADE 12!U""&amp;ROW(U78))"),0.0)</f>
        <v>0</v>
      </c>
      <c r="X81" s="61">
        <f>IFERROR(__xludf.DUMMYFUNCTION("IMPORTRANGE(""https://docs.google.com/spreadsheets/d/1CaLR8gtRCp0-wyyH0y5IvQnenreOSKFOo8AF4Pfpekc/edit?gid=400822622#gid=400822622"", ""GRADE 12!V""&amp;ROW(V78))"),0.0)</f>
        <v>0</v>
      </c>
    </row>
    <row r="82" ht="22.5" customHeight="1">
      <c r="A82" s="63" t="s">
        <v>178</v>
      </c>
      <c r="B82" s="64">
        <v>72.0</v>
      </c>
      <c r="C82" s="64" t="s">
        <v>175</v>
      </c>
      <c r="D82" s="65" t="s">
        <v>119</v>
      </c>
      <c r="E82" s="66" t="s">
        <v>321</v>
      </c>
      <c r="F82" s="66" t="s">
        <v>21</v>
      </c>
      <c r="G82" s="67">
        <v>10.0</v>
      </c>
      <c r="H82" s="67">
        <v>26.0</v>
      </c>
      <c r="I82" s="35">
        <f t="shared" si="1"/>
        <v>36</v>
      </c>
      <c r="J82" s="130">
        <f>IFERROR(__xludf.DUMMYFUNCTION("IMPORTRANGE(""https://docs.google.com/spreadsheets/d/1CaLR8gtRCp0-wyyH0y5IvQnenreOSKFOo8AF4Pfpekc/edit?gid=400822622#gid=400822622"", ""GRADE 12!H""&amp;ROW(H79))"),-3.0)</f>
        <v>-3</v>
      </c>
      <c r="K82" s="130">
        <f>IFERROR(__xludf.DUMMYFUNCTION("IMPORTRANGE(""https://docs.google.com/spreadsheets/d/1CaLR8gtRCp0-wyyH0y5IvQnenreOSKFOo8AF4Pfpekc/edit?gid=400822622#gid=400822622"", ""GRADE 12!I""&amp;ROW(I79))"),-3.0)</f>
        <v>-3</v>
      </c>
      <c r="L82" s="130">
        <f>IFERROR(__xludf.DUMMYFUNCTION("IMPORTRANGE(""https://docs.google.com/spreadsheets/d/1CaLR8gtRCp0-wyyH0y5IvQnenreOSKFOo8AF4Pfpekc/edit?gid=400822622#gid=400822622"", ""GRADE 12!J""&amp;ROW(J79))"),-3.0)</f>
        <v>-3</v>
      </c>
      <c r="M82" s="130">
        <f>IFERROR(__xludf.DUMMYFUNCTION("IMPORTRANGE(""https://docs.google.com/spreadsheets/d/1CaLR8gtRCp0-wyyH0y5IvQnenreOSKFOo8AF4Pfpekc/edit?gid=400822622#gid=400822622"", ""GRADE 12!K""&amp;ROW(K79))"),-3.0)</f>
        <v>-3</v>
      </c>
      <c r="N82" s="130">
        <f>IFERROR(__xludf.DUMMYFUNCTION("IMPORTRANGE(""https://docs.google.com/spreadsheets/d/1CaLR8gtRCp0-wyyH0y5IvQnenreOSKFOo8AF4Pfpekc/edit?gid=400822622#gid=400822622"", ""GRADE 12!L""&amp;ROW(L79))"),-3.0)</f>
        <v>-3</v>
      </c>
      <c r="O82" s="130">
        <f>IFERROR(__xludf.DUMMYFUNCTION("IMPORTRANGE(""https://docs.google.com/spreadsheets/d/1CaLR8gtRCp0-wyyH0y5IvQnenreOSKFOo8AF4Pfpekc/edit?gid=400822622#gid=400822622"", ""GRADE 12!M""&amp;ROW(M79))"),-3.0)</f>
        <v>-3</v>
      </c>
      <c r="P82" s="130" t="str">
        <f>IFERROR(__xludf.DUMMYFUNCTION("IMPORTRANGE(""https://docs.google.com/spreadsheets/d/1CaLR8gtRCp0-wyyH0y5IvQnenreOSKFOo8AF4Pfpekc/edit?gid=400822622#gid=400822622"", ""GRADE 12!N""&amp;ROW(N79))"),"")</f>
        <v/>
      </c>
      <c r="Q82" s="130" t="str">
        <f>IFERROR(__xludf.DUMMYFUNCTION("IMPORTRANGE(""https://docs.google.com/spreadsheets/d/1CaLR8gtRCp0-wyyH0y5IvQnenreOSKFOo8AF4Pfpekc/edit?gid=400822622#gid=400822622"", ""GRADE 12!O""&amp;ROW(O79))"),"")</f>
        <v/>
      </c>
      <c r="R82" s="130" t="str">
        <f>IFERROR(__xludf.DUMMYFUNCTION("IMPORTRANGE(""https://docs.google.com/spreadsheets/d/1CaLR8gtRCp0-wyyH0y5IvQnenreOSKFOo8AF4Pfpekc/edit?gid=400822622#gid=400822622"", ""GRADE 12!P""&amp;ROW(P79))"),"")</f>
        <v/>
      </c>
      <c r="S82" s="130">
        <f>IFERROR(__xludf.DUMMYFUNCTION("IMPORTRANGE(""https://docs.google.com/spreadsheets/d/1CaLR8gtRCp0-wyyH0y5IvQnenreOSKFOo8AF4Pfpekc/edit?gid=400822622#gid=400822622"", ""GRADE 12!Q""&amp;ROW(Q79))"),-3.0)</f>
        <v>-3</v>
      </c>
      <c r="T82" s="130" t="str">
        <f>IFERROR(__xludf.DUMMYFUNCTION("IMPORTRANGE(""https://docs.google.com/spreadsheets/d/1CaLR8gtRCp0-wyyH0y5IvQnenreOSKFOo8AF4Pfpekc/edit?gid=400822622#gid=400822622"", ""GRADE 12!R""&amp;ROW(R79))"),"")</f>
        <v/>
      </c>
      <c r="U82" s="130" t="str">
        <f>IFERROR(__xludf.DUMMYFUNCTION("IMPORTRANGE(""https://docs.google.com/spreadsheets/d/1CaLR8gtRCp0-wyyH0y5IvQnenreOSKFOo8AF4Pfpekc/edit?gid=400822622#gid=400822622"", ""GRADE 12!S""&amp;ROW(S79))"),"")</f>
        <v/>
      </c>
      <c r="V82" s="131">
        <f>IFERROR(__xludf.DUMMYFUNCTION("IMPORTRANGE(""https://docs.google.com/spreadsheets/d/1CaLR8gtRCp0-wyyH0y5IvQnenreOSKFOo8AF4Pfpekc/edit?gid=400822622#gid=400822622"", ""GRADE 12!T""&amp;ROW(T79))"),0.0)</f>
        <v>0</v>
      </c>
      <c r="W82" s="132">
        <f>IFERROR(__xludf.DUMMYFUNCTION("IMPORTRANGE(""https://docs.google.com/spreadsheets/d/1CaLR8gtRCp0-wyyH0y5IvQnenreOSKFOo8AF4Pfpekc/edit?gid=400822622#gid=400822622"", ""GRADE 12!U""&amp;ROW(U79))"),7.0)</f>
        <v>7</v>
      </c>
      <c r="X82" s="61">
        <f>IFERROR(__xludf.DUMMYFUNCTION("IMPORTRANGE(""https://docs.google.com/spreadsheets/d/1CaLR8gtRCp0-wyyH0y5IvQnenreOSKFOo8AF4Pfpekc/edit?gid=400822622#gid=400822622"", ""GRADE 12!V""&amp;ROW(V79))"),21.0)</f>
        <v>21</v>
      </c>
    </row>
    <row r="83" ht="22.5" customHeight="1">
      <c r="A83" s="63" t="s">
        <v>178</v>
      </c>
      <c r="B83" s="64">
        <v>73.0</v>
      </c>
      <c r="C83" s="64" t="s">
        <v>322</v>
      </c>
      <c r="D83" s="65" t="s">
        <v>119</v>
      </c>
      <c r="E83" s="66" t="s">
        <v>323</v>
      </c>
      <c r="F83" s="66" t="s">
        <v>27</v>
      </c>
      <c r="G83" s="67">
        <v>0.0</v>
      </c>
      <c r="H83" s="67">
        <v>47.0</v>
      </c>
      <c r="I83" s="35">
        <f t="shared" si="1"/>
        <v>47</v>
      </c>
      <c r="J83" s="130">
        <f>IFERROR(__xludf.DUMMYFUNCTION("IMPORTRANGE(""https://docs.google.com/spreadsheets/d/1CaLR8gtRCp0-wyyH0y5IvQnenreOSKFOo8AF4Pfpekc/edit?gid=400822622#gid=400822622"", ""GRADE 12!H""&amp;ROW(H80))"),0.0)</f>
        <v>0</v>
      </c>
      <c r="K83" s="130">
        <f>IFERROR(__xludf.DUMMYFUNCTION("IMPORTRANGE(""https://docs.google.com/spreadsheets/d/1CaLR8gtRCp0-wyyH0y5IvQnenreOSKFOo8AF4Pfpekc/edit?gid=400822622#gid=400822622"", ""GRADE 12!I""&amp;ROW(I80))"),0.0)</f>
        <v>0</v>
      </c>
      <c r="L83" s="130">
        <f>IFERROR(__xludf.DUMMYFUNCTION("IMPORTRANGE(""https://docs.google.com/spreadsheets/d/1CaLR8gtRCp0-wyyH0y5IvQnenreOSKFOo8AF4Pfpekc/edit?gid=400822622#gid=400822622"", ""GRADE 12!J""&amp;ROW(J80))"),0.0)</f>
        <v>0</v>
      </c>
      <c r="M83" s="130">
        <f>IFERROR(__xludf.DUMMYFUNCTION("IMPORTRANGE(""https://docs.google.com/spreadsheets/d/1CaLR8gtRCp0-wyyH0y5IvQnenreOSKFOo8AF4Pfpekc/edit?gid=400822622#gid=400822622"", ""GRADE 12!K""&amp;ROW(K80))"),0.0)</f>
        <v>0</v>
      </c>
      <c r="N83" s="130">
        <f>IFERROR(__xludf.DUMMYFUNCTION("IMPORTRANGE(""https://docs.google.com/spreadsheets/d/1CaLR8gtRCp0-wyyH0y5IvQnenreOSKFOo8AF4Pfpekc/edit?gid=400822622#gid=400822622"", ""GRADE 12!L""&amp;ROW(L80))"),0.0)</f>
        <v>0</v>
      </c>
      <c r="O83" s="130">
        <f>IFERROR(__xludf.DUMMYFUNCTION("IMPORTRANGE(""https://docs.google.com/spreadsheets/d/1CaLR8gtRCp0-wyyH0y5IvQnenreOSKFOo8AF4Pfpekc/edit?gid=400822622#gid=400822622"", ""GRADE 12!M""&amp;ROW(M80))"),0.0)</f>
        <v>0</v>
      </c>
      <c r="P83" s="130" t="str">
        <f>IFERROR(__xludf.DUMMYFUNCTION("IMPORTRANGE(""https://docs.google.com/spreadsheets/d/1CaLR8gtRCp0-wyyH0y5IvQnenreOSKFOo8AF4Pfpekc/edit?gid=400822622#gid=400822622"", ""GRADE 12!N""&amp;ROW(N80))"),"")</f>
        <v/>
      </c>
      <c r="Q83" s="130" t="str">
        <f>IFERROR(__xludf.DUMMYFUNCTION("IMPORTRANGE(""https://docs.google.com/spreadsheets/d/1CaLR8gtRCp0-wyyH0y5IvQnenreOSKFOo8AF4Pfpekc/edit?gid=400822622#gid=400822622"", ""GRADE 12!O""&amp;ROW(O80))"),"")</f>
        <v/>
      </c>
      <c r="R83" s="130" t="str">
        <f>IFERROR(__xludf.DUMMYFUNCTION("IMPORTRANGE(""https://docs.google.com/spreadsheets/d/1CaLR8gtRCp0-wyyH0y5IvQnenreOSKFOo8AF4Pfpekc/edit?gid=400822622#gid=400822622"", ""GRADE 12!P""&amp;ROW(P80))"),"")</f>
        <v/>
      </c>
      <c r="S83" s="130">
        <f>IFERROR(__xludf.DUMMYFUNCTION("IMPORTRANGE(""https://docs.google.com/spreadsheets/d/1CaLR8gtRCp0-wyyH0y5IvQnenreOSKFOo8AF4Pfpekc/edit?gid=400822622#gid=400822622"", ""GRADE 12!Q""&amp;ROW(Q80))"),0.0)</f>
        <v>0</v>
      </c>
      <c r="T83" s="130" t="str">
        <f>IFERROR(__xludf.DUMMYFUNCTION("IMPORTRANGE(""https://docs.google.com/spreadsheets/d/1CaLR8gtRCp0-wyyH0y5IvQnenreOSKFOo8AF4Pfpekc/edit?gid=400822622#gid=400822622"", ""GRADE 12!R""&amp;ROW(R80))"),"")</f>
        <v/>
      </c>
      <c r="U83" s="130" t="str">
        <f>IFERROR(__xludf.DUMMYFUNCTION("IMPORTRANGE(""https://docs.google.com/spreadsheets/d/1CaLR8gtRCp0-wyyH0y5IvQnenreOSKFOo8AF4Pfpekc/edit?gid=400822622#gid=400822622"", ""GRADE 12!S""&amp;ROW(S80))"),"")</f>
        <v/>
      </c>
      <c r="V83" s="131">
        <f>IFERROR(__xludf.DUMMYFUNCTION("IMPORTRANGE(""https://docs.google.com/spreadsheets/d/1CaLR8gtRCp0-wyyH0y5IvQnenreOSKFOo8AF4Pfpekc/edit?gid=400822622#gid=400822622"", ""GRADE 12!T""&amp;ROW(T80))"),7.0)</f>
        <v>7</v>
      </c>
      <c r="W83" s="132">
        <f>IFERROR(__xludf.DUMMYFUNCTION("IMPORTRANGE(""https://docs.google.com/spreadsheets/d/1CaLR8gtRCp0-wyyH0y5IvQnenreOSKFOo8AF4Pfpekc/edit?gid=400822622#gid=400822622"", ""GRADE 12!U""&amp;ROW(U80))"),0.0)</f>
        <v>0</v>
      </c>
      <c r="X83" s="61">
        <f>IFERROR(__xludf.DUMMYFUNCTION("IMPORTRANGE(""https://docs.google.com/spreadsheets/d/1CaLR8gtRCp0-wyyH0y5IvQnenreOSKFOo8AF4Pfpekc/edit?gid=400822622#gid=400822622"", ""GRADE 12!V""&amp;ROW(V80))"),0.0)</f>
        <v>0</v>
      </c>
    </row>
    <row r="84">
      <c r="A84" s="133" t="s">
        <v>324</v>
      </c>
      <c r="B84" s="13"/>
      <c r="C84" s="13"/>
      <c r="D84" s="13"/>
      <c r="E84" s="14"/>
      <c r="F84" s="134">
        <f>COUNTA(F11:F83)</f>
        <v>73</v>
      </c>
      <c r="G84" s="124">
        <f t="shared" ref="G84:X84" si="2">SUM(G11:G83)</f>
        <v>1696</v>
      </c>
      <c r="H84" s="124">
        <f t="shared" si="2"/>
        <v>1686</v>
      </c>
      <c r="I84" s="125">
        <f t="shared" si="2"/>
        <v>3382</v>
      </c>
      <c r="J84" s="135">
        <f t="shared" si="2"/>
        <v>-3</v>
      </c>
      <c r="K84" s="135">
        <f t="shared" si="2"/>
        <v>-3</v>
      </c>
      <c r="L84" s="135">
        <f t="shared" si="2"/>
        <v>-3</v>
      </c>
      <c r="M84" s="135">
        <f t="shared" si="2"/>
        <v>-2</v>
      </c>
      <c r="N84" s="135">
        <f t="shared" si="2"/>
        <v>-2</v>
      </c>
      <c r="O84" s="135">
        <f t="shared" si="2"/>
        <v>-3</v>
      </c>
      <c r="P84" s="135">
        <f t="shared" si="2"/>
        <v>1</v>
      </c>
      <c r="Q84" s="135">
        <f t="shared" si="2"/>
        <v>1</v>
      </c>
      <c r="R84" s="135">
        <f t="shared" si="2"/>
        <v>1</v>
      </c>
      <c r="S84" s="135">
        <f t="shared" si="2"/>
        <v>-2</v>
      </c>
      <c r="T84" s="135">
        <f t="shared" si="2"/>
        <v>0</v>
      </c>
      <c r="U84" s="135">
        <f t="shared" si="2"/>
        <v>0</v>
      </c>
      <c r="V84" s="125">
        <f t="shared" si="2"/>
        <v>508</v>
      </c>
      <c r="W84" s="127">
        <f t="shared" si="2"/>
        <v>13</v>
      </c>
      <c r="X84" s="128">
        <f t="shared" si="2"/>
        <v>15</v>
      </c>
    </row>
    <row r="85">
      <c r="C85" s="105"/>
      <c r="D85" s="105"/>
      <c r="E85" s="105"/>
      <c r="F85" s="105"/>
      <c r="G85" s="106"/>
      <c r="H85" s="105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104"/>
    </row>
    <row r="87">
      <c r="A87" s="111" t="s">
        <v>343</v>
      </c>
      <c r="C87" s="105"/>
      <c r="D87" s="105"/>
      <c r="E87" s="105"/>
      <c r="F87" s="105"/>
      <c r="G87" s="106"/>
      <c r="H87" s="105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104"/>
    </row>
    <row r="88" hidden="1">
      <c r="C88" s="105"/>
      <c r="D88" s="105"/>
      <c r="E88" s="105"/>
      <c r="F88" s="105"/>
      <c r="G88" s="106"/>
      <c r="H88" s="105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104"/>
    </row>
    <row r="89" hidden="1">
      <c r="C89" s="105"/>
      <c r="D89" s="105"/>
      <c r="E89" s="105"/>
      <c r="F89" s="105"/>
      <c r="G89" s="106"/>
      <c r="H89" s="105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104"/>
    </row>
    <row r="90" hidden="1">
      <c r="C90" s="105"/>
      <c r="D90" s="105"/>
      <c r="E90" s="105"/>
      <c r="F90" s="105"/>
      <c r="G90" s="106"/>
      <c r="H90" s="105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104"/>
    </row>
  </sheetData>
  <mergeCells count="16">
    <mergeCell ref="D8:D9"/>
    <mergeCell ref="E8:E9"/>
    <mergeCell ref="A10:F10"/>
    <mergeCell ref="A84:E84"/>
    <mergeCell ref="F8:F9"/>
    <mergeCell ref="G8:I8"/>
    <mergeCell ref="V8:V9"/>
    <mergeCell ref="W8:W9"/>
    <mergeCell ref="A1:X1"/>
    <mergeCell ref="A2:X2"/>
    <mergeCell ref="A3:X3"/>
    <mergeCell ref="A4:X4"/>
    <mergeCell ref="A5:X5"/>
    <mergeCell ref="A8:A9"/>
    <mergeCell ref="B8:C9"/>
    <mergeCell ref="X8:X9"/>
  </mergeCells>
  <conditionalFormatting sqref="J11:U83">
    <cfRule type="cellIs" dxfId="3" priority="1" operator="lessThan">
      <formula>0</formula>
    </cfRule>
  </conditionalFormatting>
  <conditionalFormatting sqref="J11:U83">
    <cfRule type="cellIs" dxfId="0" priority="2" operator="equal">
      <formula>0</formula>
    </cfRule>
  </conditionalFormatting>
  <drawing r:id="rId1"/>
</worksheet>
</file>